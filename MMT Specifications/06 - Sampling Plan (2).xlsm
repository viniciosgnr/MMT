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radixengazure-my.sharepoint.com/personal/marcos_santos_radixeng_com_br/Documents/Área de Trabalho/System 1/MMT/Input Files/"/>
    </mc:Choice>
  </mc:AlternateContent>
  <xr:revisionPtr revIDLastSave="6377" documentId="13_ncr:1_{D4C88F29-7224-4481-AEE0-0D014CF24E93}" xr6:coauthVersionLast="47" xr6:coauthVersionMax="47" xr10:uidLastSave="{8877CC35-8C97-4C6E-AAF3-D7AC0611C3BC}"/>
  <bookViews>
    <workbookView xWindow="-110" yWindow="-110" windowWidth="19420" windowHeight="10300" tabRatio="510" activeTab="3" xr2:uid="{00000000-000D-0000-FFFF-FFFF00000000}"/>
  </bookViews>
  <sheets>
    <sheet name="Coletas" sheetId="6" r:id="rId1"/>
    <sheet name="Operacionais" sheetId="13" r:id="rId2"/>
    <sheet name="Sem Controle" sheetId="17" r:id="rId3"/>
    <sheet name="Pontos de Coleta" sheetId="7" r:id="rId4"/>
    <sheet name="FERIADOS" sheetId="4" r:id="rId5"/>
  </sheets>
  <definedNames>
    <definedName name="list_FPSOs">OFFSET('Pontos de Coleta'!$A$1:$J$1,0,0)</definedName>
    <definedName name="list_pocos">OFFSET(INDIRECT("tblPontos["&amp;'Sem Controle'!A$29&amp;"]"),MATCH("Poço*",INDIRECT("tblPontos["&amp;'Sem Controle'!A$29&amp;"]"),0)-1,0,COUNTIF(INDIRECT("tblPontos["&amp;'Sem Controle'!A$29&amp;"]"),"Poço*"))</definedName>
    <definedName name="list_Pontos" localSheetId="1">IF(Operacionais!XFD1="","",OFFSET(INDIRECT("tblPontos["&amp;Operacionais!XFD1&amp;"]"),0,0,COUNTA(INDIRECT("tblPontos["&amp;Operacionais!XFD1&amp;"]"))))</definedName>
    <definedName name="list_Pontos">IF(Coletas!XFD1="","",OFFSET(INDIRECT("tblPontos["&amp;Coletas!XFD1&amp;"]"),0,0,COUNTA(INDIRECT("tblPontos["&amp;Coletas!XFD1&amp;"]"))))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77" i="6" l="1"/>
  <c r="K1077" i="6"/>
  <c r="M1077" i="6"/>
  <c r="O1077" i="6"/>
  <c r="W1077" i="6"/>
  <c r="H1076" i="6"/>
  <c r="K1076" i="6"/>
  <c r="M1076" i="6"/>
  <c r="O1076" i="6"/>
  <c r="W1076" i="6"/>
  <c r="H1075" i="6"/>
  <c r="K1075" i="6"/>
  <c r="M1075" i="6"/>
  <c r="O1075" i="6"/>
  <c r="W1075" i="6"/>
  <c r="H1074" i="6"/>
  <c r="K1074" i="6"/>
  <c r="M1074" i="6"/>
  <c r="O1074" i="6"/>
  <c r="W1074" i="6"/>
  <c r="H1073" i="6"/>
  <c r="K1073" i="6"/>
  <c r="M1073" i="6"/>
  <c r="O1073" i="6"/>
  <c r="W1073" i="6"/>
  <c r="H1072" i="6"/>
  <c r="K1072" i="6"/>
  <c r="M1072" i="6"/>
  <c r="O1072" i="6"/>
  <c r="W1072" i="6"/>
  <c r="H1071" i="6"/>
  <c r="K1071" i="6"/>
  <c r="M1071" i="6"/>
  <c r="O1071" i="6"/>
  <c r="W1071" i="6"/>
  <c r="H1070" i="6"/>
  <c r="K1070" i="6"/>
  <c r="M1070" i="6"/>
  <c r="O1070" i="6"/>
  <c r="W1070" i="6"/>
  <c r="H204" i="13"/>
  <c r="K204" i="13"/>
  <c r="M204" i="13"/>
  <c r="O204" i="13"/>
  <c r="W204" i="13"/>
  <c r="H1069" i="6"/>
  <c r="K1069" i="6"/>
  <c r="M1069" i="6"/>
  <c r="O1069" i="6"/>
  <c r="W1069" i="6"/>
  <c r="H1068" i="6"/>
  <c r="K1068" i="6"/>
  <c r="M1068" i="6"/>
  <c r="O1068" i="6"/>
  <c r="W1068" i="6"/>
  <c r="H1067" i="6"/>
  <c r="K1067" i="6"/>
  <c r="M1067" i="6"/>
  <c r="O1067" i="6"/>
  <c r="W1067" i="6"/>
  <c r="H1066" i="6"/>
  <c r="K1066" i="6"/>
  <c r="M1066" i="6"/>
  <c r="O1066" i="6"/>
  <c r="W1066" i="6"/>
  <c r="H1065" i="6"/>
  <c r="K1065" i="6"/>
  <c r="M1065" i="6"/>
  <c r="O1065" i="6"/>
  <c r="W1065" i="6"/>
  <c r="H1064" i="6"/>
  <c r="K1064" i="6"/>
  <c r="M1064" i="6"/>
  <c r="O1064" i="6"/>
  <c r="W1064" i="6"/>
  <c r="H1063" i="6"/>
  <c r="K1063" i="6"/>
  <c r="M1063" i="6"/>
  <c r="O1063" i="6"/>
  <c r="W1063" i="6"/>
  <c r="H1062" i="6"/>
  <c r="K1062" i="6"/>
  <c r="M1062" i="6"/>
  <c r="O1062" i="6"/>
  <c r="W1062" i="6"/>
  <c r="H1061" i="6"/>
  <c r="K1061" i="6"/>
  <c r="M1061" i="6"/>
  <c r="O1061" i="6"/>
  <c r="W1061" i="6"/>
  <c r="H1060" i="6"/>
  <c r="K1060" i="6"/>
  <c r="M1060" i="6"/>
  <c r="O1060" i="6"/>
  <c r="W1060" i="6"/>
  <c r="H1059" i="6"/>
  <c r="K1059" i="6"/>
  <c r="M1059" i="6"/>
  <c r="O1059" i="6"/>
  <c r="W1059" i="6"/>
  <c r="H1058" i="6"/>
  <c r="K1058" i="6"/>
  <c r="M1058" i="6"/>
  <c r="O1058" i="6"/>
  <c r="W1058" i="6"/>
  <c r="H1057" i="6"/>
  <c r="K1057" i="6"/>
  <c r="M1057" i="6"/>
  <c r="O1057" i="6"/>
  <c r="W1057" i="6"/>
  <c r="H1056" i="6"/>
  <c r="K1056" i="6"/>
  <c r="M1056" i="6"/>
  <c r="O1056" i="6"/>
  <c r="W1056" i="6"/>
  <c r="H1055" i="6"/>
  <c r="K1055" i="6"/>
  <c r="M1055" i="6"/>
  <c r="O1055" i="6"/>
  <c r="W1055" i="6"/>
  <c r="H1054" i="6"/>
  <c r="K1054" i="6"/>
  <c r="M1054" i="6"/>
  <c r="O1054" i="6"/>
  <c r="W1054" i="6"/>
  <c r="H1053" i="6"/>
  <c r="K1053" i="6"/>
  <c r="M1053" i="6"/>
  <c r="O1053" i="6"/>
  <c r="W1053" i="6"/>
  <c r="H1052" i="6"/>
  <c r="K1052" i="6"/>
  <c r="M1052" i="6"/>
  <c r="O1052" i="6"/>
  <c r="W1052" i="6"/>
  <c r="H1051" i="6"/>
  <c r="K1051" i="6"/>
  <c r="M1051" i="6"/>
  <c r="O1051" i="6"/>
  <c r="W1051" i="6"/>
  <c r="H1050" i="6"/>
  <c r="K1050" i="6"/>
  <c r="M1050" i="6"/>
  <c r="O1050" i="6"/>
  <c r="W1050" i="6"/>
  <c r="H1049" i="6"/>
  <c r="K1049" i="6"/>
  <c r="M1049" i="6"/>
  <c r="O1049" i="6"/>
  <c r="W1049" i="6"/>
  <c r="H1048" i="6"/>
  <c r="K1048" i="6"/>
  <c r="M1048" i="6"/>
  <c r="O1048" i="6"/>
  <c r="W1048" i="6"/>
  <c r="H1047" i="6"/>
  <c r="K1047" i="6"/>
  <c r="M1047" i="6"/>
  <c r="O1047" i="6"/>
  <c r="W1047" i="6"/>
  <c r="H203" i="13"/>
  <c r="K203" i="13"/>
  <c r="M203" i="13"/>
  <c r="O203" i="13"/>
  <c r="W203" i="13"/>
  <c r="H202" i="13"/>
  <c r="K202" i="13"/>
  <c r="M202" i="13"/>
  <c r="O202" i="13"/>
  <c r="W202" i="13"/>
  <c r="H201" i="13"/>
  <c r="K201" i="13"/>
  <c r="M201" i="13"/>
  <c r="O201" i="13"/>
  <c r="W201" i="13"/>
  <c r="H200" i="13"/>
  <c r="K200" i="13"/>
  <c r="M200" i="13"/>
  <c r="O200" i="13"/>
  <c r="W200" i="13"/>
  <c r="H1046" i="6"/>
  <c r="K1046" i="6"/>
  <c r="M1046" i="6"/>
  <c r="O1046" i="6"/>
  <c r="W1046" i="6"/>
  <c r="H1045" i="6"/>
  <c r="K1045" i="6"/>
  <c r="M1045" i="6"/>
  <c r="O1045" i="6"/>
  <c r="W1045" i="6"/>
  <c r="H1044" i="6"/>
  <c r="K1044" i="6"/>
  <c r="M1044" i="6"/>
  <c r="O1044" i="6"/>
  <c r="W1044" i="6"/>
  <c r="H1043" i="6"/>
  <c r="K1043" i="6"/>
  <c r="M1043" i="6"/>
  <c r="O1043" i="6"/>
  <c r="W1043" i="6"/>
  <c r="H1042" i="6"/>
  <c r="K1042" i="6"/>
  <c r="M1042" i="6"/>
  <c r="O1042" i="6"/>
  <c r="W1042" i="6"/>
  <c r="H1041" i="6"/>
  <c r="K1041" i="6"/>
  <c r="M1041" i="6"/>
  <c r="O1041" i="6"/>
  <c r="W1041" i="6"/>
  <c r="H1040" i="6"/>
  <c r="K1040" i="6"/>
  <c r="M1040" i="6"/>
  <c r="O1040" i="6"/>
  <c r="W1040" i="6"/>
  <c r="H199" i="13" l="1"/>
  <c r="K199" i="13"/>
  <c r="M199" i="13"/>
  <c r="O199" i="13"/>
  <c r="W199" i="13"/>
  <c r="H198" i="13"/>
  <c r="K198" i="13"/>
  <c r="M198" i="13"/>
  <c r="O198" i="13"/>
  <c r="W198" i="13"/>
  <c r="H1039" i="6"/>
  <c r="K1039" i="6"/>
  <c r="M1039" i="6"/>
  <c r="O1039" i="6"/>
  <c r="W1039" i="6"/>
  <c r="H1038" i="6"/>
  <c r="K1038" i="6"/>
  <c r="M1038" i="6"/>
  <c r="O1038" i="6"/>
  <c r="W1038" i="6"/>
  <c r="H1037" i="6"/>
  <c r="K1037" i="6"/>
  <c r="M1037" i="6"/>
  <c r="O1037" i="6"/>
  <c r="W1037" i="6"/>
  <c r="H1036" i="6"/>
  <c r="K1036" i="6"/>
  <c r="M1036" i="6"/>
  <c r="O1036" i="6"/>
  <c r="W1036" i="6"/>
  <c r="H1035" i="6"/>
  <c r="K1035" i="6"/>
  <c r="M1035" i="6"/>
  <c r="O1035" i="6"/>
  <c r="W1035" i="6"/>
  <c r="H1034" i="6"/>
  <c r="K1034" i="6"/>
  <c r="M1034" i="6"/>
  <c r="O1034" i="6"/>
  <c r="W1034" i="6"/>
  <c r="H1033" i="6"/>
  <c r="K1033" i="6"/>
  <c r="M1033" i="6"/>
  <c r="O1033" i="6"/>
  <c r="W1033" i="6"/>
  <c r="H1032" i="6"/>
  <c r="K1032" i="6"/>
  <c r="M1032" i="6"/>
  <c r="O1032" i="6"/>
  <c r="W1032" i="6"/>
  <c r="H1031" i="6"/>
  <c r="K1031" i="6"/>
  <c r="M1031" i="6"/>
  <c r="O1031" i="6"/>
  <c r="W1031" i="6"/>
  <c r="H1030" i="6"/>
  <c r="K1030" i="6"/>
  <c r="M1030" i="6"/>
  <c r="O1030" i="6"/>
  <c r="W1030" i="6"/>
  <c r="H1029" i="6" l="1"/>
  <c r="K1029" i="6"/>
  <c r="M1029" i="6"/>
  <c r="O1029" i="6"/>
  <c r="W1029" i="6"/>
  <c r="H1028" i="6"/>
  <c r="K1028" i="6"/>
  <c r="M1028" i="6"/>
  <c r="O1028" i="6"/>
  <c r="W1028" i="6"/>
  <c r="H1027" i="6"/>
  <c r="K1027" i="6"/>
  <c r="M1027" i="6"/>
  <c r="O1027" i="6"/>
  <c r="W1027" i="6"/>
  <c r="H1026" i="6"/>
  <c r="K1026" i="6"/>
  <c r="M1026" i="6"/>
  <c r="O1026" i="6"/>
  <c r="W1026" i="6"/>
  <c r="H1025" i="6"/>
  <c r="K1025" i="6"/>
  <c r="M1025" i="6"/>
  <c r="O1025" i="6"/>
  <c r="W1025" i="6"/>
  <c r="A25" i="17"/>
  <c r="B25" i="17"/>
  <c r="C25" i="17"/>
  <c r="D25" i="17"/>
  <c r="E25" i="17"/>
  <c r="F25" i="17"/>
  <c r="G25" i="17"/>
  <c r="H25" i="17"/>
  <c r="I25" i="17"/>
  <c r="J25" i="17"/>
  <c r="A24" i="17"/>
  <c r="H1024" i="6"/>
  <c r="K1024" i="6"/>
  <c r="M1024" i="6"/>
  <c r="O1024" i="6"/>
  <c r="W1024" i="6"/>
  <c r="H1023" i="6"/>
  <c r="K1023" i="6"/>
  <c r="M1023" i="6"/>
  <c r="O1023" i="6"/>
  <c r="W1023" i="6"/>
  <c r="H1022" i="6"/>
  <c r="K1022" i="6"/>
  <c r="M1022" i="6"/>
  <c r="O1022" i="6"/>
  <c r="W1022" i="6"/>
  <c r="H1021" i="6"/>
  <c r="K1021" i="6"/>
  <c r="M1021" i="6"/>
  <c r="O1021" i="6"/>
  <c r="W1021" i="6"/>
  <c r="F235" i="6" a="1"/>
  <c r="F235" i="6" s="1"/>
  <c r="F236" i="6" a="1"/>
  <c r="F236" i="6" s="1"/>
  <c r="F792" i="6" a="1"/>
  <c r="F792" i="6" s="1"/>
  <c r="F793" i="6" a="1"/>
  <c r="F793" i="6" s="1"/>
  <c r="H1020" i="6"/>
  <c r="K1020" i="6"/>
  <c r="M1020" i="6"/>
  <c r="O1020" i="6"/>
  <c r="W1020" i="6"/>
  <c r="H1019" i="6"/>
  <c r="K1019" i="6"/>
  <c r="M1019" i="6"/>
  <c r="O1019" i="6"/>
  <c r="W1019" i="6"/>
  <c r="H1018" i="6"/>
  <c r="K1018" i="6"/>
  <c r="M1018" i="6"/>
  <c r="O1018" i="6"/>
  <c r="W1018" i="6"/>
  <c r="H1017" i="6"/>
  <c r="K1017" i="6"/>
  <c r="M1017" i="6"/>
  <c r="O1017" i="6"/>
  <c r="W1017" i="6"/>
  <c r="H1016" i="6"/>
  <c r="K1016" i="6"/>
  <c r="M1016" i="6"/>
  <c r="O1016" i="6"/>
  <c r="W1016" i="6"/>
  <c r="H1015" i="6"/>
  <c r="K1015" i="6"/>
  <c r="M1015" i="6"/>
  <c r="O1015" i="6"/>
  <c r="W1015" i="6"/>
  <c r="H1014" i="6"/>
  <c r="K1014" i="6"/>
  <c r="M1014" i="6"/>
  <c r="O1014" i="6"/>
  <c r="W1014" i="6"/>
  <c r="H1013" i="6"/>
  <c r="K1013" i="6"/>
  <c r="M1013" i="6"/>
  <c r="O1013" i="6"/>
  <c r="W1013" i="6"/>
  <c r="H1012" i="6"/>
  <c r="K1012" i="6"/>
  <c r="M1012" i="6"/>
  <c r="O1012" i="6"/>
  <c r="W1012" i="6"/>
  <c r="H1011" i="6"/>
  <c r="K1011" i="6"/>
  <c r="M1011" i="6"/>
  <c r="O1011" i="6"/>
  <c r="W1011" i="6"/>
  <c r="H1010" i="6"/>
  <c r="K1010" i="6"/>
  <c r="M1010" i="6"/>
  <c r="O1010" i="6"/>
  <c r="W1010" i="6"/>
  <c r="H1009" i="6"/>
  <c r="K1009" i="6"/>
  <c r="M1009" i="6"/>
  <c r="O1009" i="6"/>
  <c r="W1009" i="6"/>
  <c r="H1008" i="6"/>
  <c r="K1008" i="6"/>
  <c r="M1008" i="6"/>
  <c r="O1008" i="6"/>
  <c r="W1008" i="6"/>
  <c r="H1007" i="6"/>
  <c r="K1007" i="6"/>
  <c r="M1007" i="6"/>
  <c r="O1007" i="6"/>
  <c r="W1007" i="6"/>
  <c r="H197" i="13"/>
  <c r="K197" i="13"/>
  <c r="M197" i="13"/>
  <c r="O197" i="13"/>
  <c r="W197" i="13"/>
  <c r="H1006" i="6"/>
  <c r="K1006" i="6"/>
  <c r="M1006" i="6"/>
  <c r="O1006" i="6"/>
  <c r="W1006" i="6"/>
  <c r="H1005" i="6"/>
  <c r="K1005" i="6"/>
  <c r="M1005" i="6"/>
  <c r="O1005" i="6"/>
  <c r="W1005" i="6"/>
  <c r="H196" i="13"/>
  <c r="K196" i="13"/>
  <c r="M196" i="13"/>
  <c r="O196" i="13"/>
  <c r="W196" i="13"/>
  <c r="H1004" i="6"/>
  <c r="K1004" i="6"/>
  <c r="M1004" i="6"/>
  <c r="O1004" i="6"/>
  <c r="W1004" i="6"/>
  <c r="H1003" i="6"/>
  <c r="K1003" i="6"/>
  <c r="M1003" i="6"/>
  <c r="O1003" i="6"/>
  <c r="W1003" i="6"/>
  <c r="H1002" i="6"/>
  <c r="K1002" i="6"/>
  <c r="M1002" i="6"/>
  <c r="O1002" i="6"/>
  <c r="W1002" i="6"/>
  <c r="H1001" i="6"/>
  <c r="K1001" i="6"/>
  <c r="M1001" i="6"/>
  <c r="O1001" i="6"/>
  <c r="W1001" i="6"/>
  <c r="H1000" i="6"/>
  <c r="K1000" i="6"/>
  <c r="M1000" i="6"/>
  <c r="O1000" i="6"/>
  <c r="W1000" i="6"/>
  <c r="H999" i="6"/>
  <c r="K999" i="6"/>
  <c r="M999" i="6"/>
  <c r="O999" i="6"/>
  <c r="W999" i="6"/>
  <c r="H998" i="6"/>
  <c r="K998" i="6"/>
  <c r="M998" i="6"/>
  <c r="O998" i="6"/>
  <c r="W998" i="6"/>
  <c r="H997" i="6"/>
  <c r="K997" i="6"/>
  <c r="M997" i="6"/>
  <c r="O997" i="6"/>
  <c r="W997" i="6"/>
  <c r="H996" i="6"/>
  <c r="K996" i="6"/>
  <c r="M996" i="6"/>
  <c r="O996" i="6"/>
  <c r="W996" i="6"/>
  <c r="H995" i="6"/>
  <c r="K995" i="6"/>
  <c r="M995" i="6"/>
  <c r="O995" i="6"/>
  <c r="W995" i="6"/>
  <c r="H994" i="6"/>
  <c r="K994" i="6"/>
  <c r="M994" i="6"/>
  <c r="O994" i="6"/>
  <c r="W994" i="6"/>
  <c r="H993" i="6"/>
  <c r="K993" i="6"/>
  <c r="M993" i="6"/>
  <c r="O993" i="6"/>
  <c r="W993" i="6"/>
  <c r="H992" i="6"/>
  <c r="K992" i="6"/>
  <c r="M992" i="6"/>
  <c r="O992" i="6"/>
  <c r="W992" i="6"/>
  <c r="H991" i="6"/>
  <c r="K991" i="6"/>
  <c r="M991" i="6"/>
  <c r="O991" i="6"/>
  <c r="W991" i="6"/>
  <c r="H990" i="6"/>
  <c r="K990" i="6"/>
  <c r="M990" i="6"/>
  <c r="O990" i="6"/>
  <c r="W990" i="6"/>
  <c r="H989" i="6"/>
  <c r="K989" i="6"/>
  <c r="M989" i="6"/>
  <c r="O989" i="6"/>
  <c r="W989" i="6"/>
  <c r="H988" i="6"/>
  <c r="K988" i="6"/>
  <c r="M988" i="6"/>
  <c r="O988" i="6"/>
  <c r="W988" i="6"/>
  <c r="H987" i="6"/>
  <c r="K987" i="6"/>
  <c r="M987" i="6"/>
  <c r="O987" i="6"/>
  <c r="W987" i="6"/>
  <c r="H986" i="6"/>
  <c r="K986" i="6"/>
  <c r="M986" i="6"/>
  <c r="O986" i="6"/>
  <c r="W986" i="6"/>
  <c r="H985" i="6"/>
  <c r="K985" i="6"/>
  <c r="M985" i="6"/>
  <c r="O985" i="6"/>
  <c r="W985" i="6"/>
  <c r="H984" i="6"/>
  <c r="K984" i="6"/>
  <c r="M984" i="6"/>
  <c r="O984" i="6"/>
  <c r="W984" i="6"/>
  <c r="H983" i="6"/>
  <c r="K983" i="6"/>
  <c r="M983" i="6"/>
  <c r="O983" i="6"/>
  <c r="W983" i="6"/>
  <c r="H982" i="6"/>
  <c r="K982" i="6"/>
  <c r="M982" i="6"/>
  <c r="O982" i="6"/>
  <c r="W982" i="6"/>
  <c r="H981" i="6"/>
  <c r="K981" i="6"/>
  <c r="M981" i="6"/>
  <c r="O981" i="6"/>
  <c r="W981" i="6"/>
  <c r="H980" i="6"/>
  <c r="K980" i="6"/>
  <c r="M980" i="6"/>
  <c r="O980" i="6"/>
  <c r="W980" i="6"/>
  <c r="H979" i="6"/>
  <c r="K979" i="6"/>
  <c r="M979" i="6"/>
  <c r="O979" i="6"/>
  <c r="W979" i="6"/>
  <c r="H978" i="6"/>
  <c r="K978" i="6"/>
  <c r="M978" i="6"/>
  <c r="O978" i="6"/>
  <c r="W978" i="6"/>
  <c r="H977" i="6"/>
  <c r="K977" i="6"/>
  <c r="M977" i="6"/>
  <c r="O977" i="6"/>
  <c r="W977" i="6"/>
  <c r="H976" i="6"/>
  <c r="K976" i="6"/>
  <c r="M976" i="6"/>
  <c r="O976" i="6"/>
  <c r="W976" i="6"/>
  <c r="H975" i="6"/>
  <c r="K975" i="6"/>
  <c r="M975" i="6"/>
  <c r="O975" i="6"/>
  <c r="W975" i="6"/>
  <c r="H974" i="6"/>
  <c r="K974" i="6"/>
  <c r="M974" i="6"/>
  <c r="O974" i="6"/>
  <c r="W974" i="6"/>
  <c r="H973" i="6"/>
  <c r="K973" i="6"/>
  <c r="M973" i="6"/>
  <c r="O973" i="6"/>
  <c r="W973" i="6"/>
  <c r="H972" i="6"/>
  <c r="K972" i="6"/>
  <c r="M972" i="6"/>
  <c r="O972" i="6"/>
  <c r="W972" i="6"/>
  <c r="H971" i="6"/>
  <c r="K971" i="6"/>
  <c r="M971" i="6"/>
  <c r="O971" i="6"/>
  <c r="W971" i="6"/>
  <c r="H970" i="6"/>
  <c r="K970" i="6"/>
  <c r="M970" i="6"/>
  <c r="O970" i="6"/>
  <c r="W970" i="6"/>
  <c r="H969" i="6"/>
  <c r="K969" i="6"/>
  <c r="M969" i="6"/>
  <c r="O969" i="6"/>
  <c r="W969" i="6"/>
  <c r="H968" i="6"/>
  <c r="K968" i="6"/>
  <c r="M968" i="6"/>
  <c r="O968" i="6"/>
  <c r="W968" i="6"/>
  <c r="H967" i="6"/>
  <c r="K967" i="6"/>
  <c r="M967" i="6"/>
  <c r="O967" i="6"/>
  <c r="W967" i="6"/>
  <c r="H966" i="6"/>
  <c r="K966" i="6"/>
  <c r="M966" i="6"/>
  <c r="O966" i="6"/>
  <c r="W966" i="6"/>
  <c r="H965" i="6"/>
  <c r="K965" i="6"/>
  <c r="M965" i="6"/>
  <c r="O965" i="6"/>
  <c r="W965" i="6"/>
  <c r="H964" i="6"/>
  <c r="K964" i="6"/>
  <c r="M964" i="6"/>
  <c r="O964" i="6"/>
  <c r="W964" i="6"/>
  <c r="H963" i="6"/>
  <c r="K963" i="6"/>
  <c r="M963" i="6"/>
  <c r="O963" i="6"/>
  <c r="W963" i="6"/>
  <c r="H962" i="6"/>
  <c r="K962" i="6"/>
  <c r="M962" i="6"/>
  <c r="O962" i="6"/>
  <c r="W962" i="6"/>
  <c r="H961" i="6"/>
  <c r="K961" i="6"/>
  <c r="M961" i="6"/>
  <c r="O961" i="6"/>
  <c r="W961" i="6"/>
  <c r="H960" i="6"/>
  <c r="K960" i="6"/>
  <c r="M960" i="6"/>
  <c r="O960" i="6"/>
  <c r="W960" i="6"/>
  <c r="H959" i="6"/>
  <c r="K959" i="6"/>
  <c r="M959" i="6"/>
  <c r="O959" i="6"/>
  <c r="W959" i="6"/>
  <c r="H958" i="6"/>
  <c r="K958" i="6"/>
  <c r="M958" i="6"/>
  <c r="O958" i="6"/>
  <c r="W958" i="6"/>
  <c r="H957" i="6"/>
  <c r="K957" i="6"/>
  <c r="M957" i="6"/>
  <c r="O957" i="6"/>
  <c r="W957" i="6"/>
  <c r="H956" i="6"/>
  <c r="K956" i="6"/>
  <c r="M956" i="6"/>
  <c r="O956" i="6"/>
  <c r="W956" i="6"/>
  <c r="H955" i="6"/>
  <c r="K955" i="6"/>
  <c r="M955" i="6"/>
  <c r="O955" i="6"/>
  <c r="W955" i="6"/>
  <c r="H954" i="6"/>
  <c r="K954" i="6"/>
  <c r="M954" i="6"/>
  <c r="O954" i="6"/>
  <c r="W954" i="6"/>
  <c r="H953" i="6"/>
  <c r="K953" i="6"/>
  <c r="M953" i="6"/>
  <c r="O953" i="6"/>
  <c r="W953" i="6"/>
  <c r="H952" i="6"/>
  <c r="K952" i="6"/>
  <c r="M952" i="6"/>
  <c r="O952" i="6"/>
  <c r="W952" i="6"/>
  <c r="H951" i="6"/>
  <c r="K951" i="6"/>
  <c r="M951" i="6"/>
  <c r="O951" i="6"/>
  <c r="W951" i="6"/>
  <c r="H950" i="6"/>
  <c r="K950" i="6"/>
  <c r="M950" i="6"/>
  <c r="O950" i="6"/>
  <c r="W950" i="6"/>
  <c r="H949" i="6"/>
  <c r="K949" i="6"/>
  <c r="M949" i="6"/>
  <c r="O949" i="6"/>
  <c r="W949" i="6"/>
  <c r="H948" i="6"/>
  <c r="K948" i="6"/>
  <c r="M948" i="6"/>
  <c r="O948" i="6"/>
  <c r="W948" i="6"/>
  <c r="H947" i="6"/>
  <c r="K947" i="6"/>
  <c r="M947" i="6"/>
  <c r="O947" i="6"/>
  <c r="W947" i="6"/>
  <c r="H946" i="6"/>
  <c r="K946" i="6"/>
  <c r="M946" i="6"/>
  <c r="O946" i="6"/>
  <c r="W946" i="6"/>
  <c r="H945" i="6"/>
  <c r="K945" i="6"/>
  <c r="M945" i="6"/>
  <c r="O945" i="6"/>
  <c r="W945" i="6"/>
  <c r="H944" i="6"/>
  <c r="K944" i="6"/>
  <c r="M944" i="6"/>
  <c r="O944" i="6"/>
  <c r="W944" i="6"/>
  <c r="H943" i="6"/>
  <c r="K943" i="6"/>
  <c r="M943" i="6"/>
  <c r="O943" i="6"/>
  <c r="W943" i="6"/>
  <c r="H942" i="6"/>
  <c r="K942" i="6"/>
  <c r="M942" i="6"/>
  <c r="O942" i="6"/>
  <c r="W942" i="6"/>
  <c r="H941" i="6"/>
  <c r="K941" i="6"/>
  <c r="M941" i="6"/>
  <c r="O941" i="6"/>
  <c r="W941" i="6"/>
  <c r="H195" i="13"/>
  <c r="K195" i="13"/>
  <c r="M195" i="13"/>
  <c r="O195" i="13"/>
  <c r="W195" i="13"/>
  <c r="H194" i="13"/>
  <c r="K194" i="13"/>
  <c r="M194" i="13"/>
  <c r="O194" i="13"/>
  <c r="W194" i="13"/>
  <c r="H193" i="13"/>
  <c r="K193" i="13"/>
  <c r="M193" i="13"/>
  <c r="O193" i="13"/>
  <c r="W193" i="13"/>
  <c r="H192" i="13"/>
  <c r="K192" i="13"/>
  <c r="M192" i="13"/>
  <c r="O192" i="13"/>
  <c r="W192" i="13"/>
  <c r="H191" i="13"/>
  <c r="K191" i="13"/>
  <c r="M191" i="13"/>
  <c r="O191" i="13"/>
  <c r="W191" i="13"/>
  <c r="H190" i="13"/>
  <c r="K190" i="13"/>
  <c r="M190" i="13"/>
  <c r="O190" i="13"/>
  <c r="W190" i="13"/>
  <c r="H189" i="13"/>
  <c r="K189" i="13"/>
  <c r="M189" i="13"/>
  <c r="O189" i="13"/>
  <c r="W189" i="13"/>
  <c r="H940" i="6"/>
  <c r="K940" i="6"/>
  <c r="M940" i="6"/>
  <c r="O940" i="6"/>
  <c r="W940" i="6"/>
  <c r="H939" i="6"/>
  <c r="K939" i="6"/>
  <c r="M939" i="6"/>
  <c r="O939" i="6"/>
  <c r="W939" i="6"/>
  <c r="H938" i="6"/>
  <c r="K938" i="6"/>
  <c r="M938" i="6"/>
  <c r="O938" i="6"/>
  <c r="W938" i="6"/>
  <c r="H937" i="6"/>
  <c r="K937" i="6"/>
  <c r="M937" i="6"/>
  <c r="O937" i="6"/>
  <c r="W937" i="6"/>
  <c r="H936" i="6"/>
  <c r="K936" i="6"/>
  <c r="M936" i="6"/>
  <c r="O936" i="6"/>
  <c r="W936" i="6"/>
  <c r="H935" i="6"/>
  <c r="K935" i="6"/>
  <c r="M935" i="6"/>
  <c r="O935" i="6"/>
  <c r="W935" i="6"/>
  <c r="H934" i="6"/>
  <c r="K934" i="6"/>
  <c r="M934" i="6"/>
  <c r="O934" i="6"/>
  <c r="W934" i="6"/>
  <c r="H933" i="6"/>
  <c r="K933" i="6"/>
  <c r="M933" i="6"/>
  <c r="O933" i="6"/>
  <c r="W933" i="6"/>
  <c r="H932" i="6"/>
  <c r="K932" i="6"/>
  <c r="M932" i="6"/>
  <c r="O932" i="6"/>
  <c r="W932" i="6"/>
  <c r="H931" i="6"/>
  <c r="K931" i="6"/>
  <c r="M931" i="6"/>
  <c r="O931" i="6"/>
  <c r="W931" i="6"/>
  <c r="H930" i="6"/>
  <c r="K930" i="6"/>
  <c r="M930" i="6"/>
  <c r="O930" i="6"/>
  <c r="W930" i="6"/>
  <c r="H929" i="6" l="1"/>
  <c r="K929" i="6"/>
  <c r="M929" i="6"/>
  <c r="O929" i="6"/>
  <c r="W929" i="6"/>
  <c r="H928" i="6"/>
  <c r="K928" i="6"/>
  <c r="M928" i="6"/>
  <c r="O928" i="6"/>
  <c r="W928" i="6"/>
  <c r="H927" i="6"/>
  <c r="K927" i="6"/>
  <c r="M927" i="6"/>
  <c r="O927" i="6"/>
  <c r="W927" i="6"/>
  <c r="H926" i="6" l="1"/>
  <c r="K926" i="6"/>
  <c r="M926" i="6"/>
  <c r="O926" i="6"/>
  <c r="W926" i="6"/>
  <c r="H925" i="6"/>
  <c r="K925" i="6"/>
  <c r="M925" i="6"/>
  <c r="O925" i="6"/>
  <c r="W925" i="6"/>
  <c r="H188" i="13"/>
  <c r="K188" i="13"/>
  <c r="M188" i="13"/>
  <c r="O188" i="13"/>
  <c r="W188" i="13"/>
  <c r="H924" i="6"/>
  <c r="K924" i="6"/>
  <c r="M924" i="6"/>
  <c r="O924" i="6"/>
  <c r="W924" i="6"/>
  <c r="H923" i="6"/>
  <c r="K923" i="6"/>
  <c r="M923" i="6"/>
  <c r="O923" i="6"/>
  <c r="W923" i="6"/>
  <c r="H922" i="6"/>
  <c r="K922" i="6"/>
  <c r="M922" i="6"/>
  <c r="O922" i="6"/>
  <c r="W922" i="6"/>
  <c r="H921" i="6"/>
  <c r="K921" i="6"/>
  <c r="M921" i="6"/>
  <c r="O921" i="6"/>
  <c r="W921" i="6"/>
  <c r="H187" i="13"/>
  <c r="K187" i="13"/>
  <c r="M187" i="13"/>
  <c r="O187" i="13"/>
  <c r="W187" i="13"/>
  <c r="H920" i="6"/>
  <c r="K920" i="6"/>
  <c r="M920" i="6"/>
  <c r="O920" i="6"/>
  <c r="W920" i="6"/>
  <c r="H919" i="6"/>
  <c r="K919" i="6"/>
  <c r="M919" i="6"/>
  <c r="O919" i="6"/>
  <c r="W919" i="6"/>
  <c r="H918" i="6"/>
  <c r="K918" i="6"/>
  <c r="M918" i="6"/>
  <c r="O918" i="6"/>
  <c r="W918" i="6"/>
  <c r="H917" i="6"/>
  <c r="K917" i="6"/>
  <c r="M917" i="6"/>
  <c r="O917" i="6"/>
  <c r="W917" i="6"/>
  <c r="H916" i="6"/>
  <c r="K916" i="6"/>
  <c r="M916" i="6"/>
  <c r="O916" i="6"/>
  <c r="W916" i="6"/>
  <c r="H915" i="6"/>
  <c r="K915" i="6"/>
  <c r="M915" i="6"/>
  <c r="O915" i="6"/>
  <c r="W915" i="6"/>
  <c r="H914" i="6"/>
  <c r="K914" i="6"/>
  <c r="M914" i="6"/>
  <c r="O914" i="6"/>
  <c r="W914" i="6"/>
  <c r="H913" i="6"/>
  <c r="K913" i="6"/>
  <c r="M913" i="6"/>
  <c r="O913" i="6"/>
  <c r="W913" i="6"/>
  <c r="H912" i="6"/>
  <c r="K912" i="6"/>
  <c r="M912" i="6"/>
  <c r="O912" i="6"/>
  <c r="W912" i="6"/>
  <c r="H911" i="6"/>
  <c r="K911" i="6"/>
  <c r="M911" i="6"/>
  <c r="O911" i="6"/>
  <c r="W911" i="6"/>
  <c r="H910" i="6"/>
  <c r="K910" i="6"/>
  <c r="M910" i="6"/>
  <c r="O910" i="6"/>
  <c r="W910" i="6"/>
  <c r="H909" i="6" l="1"/>
  <c r="K909" i="6"/>
  <c r="M909" i="6"/>
  <c r="O909" i="6"/>
  <c r="W909" i="6"/>
  <c r="H908" i="6"/>
  <c r="K908" i="6"/>
  <c r="M908" i="6"/>
  <c r="O908" i="6"/>
  <c r="W908" i="6"/>
  <c r="H907" i="6"/>
  <c r="K907" i="6"/>
  <c r="M907" i="6"/>
  <c r="O907" i="6"/>
  <c r="W907" i="6"/>
  <c r="H906" i="6"/>
  <c r="K906" i="6"/>
  <c r="M906" i="6"/>
  <c r="O906" i="6"/>
  <c r="W906" i="6"/>
  <c r="H905" i="6"/>
  <c r="K905" i="6"/>
  <c r="M905" i="6"/>
  <c r="O905" i="6"/>
  <c r="W905" i="6"/>
  <c r="H904" i="6"/>
  <c r="K904" i="6"/>
  <c r="M904" i="6"/>
  <c r="O904" i="6"/>
  <c r="W904" i="6"/>
  <c r="H903" i="6"/>
  <c r="K903" i="6"/>
  <c r="M903" i="6"/>
  <c r="O903" i="6"/>
  <c r="W903" i="6"/>
  <c r="H902" i="6"/>
  <c r="K902" i="6"/>
  <c r="M902" i="6"/>
  <c r="O902" i="6"/>
  <c r="W902" i="6"/>
  <c r="H901" i="6"/>
  <c r="K901" i="6"/>
  <c r="M901" i="6"/>
  <c r="O901" i="6"/>
  <c r="W901" i="6"/>
  <c r="H900" i="6"/>
  <c r="K900" i="6"/>
  <c r="M900" i="6"/>
  <c r="O900" i="6"/>
  <c r="W900" i="6"/>
  <c r="H186" i="13" l="1"/>
  <c r="K186" i="13"/>
  <c r="M186" i="13"/>
  <c r="O186" i="13"/>
  <c r="W186" i="13"/>
  <c r="H185" i="13"/>
  <c r="K185" i="13"/>
  <c r="M185" i="13"/>
  <c r="O185" i="13"/>
  <c r="W185" i="13"/>
  <c r="H184" i="13"/>
  <c r="K184" i="13"/>
  <c r="M184" i="13"/>
  <c r="O184" i="13"/>
  <c r="W184" i="13"/>
  <c r="H183" i="13"/>
  <c r="K183" i="13"/>
  <c r="M183" i="13"/>
  <c r="O183" i="13"/>
  <c r="W183" i="13"/>
  <c r="H899" i="6"/>
  <c r="K899" i="6"/>
  <c r="M899" i="6"/>
  <c r="O899" i="6"/>
  <c r="W899" i="6"/>
  <c r="H898" i="6"/>
  <c r="K898" i="6"/>
  <c r="M898" i="6"/>
  <c r="O898" i="6"/>
  <c r="W898" i="6"/>
  <c r="H897" i="6"/>
  <c r="K897" i="6"/>
  <c r="M897" i="6"/>
  <c r="O897" i="6"/>
  <c r="W897" i="6"/>
  <c r="H896" i="6"/>
  <c r="K896" i="6"/>
  <c r="M896" i="6"/>
  <c r="O896" i="6"/>
  <c r="W896" i="6"/>
  <c r="H895" i="6"/>
  <c r="K895" i="6"/>
  <c r="M895" i="6"/>
  <c r="O895" i="6"/>
  <c r="W895" i="6"/>
  <c r="H894" i="6"/>
  <c r="K894" i="6"/>
  <c r="M894" i="6"/>
  <c r="O894" i="6"/>
  <c r="W894" i="6"/>
  <c r="H893" i="6"/>
  <c r="K893" i="6"/>
  <c r="M893" i="6"/>
  <c r="O893" i="6"/>
  <c r="W893" i="6"/>
  <c r="H892" i="6"/>
  <c r="K892" i="6"/>
  <c r="M892" i="6"/>
  <c r="O892" i="6"/>
  <c r="W892" i="6"/>
  <c r="H891" i="6" l="1"/>
  <c r="K891" i="6"/>
  <c r="M891" i="6"/>
  <c r="O891" i="6"/>
  <c r="W891" i="6"/>
  <c r="H890" i="6"/>
  <c r="K890" i="6"/>
  <c r="M890" i="6"/>
  <c r="O890" i="6"/>
  <c r="W890" i="6"/>
  <c r="H889" i="6"/>
  <c r="K889" i="6"/>
  <c r="M889" i="6"/>
  <c r="O889" i="6"/>
  <c r="W889" i="6"/>
  <c r="H888" i="6"/>
  <c r="K888" i="6"/>
  <c r="M888" i="6"/>
  <c r="O888" i="6"/>
  <c r="W888" i="6"/>
  <c r="H887" i="6"/>
  <c r="K887" i="6"/>
  <c r="M887" i="6"/>
  <c r="O887" i="6"/>
  <c r="W887" i="6"/>
  <c r="H886" i="6"/>
  <c r="K886" i="6"/>
  <c r="M886" i="6"/>
  <c r="O886" i="6"/>
  <c r="W886" i="6"/>
  <c r="H182" i="13" l="1"/>
  <c r="K182" i="13"/>
  <c r="M182" i="13"/>
  <c r="O182" i="13"/>
  <c r="W182" i="13"/>
  <c r="H885" i="6"/>
  <c r="K885" i="6"/>
  <c r="M885" i="6"/>
  <c r="O885" i="6"/>
  <c r="W885" i="6"/>
  <c r="H884" i="6"/>
  <c r="K884" i="6"/>
  <c r="M884" i="6"/>
  <c r="O884" i="6"/>
  <c r="W884" i="6"/>
  <c r="H883" i="6"/>
  <c r="K883" i="6"/>
  <c r="M883" i="6"/>
  <c r="O883" i="6"/>
  <c r="W883" i="6"/>
  <c r="H882" i="6"/>
  <c r="K882" i="6"/>
  <c r="M882" i="6"/>
  <c r="O882" i="6"/>
  <c r="W882" i="6"/>
  <c r="H181" i="13"/>
  <c r="K181" i="13"/>
  <c r="M181" i="13"/>
  <c r="O181" i="13"/>
  <c r="W181" i="13"/>
  <c r="H180" i="13"/>
  <c r="K180" i="13"/>
  <c r="M180" i="13"/>
  <c r="O180" i="13"/>
  <c r="W180" i="13"/>
  <c r="H179" i="13"/>
  <c r="K179" i="13"/>
  <c r="M179" i="13"/>
  <c r="O179" i="13"/>
  <c r="W179" i="13"/>
  <c r="H178" i="13"/>
  <c r="K178" i="13"/>
  <c r="M178" i="13"/>
  <c r="O178" i="13"/>
  <c r="W178" i="13"/>
  <c r="H177" i="13" l="1"/>
  <c r="K177" i="13"/>
  <c r="M177" i="13"/>
  <c r="O177" i="13"/>
  <c r="W177" i="13"/>
  <c r="H881" i="6" l="1"/>
  <c r="K881" i="6"/>
  <c r="M881" i="6"/>
  <c r="O881" i="6"/>
  <c r="W881" i="6"/>
  <c r="H880" i="6"/>
  <c r="K880" i="6"/>
  <c r="M880" i="6"/>
  <c r="O880" i="6"/>
  <c r="W880" i="6"/>
  <c r="H879" i="6"/>
  <c r="K879" i="6"/>
  <c r="M879" i="6"/>
  <c r="O879" i="6"/>
  <c r="W879" i="6"/>
  <c r="H878" i="6"/>
  <c r="K878" i="6"/>
  <c r="M878" i="6"/>
  <c r="O878" i="6"/>
  <c r="W878" i="6"/>
  <c r="H877" i="6"/>
  <c r="K877" i="6"/>
  <c r="M877" i="6"/>
  <c r="O877" i="6"/>
  <c r="W877" i="6"/>
  <c r="H876" i="6"/>
  <c r="K876" i="6"/>
  <c r="M876" i="6"/>
  <c r="O876" i="6"/>
  <c r="W876" i="6"/>
  <c r="H875" i="6"/>
  <c r="K875" i="6"/>
  <c r="M875" i="6"/>
  <c r="O875" i="6"/>
  <c r="W875" i="6"/>
  <c r="H874" i="6" l="1"/>
  <c r="K874" i="6"/>
  <c r="M874" i="6"/>
  <c r="O874" i="6"/>
  <c r="W874" i="6"/>
  <c r="H873" i="6"/>
  <c r="K873" i="6"/>
  <c r="M873" i="6"/>
  <c r="O873" i="6"/>
  <c r="W873" i="6"/>
  <c r="H872" i="6" l="1"/>
  <c r="K872" i="6"/>
  <c r="M872" i="6"/>
  <c r="O872" i="6"/>
  <c r="W872" i="6"/>
  <c r="H871" i="6"/>
  <c r="K871" i="6"/>
  <c r="M871" i="6"/>
  <c r="O871" i="6"/>
  <c r="W871" i="6"/>
  <c r="H870" i="6"/>
  <c r="K870" i="6"/>
  <c r="M870" i="6"/>
  <c r="O870" i="6"/>
  <c r="W870" i="6"/>
  <c r="H869" i="6"/>
  <c r="K869" i="6"/>
  <c r="M869" i="6"/>
  <c r="O869" i="6"/>
  <c r="W869" i="6"/>
  <c r="H868" i="6" l="1"/>
  <c r="K868" i="6"/>
  <c r="M868" i="6"/>
  <c r="O868" i="6"/>
  <c r="W868" i="6"/>
  <c r="H867" i="6"/>
  <c r="K867" i="6"/>
  <c r="M867" i="6"/>
  <c r="O867" i="6"/>
  <c r="W867" i="6"/>
  <c r="H866" i="6" l="1"/>
  <c r="K866" i="6"/>
  <c r="M866" i="6"/>
  <c r="O866" i="6"/>
  <c r="W866" i="6"/>
  <c r="H865" i="6"/>
  <c r="K865" i="6"/>
  <c r="M865" i="6"/>
  <c r="O865" i="6"/>
  <c r="W865" i="6"/>
  <c r="H864" i="6"/>
  <c r="K864" i="6"/>
  <c r="M864" i="6"/>
  <c r="O864" i="6"/>
  <c r="W864" i="6"/>
  <c r="H863" i="6"/>
  <c r="K863" i="6"/>
  <c r="M863" i="6"/>
  <c r="O863" i="6"/>
  <c r="W863" i="6"/>
  <c r="H176" i="13"/>
  <c r="K176" i="13"/>
  <c r="M176" i="13"/>
  <c r="O176" i="13"/>
  <c r="W176" i="13"/>
  <c r="H862" i="6" l="1"/>
  <c r="K862" i="6"/>
  <c r="M862" i="6"/>
  <c r="O862" i="6"/>
  <c r="W862" i="6"/>
  <c r="H861" i="6"/>
  <c r="K861" i="6"/>
  <c r="M861" i="6"/>
  <c r="O861" i="6"/>
  <c r="W861" i="6"/>
  <c r="H860" i="6"/>
  <c r="K860" i="6"/>
  <c r="M860" i="6"/>
  <c r="O860" i="6"/>
  <c r="W860" i="6"/>
  <c r="H859" i="6" l="1"/>
  <c r="K859" i="6"/>
  <c r="M859" i="6"/>
  <c r="O859" i="6"/>
  <c r="W859" i="6"/>
  <c r="H858" i="6"/>
  <c r="K858" i="6"/>
  <c r="M858" i="6"/>
  <c r="O858" i="6"/>
  <c r="W858" i="6"/>
  <c r="H857" i="6"/>
  <c r="K857" i="6"/>
  <c r="M857" i="6"/>
  <c r="O857" i="6"/>
  <c r="W857" i="6"/>
  <c r="H856" i="6" l="1"/>
  <c r="K856" i="6"/>
  <c r="M856" i="6"/>
  <c r="O856" i="6"/>
  <c r="W856" i="6"/>
  <c r="H855" i="6"/>
  <c r="K855" i="6"/>
  <c r="M855" i="6"/>
  <c r="O855" i="6"/>
  <c r="W855" i="6"/>
  <c r="H175" i="13"/>
  <c r="K175" i="13"/>
  <c r="M175" i="13"/>
  <c r="O175" i="13"/>
  <c r="W175" i="13"/>
  <c r="H854" i="6"/>
  <c r="K854" i="6"/>
  <c r="M854" i="6"/>
  <c r="O854" i="6"/>
  <c r="W854" i="6"/>
  <c r="H853" i="6"/>
  <c r="K853" i="6"/>
  <c r="M853" i="6"/>
  <c r="O853" i="6"/>
  <c r="W853" i="6"/>
  <c r="H852" i="6"/>
  <c r="K852" i="6"/>
  <c r="M852" i="6"/>
  <c r="O852" i="6"/>
  <c r="W852" i="6"/>
  <c r="H851" i="6"/>
  <c r="K851" i="6"/>
  <c r="M851" i="6"/>
  <c r="O851" i="6"/>
  <c r="W851" i="6"/>
  <c r="H850" i="6" l="1"/>
  <c r="K850" i="6"/>
  <c r="M850" i="6"/>
  <c r="O850" i="6"/>
  <c r="W850" i="6"/>
  <c r="H849" i="6"/>
  <c r="K849" i="6"/>
  <c r="M849" i="6"/>
  <c r="O849" i="6"/>
  <c r="W849" i="6"/>
  <c r="H848" i="6"/>
  <c r="K848" i="6"/>
  <c r="M848" i="6"/>
  <c r="O848" i="6"/>
  <c r="W848" i="6"/>
  <c r="H847" i="6"/>
  <c r="K847" i="6"/>
  <c r="M847" i="6"/>
  <c r="O847" i="6"/>
  <c r="W847" i="6"/>
  <c r="H846" i="6"/>
  <c r="K846" i="6"/>
  <c r="M846" i="6"/>
  <c r="O846" i="6"/>
  <c r="W846" i="6"/>
  <c r="H174" i="13"/>
  <c r="K174" i="13"/>
  <c r="M174" i="13"/>
  <c r="O174" i="13"/>
  <c r="W174" i="13"/>
  <c r="H173" i="13"/>
  <c r="K173" i="13"/>
  <c r="M173" i="13"/>
  <c r="O173" i="13"/>
  <c r="W173" i="13"/>
  <c r="H845" i="6" l="1"/>
  <c r="K845" i="6"/>
  <c r="M845" i="6"/>
  <c r="O845" i="6"/>
  <c r="W845" i="6"/>
  <c r="H844" i="6"/>
  <c r="K844" i="6"/>
  <c r="M844" i="6"/>
  <c r="O844" i="6"/>
  <c r="W844" i="6"/>
  <c r="H172" i="13" l="1"/>
  <c r="K172" i="13"/>
  <c r="M172" i="13"/>
  <c r="O172" i="13"/>
  <c r="W172" i="13"/>
  <c r="H171" i="13" l="1"/>
  <c r="K171" i="13"/>
  <c r="M171" i="13"/>
  <c r="O171" i="13"/>
  <c r="W171" i="13"/>
  <c r="H843" i="6"/>
  <c r="K843" i="6"/>
  <c r="M843" i="6"/>
  <c r="O843" i="6"/>
  <c r="W843" i="6"/>
  <c r="H842" i="6"/>
  <c r="K842" i="6"/>
  <c r="M842" i="6"/>
  <c r="O842" i="6"/>
  <c r="W842" i="6"/>
  <c r="H170" i="13"/>
  <c r="K170" i="13"/>
  <c r="M170" i="13"/>
  <c r="O170" i="13"/>
  <c r="W170" i="13"/>
  <c r="H169" i="13"/>
  <c r="K169" i="13"/>
  <c r="M169" i="13"/>
  <c r="O169" i="13"/>
  <c r="W169" i="13"/>
  <c r="H841" i="6"/>
  <c r="K841" i="6"/>
  <c r="M841" i="6"/>
  <c r="O841" i="6"/>
  <c r="W841" i="6"/>
  <c r="H840" i="6"/>
  <c r="K840" i="6"/>
  <c r="M840" i="6"/>
  <c r="O840" i="6"/>
  <c r="W840" i="6"/>
  <c r="H839" i="6"/>
  <c r="K839" i="6"/>
  <c r="M839" i="6"/>
  <c r="O839" i="6"/>
  <c r="W839" i="6"/>
  <c r="H838" i="6"/>
  <c r="K838" i="6"/>
  <c r="M838" i="6"/>
  <c r="O838" i="6"/>
  <c r="W838" i="6"/>
  <c r="H837" i="6"/>
  <c r="K837" i="6"/>
  <c r="M837" i="6"/>
  <c r="O837" i="6"/>
  <c r="W837" i="6"/>
  <c r="H836" i="6"/>
  <c r="K836" i="6"/>
  <c r="M836" i="6"/>
  <c r="O836" i="6"/>
  <c r="W836" i="6"/>
  <c r="H835" i="6"/>
  <c r="K835" i="6"/>
  <c r="M835" i="6"/>
  <c r="O835" i="6"/>
  <c r="W835" i="6"/>
  <c r="H834" i="6"/>
  <c r="K834" i="6"/>
  <c r="M834" i="6"/>
  <c r="O834" i="6"/>
  <c r="W834" i="6"/>
  <c r="H833" i="6"/>
  <c r="K833" i="6"/>
  <c r="M833" i="6"/>
  <c r="O833" i="6"/>
  <c r="W833" i="6"/>
  <c r="H832" i="6"/>
  <c r="K832" i="6"/>
  <c r="M832" i="6"/>
  <c r="O832" i="6"/>
  <c r="W832" i="6"/>
  <c r="H831" i="6"/>
  <c r="K831" i="6"/>
  <c r="M831" i="6"/>
  <c r="O831" i="6"/>
  <c r="W831" i="6"/>
  <c r="H830" i="6"/>
  <c r="K830" i="6"/>
  <c r="M830" i="6"/>
  <c r="O830" i="6"/>
  <c r="W830" i="6"/>
  <c r="H168" i="13"/>
  <c r="K168" i="13"/>
  <c r="M168" i="13"/>
  <c r="O168" i="13"/>
  <c r="W168" i="13"/>
  <c r="H829" i="6"/>
  <c r="K829" i="6"/>
  <c r="M829" i="6"/>
  <c r="O829" i="6"/>
  <c r="W829" i="6"/>
  <c r="H828" i="6"/>
  <c r="K828" i="6"/>
  <c r="M828" i="6"/>
  <c r="O828" i="6"/>
  <c r="W828" i="6"/>
  <c r="H827" i="6"/>
  <c r="K827" i="6"/>
  <c r="M827" i="6"/>
  <c r="O827" i="6"/>
  <c r="W827" i="6"/>
  <c r="H826" i="6"/>
  <c r="K826" i="6"/>
  <c r="M826" i="6"/>
  <c r="O826" i="6"/>
  <c r="W826" i="6"/>
  <c r="H825" i="6"/>
  <c r="K825" i="6"/>
  <c r="M825" i="6"/>
  <c r="O825" i="6"/>
  <c r="W825" i="6"/>
  <c r="H167" i="13"/>
  <c r="K167" i="13"/>
  <c r="M167" i="13"/>
  <c r="O167" i="13"/>
  <c r="W167" i="13"/>
  <c r="H166" i="13"/>
  <c r="K166" i="13"/>
  <c r="M166" i="13"/>
  <c r="O166" i="13"/>
  <c r="W166" i="13"/>
  <c r="H165" i="13"/>
  <c r="K165" i="13"/>
  <c r="M165" i="13"/>
  <c r="O165" i="13"/>
  <c r="W165" i="13"/>
  <c r="H824" i="6"/>
  <c r="K824" i="6"/>
  <c r="M824" i="6"/>
  <c r="O824" i="6"/>
  <c r="W824" i="6"/>
  <c r="H823" i="6"/>
  <c r="K823" i="6"/>
  <c r="M823" i="6"/>
  <c r="O823" i="6"/>
  <c r="W823" i="6"/>
  <c r="H822" i="6"/>
  <c r="K822" i="6"/>
  <c r="M822" i="6"/>
  <c r="O822" i="6"/>
  <c r="W822" i="6"/>
  <c r="H821" i="6"/>
  <c r="K821" i="6"/>
  <c r="M821" i="6"/>
  <c r="O821" i="6"/>
  <c r="W821" i="6"/>
  <c r="H820" i="6"/>
  <c r="K820" i="6"/>
  <c r="M820" i="6"/>
  <c r="O820" i="6"/>
  <c r="W820" i="6"/>
  <c r="H819" i="6"/>
  <c r="K819" i="6"/>
  <c r="M819" i="6"/>
  <c r="O819" i="6"/>
  <c r="W819" i="6"/>
  <c r="H818" i="6"/>
  <c r="K818" i="6"/>
  <c r="M818" i="6"/>
  <c r="O818" i="6"/>
  <c r="W818" i="6"/>
  <c r="H817" i="6"/>
  <c r="K817" i="6"/>
  <c r="M817" i="6"/>
  <c r="O817" i="6"/>
  <c r="W817" i="6"/>
  <c r="H816" i="6"/>
  <c r="K816" i="6"/>
  <c r="M816" i="6"/>
  <c r="O816" i="6"/>
  <c r="W816" i="6"/>
  <c r="H815" i="6"/>
  <c r="K815" i="6"/>
  <c r="M815" i="6"/>
  <c r="O815" i="6"/>
  <c r="W815" i="6"/>
  <c r="H814" i="6"/>
  <c r="K814" i="6"/>
  <c r="M814" i="6"/>
  <c r="O814" i="6"/>
  <c r="W814" i="6"/>
  <c r="H813" i="6" l="1"/>
  <c r="K813" i="6"/>
  <c r="M813" i="6"/>
  <c r="O813" i="6"/>
  <c r="W813" i="6"/>
  <c r="H812" i="6"/>
  <c r="K812" i="6"/>
  <c r="M812" i="6"/>
  <c r="O812" i="6"/>
  <c r="W812" i="6"/>
  <c r="H811" i="6"/>
  <c r="K811" i="6"/>
  <c r="M811" i="6"/>
  <c r="O811" i="6"/>
  <c r="W811" i="6"/>
  <c r="H810" i="6"/>
  <c r="K810" i="6"/>
  <c r="M810" i="6"/>
  <c r="O810" i="6"/>
  <c r="W810" i="6"/>
  <c r="H809" i="6"/>
  <c r="K809" i="6"/>
  <c r="M809" i="6"/>
  <c r="O809" i="6"/>
  <c r="W809" i="6"/>
  <c r="H808" i="6"/>
  <c r="K808" i="6"/>
  <c r="M808" i="6"/>
  <c r="O808" i="6"/>
  <c r="W808" i="6"/>
  <c r="H807" i="6"/>
  <c r="K807" i="6"/>
  <c r="M807" i="6"/>
  <c r="O807" i="6"/>
  <c r="W807" i="6"/>
  <c r="H806" i="6"/>
  <c r="K806" i="6"/>
  <c r="M806" i="6"/>
  <c r="O806" i="6"/>
  <c r="W806" i="6"/>
  <c r="H805" i="6"/>
  <c r="K805" i="6"/>
  <c r="M805" i="6"/>
  <c r="O805" i="6"/>
  <c r="W805" i="6"/>
  <c r="H804" i="6"/>
  <c r="K804" i="6"/>
  <c r="M804" i="6"/>
  <c r="O804" i="6"/>
  <c r="W804" i="6"/>
  <c r="H803" i="6"/>
  <c r="K803" i="6"/>
  <c r="M803" i="6"/>
  <c r="O803" i="6"/>
  <c r="W803" i="6"/>
  <c r="H802" i="6"/>
  <c r="K802" i="6"/>
  <c r="M802" i="6"/>
  <c r="O802" i="6"/>
  <c r="W802" i="6"/>
  <c r="H801" i="6"/>
  <c r="K801" i="6"/>
  <c r="M801" i="6"/>
  <c r="O801" i="6"/>
  <c r="W801" i="6"/>
  <c r="H800" i="6"/>
  <c r="K800" i="6"/>
  <c r="M800" i="6"/>
  <c r="O800" i="6"/>
  <c r="W800" i="6"/>
  <c r="H799" i="6"/>
  <c r="K799" i="6"/>
  <c r="M799" i="6"/>
  <c r="O799" i="6"/>
  <c r="W799" i="6"/>
  <c r="H798" i="6"/>
  <c r="K798" i="6"/>
  <c r="M798" i="6"/>
  <c r="O798" i="6"/>
  <c r="W798" i="6"/>
  <c r="H797" i="6"/>
  <c r="K797" i="6"/>
  <c r="M797" i="6"/>
  <c r="O797" i="6"/>
  <c r="W797" i="6"/>
  <c r="H796" i="6"/>
  <c r="K796" i="6"/>
  <c r="M796" i="6"/>
  <c r="O796" i="6"/>
  <c r="W796" i="6"/>
  <c r="H164" i="13" l="1"/>
  <c r="K164" i="13"/>
  <c r="M164" i="13"/>
  <c r="O164" i="13"/>
  <c r="W164" i="13"/>
  <c r="H163" i="13"/>
  <c r="K163" i="13"/>
  <c r="M163" i="13"/>
  <c r="O163" i="13"/>
  <c r="W163" i="13"/>
  <c r="H795" i="6"/>
  <c r="K795" i="6"/>
  <c r="M795" i="6"/>
  <c r="O795" i="6"/>
  <c r="W795" i="6"/>
  <c r="H794" i="6"/>
  <c r="K794" i="6"/>
  <c r="M794" i="6"/>
  <c r="O794" i="6"/>
  <c r="W794" i="6"/>
  <c r="H793" i="6"/>
  <c r="K793" i="6"/>
  <c r="M793" i="6"/>
  <c r="O793" i="6"/>
  <c r="W793" i="6"/>
  <c r="H792" i="6"/>
  <c r="K792" i="6"/>
  <c r="M792" i="6"/>
  <c r="O792" i="6"/>
  <c r="W792" i="6"/>
  <c r="H791" i="6"/>
  <c r="K791" i="6"/>
  <c r="M791" i="6"/>
  <c r="O791" i="6"/>
  <c r="W791" i="6"/>
  <c r="H790" i="6"/>
  <c r="K790" i="6"/>
  <c r="M790" i="6"/>
  <c r="O790" i="6"/>
  <c r="W790" i="6"/>
  <c r="H162" i="13"/>
  <c r="K162" i="13"/>
  <c r="M162" i="13"/>
  <c r="O162" i="13"/>
  <c r="W162" i="13"/>
  <c r="H789" i="6"/>
  <c r="K789" i="6"/>
  <c r="M789" i="6"/>
  <c r="O789" i="6"/>
  <c r="W789" i="6"/>
  <c r="H788" i="6"/>
  <c r="K788" i="6"/>
  <c r="M788" i="6"/>
  <c r="O788" i="6"/>
  <c r="W788" i="6"/>
  <c r="H787" i="6"/>
  <c r="K787" i="6"/>
  <c r="M787" i="6"/>
  <c r="O787" i="6"/>
  <c r="W787" i="6"/>
  <c r="H786" i="6"/>
  <c r="K786" i="6"/>
  <c r="M786" i="6"/>
  <c r="O786" i="6"/>
  <c r="W786" i="6"/>
  <c r="H785" i="6"/>
  <c r="K785" i="6"/>
  <c r="M785" i="6"/>
  <c r="O785" i="6"/>
  <c r="W785" i="6"/>
  <c r="H784" i="6"/>
  <c r="K784" i="6"/>
  <c r="M784" i="6"/>
  <c r="O784" i="6"/>
  <c r="W784" i="6"/>
  <c r="H783" i="6"/>
  <c r="K783" i="6"/>
  <c r="M783" i="6"/>
  <c r="O783" i="6"/>
  <c r="W783" i="6"/>
  <c r="H782" i="6"/>
  <c r="K782" i="6"/>
  <c r="M782" i="6"/>
  <c r="O782" i="6"/>
  <c r="W782" i="6"/>
  <c r="H161" i="13"/>
  <c r="K161" i="13"/>
  <c r="M161" i="13"/>
  <c r="O161" i="13"/>
  <c r="W161" i="13"/>
  <c r="H781" i="6"/>
  <c r="K781" i="6"/>
  <c r="M781" i="6"/>
  <c r="O781" i="6"/>
  <c r="W781" i="6"/>
  <c r="H780" i="6"/>
  <c r="K780" i="6"/>
  <c r="M780" i="6"/>
  <c r="O780" i="6"/>
  <c r="W780" i="6"/>
  <c r="H779" i="6"/>
  <c r="K779" i="6"/>
  <c r="M779" i="6"/>
  <c r="O779" i="6"/>
  <c r="W779" i="6"/>
  <c r="H778" i="6"/>
  <c r="K778" i="6"/>
  <c r="M778" i="6"/>
  <c r="O778" i="6"/>
  <c r="W778" i="6"/>
  <c r="H777" i="6"/>
  <c r="K777" i="6"/>
  <c r="M777" i="6"/>
  <c r="O777" i="6"/>
  <c r="W777" i="6"/>
  <c r="H776" i="6"/>
  <c r="K776" i="6"/>
  <c r="M776" i="6"/>
  <c r="O776" i="6"/>
  <c r="W776" i="6"/>
  <c r="X793" i="6" l="1"/>
  <c r="X792" i="6"/>
  <c r="H775" i="6"/>
  <c r="K775" i="6"/>
  <c r="M775" i="6"/>
  <c r="O775" i="6"/>
  <c r="W775" i="6"/>
  <c r="H774" i="6"/>
  <c r="K774" i="6"/>
  <c r="M774" i="6"/>
  <c r="O774" i="6"/>
  <c r="W774" i="6"/>
  <c r="H773" i="6"/>
  <c r="K773" i="6"/>
  <c r="M773" i="6"/>
  <c r="O773" i="6"/>
  <c r="W773" i="6"/>
  <c r="H772" i="6"/>
  <c r="K772" i="6"/>
  <c r="M772" i="6"/>
  <c r="O772" i="6"/>
  <c r="W772" i="6"/>
  <c r="H771" i="6"/>
  <c r="K771" i="6"/>
  <c r="M771" i="6"/>
  <c r="O771" i="6"/>
  <c r="W771" i="6"/>
  <c r="H770" i="6"/>
  <c r="K770" i="6"/>
  <c r="M770" i="6"/>
  <c r="O770" i="6"/>
  <c r="W770" i="6"/>
  <c r="H769" i="6"/>
  <c r="K769" i="6"/>
  <c r="M769" i="6"/>
  <c r="O769" i="6"/>
  <c r="W769" i="6"/>
  <c r="H768" i="6"/>
  <c r="K768" i="6"/>
  <c r="M768" i="6"/>
  <c r="O768" i="6"/>
  <c r="W768" i="6"/>
  <c r="H767" i="6"/>
  <c r="K767" i="6"/>
  <c r="M767" i="6"/>
  <c r="O767" i="6"/>
  <c r="W767" i="6"/>
  <c r="H766" i="6"/>
  <c r="K766" i="6"/>
  <c r="M766" i="6"/>
  <c r="O766" i="6"/>
  <c r="W766" i="6"/>
  <c r="H765" i="6"/>
  <c r="K765" i="6"/>
  <c r="M765" i="6"/>
  <c r="O765" i="6"/>
  <c r="W765" i="6"/>
  <c r="H764" i="6"/>
  <c r="K764" i="6"/>
  <c r="M764" i="6"/>
  <c r="O764" i="6"/>
  <c r="W764" i="6"/>
  <c r="H763" i="6"/>
  <c r="K763" i="6"/>
  <c r="M763" i="6"/>
  <c r="O763" i="6"/>
  <c r="W763" i="6"/>
  <c r="H762" i="6"/>
  <c r="K762" i="6"/>
  <c r="M762" i="6"/>
  <c r="O762" i="6"/>
  <c r="W762" i="6"/>
  <c r="H761" i="6"/>
  <c r="K761" i="6"/>
  <c r="M761" i="6"/>
  <c r="O761" i="6"/>
  <c r="W761" i="6"/>
  <c r="H760" i="6"/>
  <c r="K760" i="6"/>
  <c r="M760" i="6"/>
  <c r="O760" i="6"/>
  <c r="W760" i="6"/>
  <c r="H759" i="6"/>
  <c r="K759" i="6"/>
  <c r="M759" i="6"/>
  <c r="O759" i="6"/>
  <c r="W759" i="6"/>
  <c r="H758" i="6"/>
  <c r="K758" i="6"/>
  <c r="M758" i="6"/>
  <c r="O758" i="6"/>
  <c r="W758" i="6"/>
  <c r="H757" i="6"/>
  <c r="K757" i="6"/>
  <c r="M757" i="6"/>
  <c r="O757" i="6"/>
  <c r="W757" i="6"/>
  <c r="H756" i="6"/>
  <c r="K756" i="6"/>
  <c r="M756" i="6"/>
  <c r="O756" i="6"/>
  <c r="W756" i="6"/>
  <c r="H160" i="13"/>
  <c r="K160" i="13"/>
  <c r="M160" i="13"/>
  <c r="O160" i="13"/>
  <c r="W160" i="13"/>
  <c r="H159" i="13"/>
  <c r="K159" i="13"/>
  <c r="M159" i="13"/>
  <c r="O159" i="13"/>
  <c r="W159" i="13"/>
  <c r="H158" i="13"/>
  <c r="K158" i="13"/>
  <c r="M158" i="13"/>
  <c r="O158" i="13"/>
  <c r="W158" i="13"/>
  <c r="H157" i="13"/>
  <c r="K157" i="13"/>
  <c r="M157" i="13"/>
  <c r="O157" i="13"/>
  <c r="W157" i="13"/>
  <c r="H755" i="6"/>
  <c r="K755" i="6"/>
  <c r="M755" i="6"/>
  <c r="O755" i="6"/>
  <c r="W755" i="6"/>
  <c r="H754" i="6"/>
  <c r="K754" i="6"/>
  <c r="M754" i="6"/>
  <c r="O754" i="6"/>
  <c r="W754" i="6"/>
  <c r="H753" i="6"/>
  <c r="K753" i="6"/>
  <c r="M753" i="6"/>
  <c r="O753" i="6"/>
  <c r="W753" i="6"/>
  <c r="H752" i="6"/>
  <c r="K752" i="6"/>
  <c r="M752" i="6"/>
  <c r="O752" i="6"/>
  <c r="W752" i="6"/>
  <c r="H751" i="6"/>
  <c r="K751" i="6"/>
  <c r="M751" i="6"/>
  <c r="O751" i="6"/>
  <c r="W751" i="6"/>
  <c r="H750" i="6"/>
  <c r="K750" i="6"/>
  <c r="M750" i="6"/>
  <c r="O750" i="6"/>
  <c r="W750" i="6"/>
  <c r="H749" i="6"/>
  <c r="K749" i="6"/>
  <c r="M749" i="6"/>
  <c r="O749" i="6"/>
  <c r="W749" i="6"/>
  <c r="H748" i="6"/>
  <c r="K748" i="6"/>
  <c r="M748" i="6"/>
  <c r="O748" i="6"/>
  <c r="W748" i="6"/>
  <c r="H747" i="6"/>
  <c r="K747" i="6"/>
  <c r="M747" i="6"/>
  <c r="O747" i="6"/>
  <c r="W747" i="6"/>
  <c r="H746" i="6"/>
  <c r="K746" i="6"/>
  <c r="M746" i="6"/>
  <c r="O746" i="6"/>
  <c r="W746" i="6"/>
  <c r="H745" i="6"/>
  <c r="K745" i="6"/>
  <c r="M745" i="6"/>
  <c r="O745" i="6"/>
  <c r="W745" i="6"/>
  <c r="H744" i="6"/>
  <c r="K744" i="6"/>
  <c r="M744" i="6"/>
  <c r="O744" i="6"/>
  <c r="W744" i="6"/>
  <c r="H743" i="6"/>
  <c r="K743" i="6"/>
  <c r="M743" i="6"/>
  <c r="O743" i="6"/>
  <c r="W743" i="6"/>
  <c r="H742" i="6"/>
  <c r="K742" i="6"/>
  <c r="M742" i="6"/>
  <c r="O742" i="6"/>
  <c r="W742" i="6"/>
  <c r="H741" i="6"/>
  <c r="K741" i="6"/>
  <c r="M741" i="6"/>
  <c r="O741" i="6"/>
  <c r="W741" i="6"/>
  <c r="H740" i="6"/>
  <c r="K740" i="6"/>
  <c r="M740" i="6"/>
  <c r="O740" i="6"/>
  <c r="W740" i="6"/>
  <c r="H156" i="13"/>
  <c r="K156" i="13"/>
  <c r="M156" i="13"/>
  <c r="O156" i="13"/>
  <c r="W156" i="13"/>
  <c r="H739" i="6"/>
  <c r="K739" i="6"/>
  <c r="M739" i="6"/>
  <c r="O739" i="6"/>
  <c r="W739" i="6"/>
  <c r="H738" i="6"/>
  <c r="K738" i="6"/>
  <c r="M738" i="6"/>
  <c r="O738" i="6"/>
  <c r="W738" i="6"/>
  <c r="H737" i="6"/>
  <c r="K737" i="6"/>
  <c r="M737" i="6"/>
  <c r="O737" i="6"/>
  <c r="W737" i="6"/>
  <c r="H736" i="6"/>
  <c r="K736" i="6"/>
  <c r="M736" i="6"/>
  <c r="O736" i="6"/>
  <c r="W736" i="6"/>
  <c r="H735" i="6"/>
  <c r="K735" i="6"/>
  <c r="M735" i="6"/>
  <c r="O735" i="6"/>
  <c r="W735" i="6"/>
  <c r="H734" i="6"/>
  <c r="K734" i="6"/>
  <c r="M734" i="6"/>
  <c r="O734" i="6"/>
  <c r="W734" i="6"/>
  <c r="H733" i="6"/>
  <c r="K733" i="6"/>
  <c r="M733" i="6"/>
  <c r="O733" i="6"/>
  <c r="W733" i="6"/>
  <c r="H732" i="6"/>
  <c r="K732" i="6"/>
  <c r="M732" i="6"/>
  <c r="O732" i="6"/>
  <c r="W732" i="6"/>
  <c r="H731" i="6"/>
  <c r="K731" i="6"/>
  <c r="M731" i="6"/>
  <c r="O731" i="6"/>
  <c r="W731" i="6"/>
  <c r="H730" i="6"/>
  <c r="K730" i="6"/>
  <c r="M730" i="6"/>
  <c r="O730" i="6"/>
  <c r="W730" i="6"/>
  <c r="H729" i="6"/>
  <c r="K729" i="6"/>
  <c r="M729" i="6"/>
  <c r="O729" i="6"/>
  <c r="W729" i="6"/>
  <c r="H728" i="6"/>
  <c r="K728" i="6"/>
  <c r="M728" i="6"/>
  <c r="O728" i="6"/>
  <c r="W728" i="6"/>
  <c r="H727" i="6"/>
  <c r="K727" i="6"/>
  <c r="M727" i="6"/>
  <c r="O727" i="6"/>
  <c r="W727" i="6"/>
  <c r="H726" i="6"/>
  <c r="K726" i="6"/>
  <c r="M726" i="6"/>
  <c r="O726" i="6"/>
  <c r="W726" i="6"/>
  <c r="H725" i="6"/>
  <c r="K725" i="6"/>
  <c r="M725" i="6"/>
  <c r="O725" i="6"/>
  <c r="W725" i="6"/>
  <c r="H155" i="13"/>
  <c r="K155" i="13"/>
  <c r="M155" i="13"/>
  <c r="O155" i="13"/>
  <c r="W155" i="13"/>
  <c r="H154" i="13"/>
  <c r="K154" i="13"/>
  <c r="M154" i="13"/>
  <c r="O154" i="13"/>
  <c r="W154" i="13"/>
  <c r="H724" i="6"/>
  <c r="K724" i="6"/>
  <c r="M724" i="6"/>
  <c r="O724" i="6"/>
  <c r="W724" i="6"/>
  <c r="H723" i="6"/>
  <c r="K723" i="6"/>
  <c r="M723" i="6"/>
  <c r="O723" i="6"/>
  <c r="W723" i="6"/>
  <c r="H722" i="6"/>
  <c r="K722" i="6"/>
  <c r="M722" i="6"/>
  <c r="O722" i="6"/>
  <c r="W722" i="6"/>
  <c r="H721" i="6"/>
  <c r="K721" i="6"/>
  <c r="M721" i="6"/>
  <c r="O721" i="6"/>
  <c r="W721" i="6"/>
  <c r="H720" i="6"/>
  <c r="K720" i="6"/>
  <c r="M720" i="6"/>
  <c r="O720" i="6"/>
  <c r="W720" i="6"/>
  <c r="H719" i="6"/>
  <c r="K719" i="6"/>
  <c r="M719" i="6"/>
  <c r="O719" i="6"/>
  <c r="W719" i="6"/>
  <c r="H718" i="6"/>
  <c r="K718" i="6"/>
  <c r="M718" i="6"/>
  <c r="O718" i="6"/>
  <c r="W718" i="6"/>
  <c r="H717" i="6"/>
  <c r="K717" i="6"/>
  <c r="M717" i="6"/>
  <c r="O717" i="6"/>
  <c r="W717" i="6"/>
  <c r="H716" i="6"/>
  <c r="K716" i="6"/>
  <c r="M716" i="6"/>
  <c r="O716" i="6"/>
  <c r="W716" i="6"/>
  <c r="H715" i="6"/>
  <c r="K715" i="6"/>
  <c r="M715" i="6"/>
  <c r="O715" i="6"/>
  <c r="W715" i="6"/>
  <c r="H714" i="6"/>
  <c r="K714" i="6"/>
  <c r="M714" i="6"/>
  <c r="O714" i="6"/>
  <c r="W714" i="6"/>
  <c r="H713" i="6"/>
  <c r="K713" i="6"/>
  <c r="M713" i="6"/>
  <c r="O713" i="6"/>
  <c r="W713" i="6"/>
  <c r="H712" i="6"/>
  <c r="K712" i="6"/>
  <c r="M712" i="6"/>
  <c r="O712" i="6"/>
  <c r="W712" i="6"/>
  <c r="H711" i="6"/>
  <c r="K711" i="6"/>
  <c r="M711" i="6"/>
  <c r="O711" i="6"/>
  <c r="W711" i="6"/>
  <c r="H710" i="6"/>
  <c r="K710" i="6"/>
  <c r="M710" i="6"/>
  <c r="O710" i="6"/>
  <c r="W710" i="6"/>
  <c r="H709" i="6"/>
  <c r="K709" i="6"/>
  <c r="M709" i="6"/>
  <c r="O709" i="6"/>
  <c r="W709" i="6"/>
  <c r="H708" i="6"/>
  <c r="K708" i="6"/>
  <c r="M708" i="6"/>
  <c r="O708" i="6"/>
  <c r="W708" i="6"/>
  <c r="H707" i="6"/>
  <c r="K707" i="6"/>
  <c r="M707" i="6"/>
  <c r="O707" i="6"/>
  <c r="W707" i="6"/>
  <c r="H706" i="6"/>
  <c r="K706" i="6"/>
  <c r="M706" i="6"/>
  <c r="O706" i="6"/>
  <c r="W706" i="6"/>
  <c r="H705" i="6"/>
  <c r="K705" i="6"/>
  <c r="M705" i="6"/>
  <c r="O705" i="6"/>
  <c r="W705" i="6"/>
  <c r="H704" i="6"/>
  <c r="K704" i="6"/>
  <c r="M704" i="6"/>
  <c r="O704" i="6"/>
  <c r="W704" i="6"/>
  <c r="H703" i="6"/>
  <c r="K703" i="6"/>
  <c r="M703" i="6"/>
  <c r="O703" i="6"/>
  <c r="W703" i="6"/>
  <c r="H702" i="6"/>
  <c r="K702" i="6"/>
  <c r="M702" i="6"/>
  <c r="O702" i="6"/>
  <c r="W702" i="6"/>
  <c r="H701" i="6"/>
  <c r="K701" i="6"/>
  <c r="M701" i="6"/>
  <c r="O701" i="6"/>
  <c r="W701" i="6"/>
  <c r="H700" i="6"/>
  <c r="K700" i="6"/>
  <c r="M700" i="6"/>
  <c r="O700" i="6"/>
  <c r="W700" i="6"/>
  <c r="H699" i="6"/>
  <c r="K699" i="6"/>
  <c r="M699" i="6"/>
  <c r="O699" i="6"/>
  <c r="W699" i="6"/>
  <c r="H698" i="6"/>
  <c r="K698" i="6"/>
  <c r="M698" i="6"/>
  <c r="O698" i="6"/>
  <c r="W698" i="6"/>
  <c r="H697" i="6"/>
  <c r="K697" i="6"/>
  <c r="M697" i="6"/>
  <c r="O697" i="6"/>
  <c r="W697" i="6"/>
  <c r="H696" i="6"/>
  <c r="K696" i="6"/>
  <c r="M696" i="6"/>
  <c r="O696" i="6"/>
  <c r="W696" i="6"/>
  <c r="H695" i="6"/>
  <c r="K695" i="6"/>
  <c r="M695" i="6"/>
  <c r="O695" i="6"/>
  <c r="W695" i="6"/>
  <c r="H153" i="13"/>
  <c r="K153" i="13"/>
  <c r="M153" i="13"/>
  <c r="O153" i="13"/>
  <c r="W153" i="13"/>
  <c r="H694" i="6"/>
  <c r="K694" i="6"/>
  <c r="M694" i="6"/>
  <c r="O694" i="6"/>
  <c r="W694" i="6"/>
  <c r="H693" i="6"/>
  <c r="K693" i="6"/>
  <c r="M693" i="6"/>
  <c r="O693" i="6"/>
  <c r="W693" i="6"/>
  <c r="H152" i="13"/>
  <c r="K152" i="13"/>
  <c r="M152" i="13"/>
  <c r="O152" i="13"/>
  <c r="W152" i="13"/>
  <c r="H151" i="13"/>
  <c r="K151" i="13"/>
  <c r="M151" i="13"/>
  <c r="O151" i="13"/>
  <c r="W151" i="13"/>
  <c r="H150" i="13"/>
  <c r="K150" i="13"/>
  <c r="M150" i="13"/>
  <c r="O150" i="13"/>
  <c r="W150" i="13"/>
  <c r="H149" i="13"/>
  <c r="K149" i="13"/>
  <c r="M149" i="13"/>
  <c r="O149" i="13"/>
  <c r="W149" i="13"/>
  <c r="H692" i="6"/>
  <c r="K692" i="6"/>
  <c r="M692" i="6"/>
  <c r="O692" i="6"/>
  <c r="W692" i="6"/>
  <c r="H691" i="6"/>
  <c r="K691" i="6"/>
  <c r="M691" i="6"/>
  <c r="O691" i="6"/>
  <c r="W691" i="6"/>
  <c r="H690" i="6"/>
  <c r="K690" i="6"/>
  <c r="M690" i="6"/>
  <c r="O690" i="6"/>
  <c r="W690" i="6"/>
  <c r="H689" i="6"/>
  <c r="K689" i="6"/>
  <c r="M689" i="6"/>
  <c r="O689" i="6"/>
  <c r="W689" i="6"/>
  <c r="H688" i="6"/>
  <c r="K688" i="6"/>
  <c r="M688" i="6"/>
  <c r="O688" i="6"/>
  <c r="W688" i="6"/>
  <c r="H687" i="6"/>
  <c r="K687" i="6"/>
  <c r="M687" i="6"/>
  <c r="O687" i="6"/>
  <c r="W687" i="6"/>
  <c r="H686" i="6"/>
  <c r="K686" i="6"/>
  <c r="M686" i="6"/>
  <c r="O686" i="6"/>
  <c r="W686" i="6"/>
  <c r="H148" i="13"/>
  <c r="K148" i="13"/>
  <c r="M148" i="13"/>
  <c r="O148" i="13"/>
  <c r="W148" i="13"/>
  <c r="H685" i="6"/>
  <c r="K685" i="6"/>
  <c r="M685" i="6"/>
  <c r="O685" i="6"/>
  <c r="W685" i="6"/>
  <c r="H684" i="6"/>
  <c r="K684" i="6"/>
  <c r="M684" i="6"/>
  <c r="O684" i="6"/>
  <c r="W684" i="6"/>
  <c r="H683" i="6"/>
  <c r="K683" i="6"/>
  <c r="M683" i="6"/>
  <c r="O683" i="6"/>
  <c r="W683" i="6"/>
  <c r="H682" i="6"/>
  <c r="K682" i="6"/>
  <c r="M682" i="6"/>
  <c r="O682" i="6"/>
  <c r="W682" i="6"/>
  <c r="H681" i="6"/>
  <c r="K681" i="6"/>
  <c r="M681" i="6"/>
  <c r="O681" i="6"/>
  <c r="W681" i="6"/>
  <c r="H680" i="6"/>
  <c r="K680" i="6"/>
  <c r="M680" i="6"/>
  <c r="O680" i="6"/>
  <c r="W680" i="6"/>
  <c r="H679" i="6"/>
  <c r="K679" i="6"/>
  <c r="M679" i="6"/>
  <c r="O679" i="6"/>
  <c r="W679" i="6"/>
  <c r="H678" i="6"/>
  <c r="K678" i="6"/>
  <c r="M678" i="6"/>
  <c r="O678" i="6"/>
  <c r="W678" i="6"/>
  <c r="H677" i="6"/>
  <c r="K677" i="6"/>
  <c r="M677" i="6"/>
  <c r="O677" i="6"/>
  <c r="W677" i="6"/>
  <c r="H676" i="6"/>
  <c r="K676" i="6"/>
  <c r="M676" i="6"/>
  <c r="O676" i="6"/>
  <c r="W676" i="6"/>
  <c r="H675" i="6"/>
  <c r="K675" i="6"/>
  <c r="M675" i="6"/>
  <c r="O675" i="6"/>
  <c r="W675" i="6"/>
  <c r="H674" i="6"/>
  <c r="K674" i="6"/>
  <c r="M674" i="6"/>
  <c r="O674" i="6"/>
  <c r="W674" i="6"/>
  <c r="H673" i="6" l="1"/>
  <c r="K673" i="6"/>
  <c r="M673" i="6"/>
  <c r="O673" i="6"/>
  <c r="W673" i="6"/>
  <c r="H672" i="6"/>
  <c r="K672" i="6"/>
  <c r="M672" i="6"/>
  <c r="O672" i="6"/>
  <c r="W672" i="6"/>
  <c r="H671" i="6"/>
  <c r="K671" i="6"/>
  <c r="M671" i="6"/>
  <c r="O671" i="6"/>
  <c r="W671" i="6"/>
  <c r="H670" i="6"/>
  <c r="K670" i="6"/>
  <c r="M670" i="6"/>
  <c r="O670" i="6"/>
  <c r="W670" i="6"/>
  <c r="H147" i="13"/>
  <c r="K147" i="13"/>
  <c r="M147" i="13"/>
  <c r="O147" i="13"/>
  <c r="W147" i="13"/>
  <c r="H669" i="6"/>
  <c r="K669" i="6"/>
  <c r="M669" i="6"/>
  <c r="O669" i="6"/>
  <c r="W669" i="6"/>
  <c r="H668" i="6"/>
  <c r="K668" i="6"/>
  <c r="M668" i="6"/>
  <c r="O668" i="6"/>
  <c r="W668" i="6"/>
  <c r="H146" i="13"/>
  <c r="K146" i="13"/>
  <c r="M146" i="13"/>
  <c r="O146" i="13"/>
  <c r="W146" i="13"/>
  <c r="H145" i="13"/>
  <c r="K145" i="13"/>
  <c r="M145" i="13"/>
  <c r="O145" i="13"/>
  <c r="W145" i="13"/>
  <c r="H144" i="13"/>
  <c r="K144" i="13"/>
  <c r="M144" i="13"/>
  <c r="O144" i="13"/>
  <c r="W144" i="13"/>
  <c r="H667" i="6"/>
  <c r="K667" i="6"/>
  <c r="M667" i="6"/>
  <c r="O667" i="6"/>
  <c r="W667" i="6"/>
  <c r="H666" i="6"/>
  <c r="K666" i="6"/>
  <c r="M666" i="6"/>
  <c r="O666" i="6"/>
  <c r="W666" i="6"/>
  <c r="H665" i="6"/>
  <c r="K665" i="6"/>
  <c r="M665" i="6"/>
  <c r="O665" i="6"/>
  <c r="W665" i="6"/>
  <c r="H664" i="6"/>
  <c r="K664" i="6"/>
  <c r="M664" i="6"/>
  <c r="O664" i="6"/>
  <c r="W664" i="6"/>
  <c r="H663" i="6"/>
  <c r="K663" i="6"/>
  <c r="M663" i="6"/>
  <c r="O663" i="6"/>
  <c r="W663" i="6"/>
  <c r="H662" i="6"/>
  <c r="K662" i="6"/>
  <c r="M662" i="6"/>
  <c r="O662" i="6"/>
  <c r="W662" i="6"/>
  <c r="H661" i="6"/>
  <c r="K661" i="6"/>
  <c r="M661" i="6"/>
  <c r="O661" i="6"/>
  <c r="W661" i="6"/>
  <c r="H660" i="6"/>
  <c r="K660" i="6"/>
  <c r="M660" i="6"/>
  <c r="O660" i="6"/>
  <c r="W660" i="6"/>
  <c r="H659" i="6"/>
  <c r="K659" i="6"/>
  <c r="M659" i="6"/>
  <c r="O659" i="6"/>
  <c r="W659" i="6"/>
  <c r="H658" i="6"/>
  <c r="K658" i="6"/>
  <c r="M658" i="6"/>
  <c r="O658" i="6"/>
  <c r="W658" i="6"/>
  <c r="H657" i="6"/>
  <c r="K657" i="6"/>
  <c r="M657" i="6"/>
  <c r="O657" i="6"/>
  <c r="W657" i="6"/>
  <c r="H656" i="6"/>
  <c r="K656" i="6"/>
  <c r="M656" i="6"/>
  <c r="O656" i="6"/>
  <c r="W656" i="6"/>
  <c r="H655" i="6"/>
  <c r="K655" i="6"/>
  <c r="M655" i="6"/>
  <c r="O655" i="6"/>
  <c r="W655" i="6"/>
  <c r="H654" i="6"/>
  <c r="K654" i="6"/>
  <c r="M654" i="6"/>
  <c r="O654" i="6"/>
  <c r="W654" i="6"/>
  <c r="H653" i="6"/>
  <c r="K653" i="6"/>
  <c r="M653" i="6"/>
  <c r="O653" i="6"/>
  <c r="W653" i="6"/>
  <c r="H652" i="6"/>
  <c r="K652" i="6"/>
  <c r="M652" i="6"/>
  <c r="O652" i="6"/>
  <c r="W652" i="6"/>
  <c r="H651" i="6"/>
  <c r="K651" i="6"/>
  <c r="M651" i="6"/>
  <c r="O651" i="6"/>
  <c r="W651" i="6"/>
  <c r="H650" i="6"/>
  <c r="K650" i="6"/>
  <c r="M650" i="6"/>
  <c r="O650" i="6"/>
  <c r="W650" i="6"/>
  <c r="H649" i="6"/>
  <c r="K649" i="6"/>
  <c r="M649" i="6"/>
  <c r="O649" i="6"/>
  <c r="W649" i="6"/>
  <c r="H648" i="6"/>
  <c r="K648" i="6"/>
  <c r="M648" i="6"/>
  <c r="O648" i="6"/>
  <c r="W648" i="6"/>
  <c r="H647" i="6"/>
  <c r="K647" i="6"/>
  <c r="M647" i="6"/>
  <c r="O647" i="6"/>
  <c r="W647" i="6"/>
  <c r="H646" i="6"/>
  <c r="K646" i="6"/>
  <c r="M646" i="6"/>
  <c r="O646" i="6"/>
  <c r="W646" i="6"/>
  <c r="H645" i="6"/>
  <c r="K645" i="6"/>
  <c r="M645" i="6"/>
  <c r="O645" i="6"/>
  <c r="W645" i="6"/>
  <c r="H644" i="6"/>
  <c r="K644" i="6"/>
  <c r="M644" i="6"/>
  <c r="O644" i="6"/>
  <c r="W644" i="6"/>
  <c r="H643" i="6"/>
  <c r="K643" i="6"/>
  <c r="M643" i="6"/>
  <c r="O643" i="6"/>
  <c r="W643" i="6"/>
  <c r="H642" i="6"/>
  <c r="K642" i="6"/>
  <c r="M642" i="6"/>
  <c r="O642" i="6"/>
  <c r="W642" i="6"/>
  <c r="H641" i="6"/>
  <c r="K641" i="6"/>
  <c r="M641" i="6"/>
  <c r="O641" i="6"/>
  <c r="W641" i="6"/>
  <c r="H640" i="6"/>
  <c r="K640" i="6"/>
  <c r="M640" i="6"/>
  <c r="O640" i="6"/>
  <c r="W640" i="6"/>
  <c r="H639" i="6"/>
  <c r="K639" i="6"/>
  <c r="M639" i="6"/>
  <c r="O639" i="6"/>
  <c r="W639" i="6"/>
  <c r="H638" i="6"/>
  <c r="K638" i="6"/>
  <c r="M638" i="6"/>
  <c r="O638" i="6"/>
  <c r="W638" i="6"/>
  <c r="H637" i="6"/>
  <c r="K637" i="6"/>
  <c r="M637" i="6"/>
  <c r="O637" i="6"/>
  <c r="W637" i="6"/>
  <c r="H636" i="6"/>
  <c r="K636" i="6"/>
  <c r="M636" i="6"/>
  <c r="O636" i="6"/>
  <c r="W636" i="6"/>
  <c r="H635" i="6"/>
  <c r="K635" i="6"/>
  <c r="M635" i="6"/>
  <c r="O635" i="6"/>
  <c r="W635" i="6"/>
  <c r="H634" i="6"/>
  <c r="K634" i="6"/>
  <c r="M634" i="6"/>
  <c r="O634" i="6"/>
  <c r="W634" i="6"/>
  <c r="H633" i="6"/>
  <c r="K633" i="6"/>
  <c r="M633" i="6"/>
  <c r="O633" i="6"/>
  <c r="W633" i="6"/>
  <c r="H632" i="6"/>
  <c r="K632" i="6"/>
  <c r="M632" i="6"/>
  <c r="O632" i="6"/>
  <c r="W632" i="6"/>
  <c r="H631" i="6"/>
  <c r="K631" i="6"/>
  <c r="M631" i="6"/>
  <c r="O631" i="6"/>
  <c r="W631" i="6"/>
  <c r="H630" i="6"/>
  <c r="K630" i="6"/>
  <c r="M630" i="6"/>
  <c r="O630" i="6"/>
  <c r="W630" i="6"/>
  <c r="H629" i="6"/>
  <c r="K629" i="6"/>
  <c r="M629" i="6"/>
  <c r="O629" i="6"/>
  <c r="W629" i="6"/>
  <c r="H628" i="6"/>
  <c r="K628" i="6"/>
  <c r="M628" i="6"/>
  <c r="O628" i="6"/>
  <c r="W628" i="6"/>
  <c r="H143" i="13"/>
  <c r="K143" i="13"/>
  <c r="M143" i="13"/>
  <c r="O143" i="13"/>
  <c r="W143" i="13"/>
  <c r="H142" i="13"/>
  <c r="K142" i="13"/>
  <c r="M142" i="13"/>
  <c r="O142" i="13"/>
  <c r="W142" i="13"/>
  <c r="H141" i="13"/>
  <c r="K141" i="13"/>
  <c r="M141" i="13"/>
  <c r="O141" i="13"/>
  <c r="W141" i="13"/>
  <c r="H140" i="13"/>
  <c r="K140" i="13"/>
  <c r="M140" i="13"/>
  <c r="O140" i="13"/>
  <c r="W140" i="13"/>
  <c r="H139" i="13"/>
  <c r="K139" i="13"/>
  <c r="M139" i="13"/>
  <c r="O139" i="13"/>
  <c r="W139" i="13"/>
  <c r="H627" i="6"/>
  <c r="K627" i="6"/>
  <c r="M627" i="6"/>
  <c r="O627" i="6"/>
  <c r="W627" i="6"/>
  <c r="H626" i="6"/>
  <c r="K626" i="6"/>
  <c r="M626" i="6"/>
  <c r="O626" i="6"/>
  <c r="W626" i="6"/>
  <c r="H625" i="6"/>
  <c r="K625" i="6"/>
  <c r="M625" i="6"/>
  <c r="O625" i="6"/>
  <c r="W625" i="6"/>
  <c r="H624" i="6"/>
  <c r="K624" i="6"/>
  <c r="M624" i="6"/>
  <c r="O624" i="6"/>
  <c r="W624" i="6"/>
  <c r="H623" i="6"/>
  <c r="K623" i="6"/>
  <c r="M623" i="6"/>
  <c r="O623" i="6"/>
  <c r="W623" i="6"/>
  <c r="H622" i="6"/>
  <c r="K622" i="6"/>
  <c r="M622" i="6"/>
  <c r="O622" i="6"/>
  <c r="W622" i="6"/>
  <c r="H621" i="6"/>
  <c r="K621" i="6"/>
  <c r="M621" i="6"/>
  <c r="O621" i="6"/>
  <c r="W621" i="6"/>
  <c r="H620" i="6"/>
  <c r="K620" i="6"/>
  <c r="M620" i="6"/>
  <c r="O620" i="6"/>
  <c r="W620" i="6"/>
  <c r="H619" i="6"/>
  <c r="K619" i="6"/>
  <c r="M619" i="6"/>
  <c r="O619" i="6"/>
  <c r="W619" i="6"/>
  <c r="H618" i="6" l="1"/>
  <c r="K618" i="6"/>
  <c r="M618" i="6"/>
  <c r="O618" i="6"/>
  <c r="W618" i="6"/>
  <c r="H617" i="6"/>
  <c r="K617" i="6"/>
  <c r="M617" i="6"/>
  <c r="O617" i="6"/>
  <c r="W617" i="6"/>
  <c r="H616" i="6"/>
  <c r="K616" i="6"/>
  <c r="M616" i="6"/>
  <c r="O616" i="6"/>
  <c r="W616" i="6"/>
  <c r="H615" i="6"/>
  <c r="K615" i="6"/>
  <c r="M615" i="6"/>
  <c r="O615" i="6"/>
  <c r="W615" i="6"/>
  <c r="H614" i="6"/>
  <c r="K614" i="6"/>
  <c r="M614" i="6"/>
  <c r="O614" i="6"/>
  <c r="W614" i="6"/>
  <c r="H138" i="13"/>
  <c r="K138" i="13"/>
  <c r="M138" i="13"/>
  <c r="O138" i="13"/>
  <c r="W138" i="13"/>
  <c r="H137" i="13"/>
  <c r="K137" i="13"/>
  <c r="M137" i="13"/>
  <c r="O137" i="13"/>
  <c r="W137" i="13"/>
  <c r="H136" i="13" l="1"/>
  <c r="K136" i="13"/>
  <c r="M136" i="13"/>
  <c r="O136" i="13"/>
  <c r="W136" i="13"/>
  <c r="O2" i="13" l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H613" i="6" l="1"/>
  <c r="K613" i="6"/>
  <c r="M613" i="6"/>
  <c r="O613" i="6"/>
  <c r="W613" i="6"/>
  <c r="H612" i="6"/>
  <c r="K612" i="6"/>
  <c r="M612" i="6"/>
  <c r="O612" i="6"/>
  <c r="W612" i="6"/>
  <c r="H611" i="6"/>
  <c r="K611" i="6"/>
  <c r="M611" i="6"/>
  <c r="O611" i="6"/>
  <c r="W611" i="6"/>
  <c r="H610" i="6"/>
  <c r="K610" i="6"/>
  <c r="M610" i="6"/>
  <c r="O610" i="6"/>
  <c r="W610" i="6"/>
  <c r="H609" i="6"/>
  <c r="K609" i="6"/>
  <c r="M609" i="6"/>
  <c r="O609" i="6"/>
  <c r="W609" i="6"/>
  <c r="H135" i="13"/>
  <c r="K135" i="13"/>
  <c r="M135" i="13"/>
  <c r="W135" i="13"/>
  <c r="H608" i="6"/>
  <c r="K608" i="6"/>
  <c r="M608" i="6"/>
  <c r="O608" i="6"/>
  <c r="W608" i="6"/>
  <c r="H607" i="6"/>
  <c r="K607" i="6"/>
  <c r="M607" i="6"/>
  <c r="O607" i="6"/>
  <c r="W607" i="6"/>
  <c r="H606" i="6"/>
  <c r="K606" i="6"/>
  <c r="M606" i="6"/>
  <c r="O606" i="6"/>
  <c r="W606" i="6"/>
  <c r="H605" i="6"/>
  <c r="K605" i="6"/>
  <c r="M605" i="6"/>
  <c r="O605" i="6"/>
  <c r="W605" i="6"/>
  <c r="H604" i="6"/>
  <c r="K604" i="6"/>
  <c r="M604" i="6"/>
  <c r="O604" i="6"/>
  <c r="W604" i="6"/>
  <c r="H603" i="6"/>
  <c r="K603" i="6"/>
  <c r="M603" i="6"/>
  <c r="O603" i="6"/>
  <c r="W603" i="6"/>
  <c r="H602" i="6"/>
  <c r="K602" i="6"/>
  <c r="M602" i="6"/>
  <c r="O602" i="6"/>
  <c r="W602" i="6"/>
  <c r="H601" i="6"/>
  <c r="K601" i="6"/>
  <c r="M601" i="6"/>
  <c r="O601" i="6"/>
  <c r="W601" i="6"/>
  <c r="H600" i="6"/>
  <c r="K600" i="6"/>
  <c r="M600" i="6"/>
  <c r="O600" i="6"/>
  <c r="W600" i="6"/>
  <c r="H599" i="6" l="1"/>
  <c r="K599" i="6"/>
  <c r="M599" i="6"/>
  <c r="O599" i="6"/>
  <c r="W599" i="6"/>
  <c r="H134" i="13"/>
  <c r="K134" i="13"/>
  <c r="M134" i="13"/>
  <c r="W134" i="13"/>
  <c r="H133" i="13"/>
  <c r="K133" i="13"/>
  <c r="M133" i="13"/>
  <c r="W133" i="13"/>
  <c r="H598" i="6"/>
  <c r="K598" i="6"/>
  <c r="M598" i="6"/>
  <c r="O598" i="6"/>
  <c r="W598" i="6"/>
  <c r="H597" i="6"/>
  <c r="K597" i="6"/>
  <c r="M597" i="6"/>
  <c r="O597" i="6"/>
  <c r="W597" i="6"/>
  <c r="H132" i="13"/>
  <c r="K132" i="13"/>
  <c r="M132" i="13"/>
  <c r="W132" i="13"/>
  <c r="H596" i="6"/>
  <c r="K596" i="6"/>
  <c r="M596" i="6"/>
  <c r="O596" i="6"/>
  <c r="W596" i="6"/>
  <c r="H595" i="6"/>
  <c r="K595" i="6"/>
  <c r="M595" i="6"/>
  <c r="O595" i="6"/>
  <c r="W595" i="6"/>
  <c r="H594" i="6"/>
  <c r="K594" i="6"/>
  <c r="M594" i="6"/>
  <c r="O594" i="6"/>
  <c r="W594" i="6"/>
  <c r="H593" i="6"/>
  <c r="K593" i="6"/>
  <c r="M593" i="6"/>
  <c r="O593" i="6"/>
  <c r="W593" i="6"/>
  <c r="H592" i="6" l="1"/>
  <c r="K592" i="6"/>
  <c r="M592" i="6"/>
  <c r="O592" i="6"/>
  <c r="W592" i="6"/>
  <c r="H591" i="6"/>
  <c r="K591" i="6"/>
  <c r="M591" i="6"/>
  <c r="O591" i="6"/>
  <c r="W591" i="6"/>
  <c r="H131" i="13"/>
  <c r="K131" i="13"/>
  <c r="M131" i="13"/>
  <c r="W131" i="13"/>
  <c r="H130" i="13"/>
  <c r="K130" i="13"/>
  <c r="M130" i="13"/>
  <c r="W130" i="13"/>
  <c r="H590" i="6"/>
  <c r="K590" i="6"/>
  <c r="M590" i="6"/>
  <c r="O590" i="6"/>
  <c r="W590" i="6"/>
  <c r="H589" i="6"/>
  <c r="K589" i="6"/>
  <c r="M589" i="6"/>
  <c r="O589" i="6"/>
  <c r="W589" i="6"/>
  <c r="H588" i="6"/>
  <c r="K588" i="6"/>
  <c r="M588" i="6"/>
  <c r="O588" i="6"/>
  <c r="W588" i="6"/>
  <c r="H587" i="6"/>
  <c r="K587" i="6"/>
  <c r="M587" i="6"/>
  <c r="O587" i="6"/>
  <c r="W587" i="6"/>
  <c r="H586" i="6"/>
  <c r="K586" i="6"/>
  <c r="M586" i="6"/>
  <c r="O586" i="6"/>
  <c r="W586" i="6"/>
  <c r="H585" i="6"/>
  <c r="K585" i="6"/>
  <c r="M585" i="6"/>
  <c r="O585" i="6"/>
  <c r="W585" i="6"/>
  <c r="H584" i="6"/>
  <c r="K584" i="6"/>
  <c r="M584" i="6"/>
  <c r="O584" i="6"/>
  <c r="W584" i="6"/>
  <c r="H583" i="6"/>
  <c r="K583" i="6"/>
  <c r="M583" i="6"/>
  <c r="O583" i="6"/>
  <c r="W583" i="6"/>
  <c r="H582" i="6"/>
  <c r="K582" i="6"/>
  <c r="M582" i="6"/>
  <c r="O582" i="6"/>
  <c r="W582" i="6"/>
  <c r="H581" i="6"/>
  <c r="K581" i="6"/>
  <c r="M581" i="6"/>
  <c r="O581" i="6"/>
  <c r="W581" i="6"/>
  <c r="H580" i="6"/>
  <c r="K580" i="6"/>
  <c r="M580" i="6"/>
  <c r="O580" i="6"/>
  <c r="W580" i="6"/>
  <c r="H129" i="13"/>
  <c r="K129" i="13"/>
  <c r="M129" i="13"/>
  <c r="W129" i="13"/>
  <c r="H128" i="13"/>
  <c r="K128" i="13"/>
  <c r="M128" i="13"/>
  <c r="W128" i="13"/>
  <c r="H127" i="13"/>
  <c r="K127" i="13"/>
  <c r="M127" i="13"/>
  <c r="W127" i="13"/>
  <c r="H126" i="13"/>
  <c r="K126" i="13"/>
  <c r="M126" i="13"/>
  <c r="W126" i="13"/>
  <c r="H579" i="6"/>
  <c r="K579" i="6"/>
  <c r="M579" i="6"/>
  <c r="O579" i="6"/>
  <c r="W579" i="6"/>
  <c r="H578" i="6"/>
  <c r="K578" i="6"/>
  <c r="M578" i="6"/>
  <c r="O578" i="6"/>
  <c r="W578" i="6"/>
  <c r="H577" i="6"/>
  <c r="K577" i="6"/>
  <c r="M577" i="6"/>
  <c r="O577" i="6"/>
  <c r="W577" i="6"/>
  <c r="H576" i="6"/>
  <c r="K576" i="6"/>
  <c r="M576" i="6"/>
  <c r="O576" i="6"/>
  <c r="W576" i="6"/>
  <c r="H575" i="6"/>
  <c r="K575" i="6"/>
  <c r="M575" i="6"/>
  <c r="O575" i="6"/>
  <c r="W575" i="6"/>
  <c r="H574" i="6" l="1"/>
  <c r="K574" i="6"/>
  <c r="M574" i="6"/>
  <c r="O574" i="6"/>
  <c r="W574" i="6"/>
  <c r="H573" i="6"/>
  <c r="K573" i="6"/>
  <c r="M573" i="6"/>
  <c r="O573" i="6"/>
  <c r="W573" i="6"/>
  <c r="W572" i="6"/>
  <c r="H572" i="6"/>
  <c r="K572" i="6"/>
  <c r="M572" i="6"/>
  <c r="O572" i="6"/>
  <c r="W571" i="6"/>
  <c r="H571" i="6"/>
  <c r="K571" i="6"/>
  <c r="M571" i="6"/>
  <c r="O571" i="6"/>
  <c r="W570" i="6" l="1"/>
  <c r="H570" i="6"/>
  <c r="K570" i="6"/>
  <c r="M570" i="6"/>
  <c r="O570" i="6"/>
  <c r="W569" i="6"/>
  <c r="H569" i="6"/>
  <c r="K569" i="6"/>
  <c r="M569" i="6"/>
  <c r="O569" i="6"/>
  <c r="W568" i="6"/>
  <c r="H568" i="6"/>
  <c r="K568" i="6"/>
  <c r="M568" i="6"/>
  <c r="O568" i="6"/>
  <c r="W567" i="6"/>
  <c r="H567" i="6"/>
  <c r="K567" i="6"/>
  <c r="M567" i="6"/>
  <c r="O567" i="6"/>
  <c r="W566" i="6"/>
  <c r="H566" i="6"/>
  <c r="K566" i="6"/>
  <c r="M566" i="6"/>
  <c r="O566" i="6"/>
  <c r="W565" i="6"/>
  <c r="H565" i="6"/>
  <c r="K565" i="6"/>
  <c r="M565" i="6"/>
  <c r="O565" i="6"/>
  <c r="W564" i="6"/>
  <c r="H564" i="6"/>
  <c r="K564" i="6"/>
  <c r="M564" i="6"/>
  <c r="O564" i="6"/>
  <c r="W563" i="6"/>
  <c r="H563" i="6"/>
  <c r="K563" i="6"/>
  <c r="M563" i="6"/>
  <c r="O563" i="6"/>
  <c r="W562" i="6"/>
  <c r="H562" i="6"/>
  <c r="K562" i="6"/>
  <c r="M562" i="6"/>
  <c r="O562" i="6"/>
  <c r="W561" i="6"/>
  <c r="H561" i="6"/>
  <c r="K561" i="6"/>
  <c r="M561" i="6"/>
  <c r="O561" i="6"/>
  <c r="W560" i="6" l="1"/>
  <c r="H560" i="6"/>
  <c r="K560" i="6"/>
  <c r="M560" i="6"/>
  <c r="O560" i="6"/>
  <c r="W559" i="6"/>
  <c r="H559" i="6"/>
  <c r="K559" i="6"/>
  <c r="M559" i="6"/>
  <c r="O559" i="6"/>
  <c r="W558" i="6"/>
  <c r="H558" i="6"/>
  <c r="K558" i="6"/>
  <c r="M558" i="6"/>
  <c r="O558" i="6"/>
  <c r="W557" i="6"/>
  <c r="H557" i="6"/>
  <c r="K557" i="6"/>
  <c r="M557" i="6"/>
  <c r="O557" i="6"/>
  <c r="W125" i="13"/>
  <c r="H125" i="13"/>
  <c r="K125" i="13"/>
  <c r="M125" i="13"/>
  <c r="W556" i="6"/>
  <c r="H556" i="6"/>
  <c r="K556" i="6"/>
  <c r="M556" i="6"/>
  <c r="O556" i="6"/>
  <c r="W555" i="6"/>
  <c r="H555" i="6"/>
  <c r="K555" i="6"/>
  <c r="M555" i="6"/>
  <c r="O555" i="6"/>
  <c r="W554" i="6"/>
  <c r="H554" i="6"/>
  <c r="K554" i="6"/>
  <c r="M554" i="6"/>
  <c r="O554" i="6"/>
  <c r="W553" i="6"/>
  <c r="H553" i="6"/>
  <c r="K553" i="6"/>
  <c r="M553" i="6"/>
  <c r="O553" i="6"/>
  <c r="W124" i="13"/>
  <c r="H124" i="13"/>
  <c r="K124" i="13"/>
  <c r="M124" i="13"/>
  <c r="W552" i="6"/>
  <c r="H552" i="6"/>
  <c r="K552" i="6"/>
  <c r="M552" i="6"/>
  <c r="O552" i="6"/>
  <c r="W551" i="6"/>
  <c r="H551" i="6"/>
  <c r="K551" i="6"/>
  <c r="M551" i="6"/>
  <c r="O551" i="6"/>
  <c r="W550" i="6"/>
  <c r="H550" i="6"/>
  <c r="K550" i="6"/>
  <c r="M550" i="6"/>
  <c r="O550" i="6"/>
  <c r="W549" i="6"/>
  <c r="H549" i="6"/>
  <c r="K549" i="6"/>
  <c r="M549" i="6"/>
  <c r="O549" i="6"/>
  <c r="W548" i="6"/>
  <c r="H548" i="6"/>
  <c r="K548" i="6"/>
  <c r="M548" i="6"/>
  <c r="O548" i="6"/>
  <c r="W547" i="6"/>
  <c r="H547" i="6"/>
  <c r="K547" i="6"/>
  <c r="M547" i="6"/>
  <c r="O547" i="6"/>
  <c r="W546" i="6"/>
  <c r="H546" i="6"/>
  <c r="K546" i="6"/>
  <c r="M546" i="6"/>
  <c r="O546" i="6"/>
  <c r="W545" i="6"/>
  <c r="H545" i="6"/>
  <c r="K545" i="6"/>
  <c r="M545" i="6"/>
  <c r="O545" i="6"/>
  <c r="W544" i="6"/>
  <c r="H544" i="6"/>
  <c r="K544" i="6"/>
  <c r="M544" i="6"/>
  <c r="O544" i="6"/>
  <c r="W543" i="6"/>
  <c r="H543" i="6"/>
  <c r="K543" i="6"/>
  <c r="M543" i="6"/>
  <c r="O543" i="6"/>
  <c r="W542" i="6"/>
  <c r="H542" i="6"/>
  <c r="K542" i="6"/>
  <c r="M542" i="6"/>
  <c r="O542" i="6"/>
  <c r="W541" i="6"/>
  <c r="H541" i="6"/>
  <c r="K541" i="6"/>
  <c r="M541" i="6"/>
  <c r="O541" i="6"/>
  <c r="W540" i="6"/>
  <c r="H540" i="6"/>
  <c r="K540" i="6"/>
  <c r="M540" i="6"/>
  <c r="O540" i="6"/>
  <c r="W539" i="6"/>
  <c r="H539" i="6"/>
  <c r="K539" i="6"/>
  <c r="M539" i="6"/>
  <c r="O539" i="6"/>
  <c r="W538" i="6"/>
  <c r="H538" i="6"/>
  <c r="K538" i="6"/>
  <c r="M538" i="6"/>
  <c r="O538" i="6"/>
  <c r="W537" i="6"/>
  <c r="H537" i="6"/>
  <c r="K537" i="6"/>
  <c r="M537" i="6"/>
  <c r="O537" i="6"/>
  <c r="W536" i="6"/>
  <c r="H536" i="6"/>
  <c r="K536" i="6"/>
  <c r="M536" i="6"/>
  <c r="O536" i="6"/>
  <c r="W535" i="6"/>
  <c r="H535" i="6"/>
  <c r="K535" i="6"/>
  <c r="M535" i="6"/>
  <c r="O535" i="6"/>
  <c r="W534" i="6"/>
  <c r="H534" i="6"/>
  <c r="K534" i="6"/>
  <c r="M534" i="6"/>
  <c r="O534" i="6"/>
  <c r="W533" i="6"/>
  <c r="H533" i="6"/>
  <c r="K533" i="6"/>
  <c r="M533" i="6"/>
  <c r="O533" i="6"/>
  <c r="W532" i="6"/>
  <c r="H532" i="6"/>
  <c r="K532" i="6"/>
  <c r="M532" i="6"/>
  <c r="O532" i="6"/>
  <c r="W531" i="6"/>
  <c r="H531" i="6"/>
  <c r="K531" i="6"/>
  <c r="M531" i="6"/>
  <c r="O531" i="6"/>
  <c r="W530" i="6"/>
  <c r="H530" i="6"/>
  <c r="K530" i="6"/>
  <c r="M530" i="6"/>
  <c r="O530" i="6"/>
  <c r="W529" i="6"/>
  <c r="H529" i="6"/>
  <c r="K529" i="6"/>
  <c r="M529" i="6"/>
  <c r="O529" i="6"/>
  <c r="W528" i="6"/>
  <c r="H528" i="6"/>
  <c r="K528" i="6"/>
  <c r="M528" i="6"/>
  <c r="O528" i="6"/>
  <c r="W527" i="6"/>
  <c r="H527" i="6"/>
  <c r="K527" i="6"/>
  <c r="M527" i="6"/>
  <c r="O527" i="6"/>
  <c r="W526" i="6"/>
  <c r="H526" i="6"/>
  <c r="K526" i="6"/>
  <c r="M526" i="6"/>
  <c r="O526" i="6"/>
  <c r="W525" i="6"/>
  <c r="H525" i="6"/>
  <c r="K525" i="6"/>
  <c r="M525" i="6"/>
  <c r="O525" i="6"/>
  <c r="W524" i="6"/>
  <c r="H524" i="6"/>
  <c r="K524" i="6"/>
  <c r="M524" i="6"/>
  <c r="O524" i="6"/>
  <c r="W523" i="6"/>
  <c r="H523" i="6"/>
  <c r="K523" i="6"/>
  <c r="M523" i="6"/>
  <c r="O523" i="6"/>
  <c r="W522" i="6"/>
  <c r="H522" i="6"/>
  <c r="K522" i="6"/>
  <c r="M522" i="6"/>
  <c r="O522" i="6"/>
  <c r="W521" i="6"/>
  <c r="H521" i="6"/>
  <c r="K521" i="6"/>
  <c r="M521" i="6"/>
  <c r="O521" i="6"/>
  <c r="W520" i="6"/>
  <c r="H520" i="6"/>
  <c r="K520" i="6"/>
  <c r="M520" i="6"/>
  <c r="O520" i="6"/>
  <c r="W519" i="6"/>
  <c r="H519" i="6"/>
  <c r="K519" i="6"/>
  <c r="M519" i="6"/>
  <c r="O519" i="6"/>
  <c r="W518" i="6"/>
  <c r="H518" i="6"/>
  <c r="K518" i="6"/>
  <c r="M518" i="6"/>
  <c r="O518" i="6"/>
  <c r="W517" i="6"/>
  <c r="H517" i="6"/>
  <c r="K517" i="6"/>
  <c r="M517" i="6"/>
  <c r="O517" i="6"/>
  <c r="W516" i="6"/>
  <c r="H516" i="6"/>
  <c r="K516" i="6"/>
  <c r="M516" i="6"/>
  <c r="O516" i="6"/>
  <c r="W123" i="13" l="1"/>
  <c r="H123" i="13"/>
  <c r="K123" i="13"/>
  <c r="M123" i="13"/>
  <c r="W122" i="13"/>
  <c r="H122" i="13"/>
  <c r="K122" i="13"/>
  <c r="M122" i="13"/>
  <c r="W121" i="13"/>
  <c r="H121" i="13"/>
  <c r="K121" i="13"/>
  <c r="M121" i="13"/>
  <c r="W120" i="13"/>
  <c r="H120" i="13"/>
  <c r="K120" i="13"/>
  <c r="M120" i="13"/>
  <c r="W119" i="13"/>
  <c r="H119" i="13"/>
  <c r="K119" i="13"/>
  <c r="M119" i="13"/>
  <c r="W118" i="13"/>
  <c r="H118" i="13"/>
  <c r="K118" i="13"/>
  <c r="M118" i="13"/>
  <c r="W117" i="13"/>
  <c r="H117" i="13"/>
  <c r="K117" i="13"/>
  <c r="M117" i="13"/>
  <c r="W116" i="13"/>
  <c r="H116" i="13"/>
  <c r="K116" i="13"/>
  <c r="M116" i="13"/>
  <c r="W115" i="13"/>
  <c r="H115" i="13"/>
  <c r="K115" i="13"/>
  <c r="M115" i="13"/>
  <c r="W515" i="6"/>
  <c r="H515" i="6"/>
  <c r="K515" i="6"/>
  <c r="M515" i="6"/>
  <c r="O515" i="6"/>
  <c r="W514" i="6"/>
  <c r="H514" i="6"/>
  <c r="K514" i="6"/>
  <c r="M514" i="6"/>
  <c r="O514" i="6"/>
  <c r="W513" i="6"/>
  <c r="H513" i="6"/>
  <c r="K513" i="6"/>
  <c r="M513" i="6"/>
  <c r="O513" i="6"/>
  <c r="W512" i="6"/>
  <c r="H512" i="6"/>
  <c r="K512" i="6"/>
  <c r="M512" i="6"/>
  <c r="O512" i="6"/>
  <c r="W511" i="6"/>
  <c r="H511" i="6"/>
  <c r="K511" i="6"/>
  <c r="M511" i="6"/>
  <c r="O511" i="6"/>
  <c r="W510" i="6"/>
  <c r="H510" i="6"/>
  <c r="K510" i="6"/>
  <c r="M510" i="6"/>
  <c r="O510" i="6"/>
  <c r="W509" i="6"/>
  <c r="H509" i="6"/>
  <c r="K509" i="6"/>
  <c r="M509" i="6"/>
  <c r="O509" i="6"/>
  <c r="W508" i="6"/>
  <c r="H508" i="6"/>
  <c r="K508" i="6"/>
  <c r="M508" i="6"/>
  <c r="O508" i="6"/>
  <c r="W507" i="6"/>
  <c r="H507" i="6"/>
  <c r="K507" i="6"/>
  <c r="M507" i="6"/>
  <c r="O507" i="6"/>
  <c r="W506" i="6"/>
  <c r="H506" i="6"/>
  <c r="K506" i="6"/>
  <c r="M506" i="6"/>
  <c r="O506" i="6"/>
  <c r="W505" i="6"/>
  <c r="H505" i="6"/>
  <c r="K505" i="6"/>
  <c r="M505" i="6"/>
  <c r="O505" i="6"/>
  <c r="W114" i="13"/>
  <c r="H114" i="13"/>
  <c r="K114" i="13"/>
  <c r="M114" i="13"/>
  <c r="W504" i="6"/>
  <c r="H504" i="6"/>
  <c r="K504" i="6"/>
  <c r="M504" i="6"/>
  <c r="O504" i="6"/>
  <c r="W503" i="6"/>
  <c r="H503" i="6"/>
  <c r="K503" i="6"/>
  <c r="M503" i="6"/>
  <c r="O503" i="6"/>
  <c r="W502" i="6"/>
  <c r="H502" i="6"/>
  <c r="K502" i="6"/>
  <c r="M502" i="6"/>
  <c r="O502" i="6"/>
  <c r="W501" i="6"/>
  <c r="H501" i="6"/>
  <c r="K501" i="6"/>
  <c r="M501" i="6"/>
  <c r="O501" i="6"/>
  <c r="W500" i="6"/>
  <c r="H500" i="6"/>
  <c r="K500" i="6"/>
  <c r="M500" i="6"/>
  <c r="O500" i="6"/>
  <c r="W499" i="6"/>
  <c r="H499" i="6"/>
  <c r="K499" i="6"/>
  <c r="M499" i="6"/>
  <c r="O499" i="6"/>
  <c r="W498" i="6"/>
  <c r="H498" i="6"/>
  <c r="K498" i="6"/>
  <c r="M498" i="6"/>
  <c r="O498" i="6"/>
  <c r="W497" i="6"/>
  <c r="H497" i="6"/>
  <c r="K497" i="6"/>
  <c r="M497" i="6"/>
  <c r="O497" i="6"/>
  <c r="W496" i="6"/>
  <c r="H496" i="6"/>
  <c r="K496" i="6"/>
  <c r="M496" i="6"/>
  <c r="O496" i="6"/>
  <c r="W495" i="6"/>
  <c r="H495" i="6"/>
  <c r="K495" i="6"/>
  <c r="M495" i="6"/>
  <c r="O495" i="6"/>
  <c r="W494" i="6"/>
  <c r="H494" i="6"/>
  <c r="K494" i="6"/>
  <c r="M494" i="6"/>
  <c r="O494" i="6"/>
  <c r="W493" i="6"/>
  <c r="H493" i="6"/>
  <c r="K493" i="6"/>
  <c r="M493" i="6"/>
  <c r="O493" i="6"/>
  <c r="W113" i="13"/>
  <c r="H113" i="13"/>
  <c r="K113" i="13"/>
  <c r="M113" i="13"/>
  <c r="W112" i="13"/>
  <c r="H112" i="13"/>
  <c r="K112" i="13"/>
  <c r="M112" i="13"/>
  <c r="W111" i="13"/>
  <c r="H111" i="13"/>
  <c r="K111" i="13"/>
  <c r="M111" i="13"/>
  <c r="W110" i="13"/>
  <c r="H110" i="13"/>
  <c r="K110" i="13"/>
  <c r="M110" i="13"/>
  <c r="W109" i="13"/>
  <c r="H109" i="13"/>
  <c r="K109" i="13"/>
  <c r="M109" i="13"/>
  <c r="W108" i="13" l="1"/>
  <c r="H108" i="13"/>
  <c r="K108" i="13"/>
  <c r="M108" i="13"/>
  <c r="W492" i="6"/>
  <c r="H492" i="6"/>
  <c r="K492" i="6"/>
  <c r="M492" i="6"/>
  <c r="O492" i="6"/>
  <c r="W491" i="6"/>
  <c r="H491" i="6"/>
  <c r="K491" i="6"/>
  <c r="M491" i="6"/>
  <c r="O491" i="6"/>
  <c r="W490" i="6"/>
  <c r="H490" i="6"/>
  <c r="K490" i="6"/>
  <c r="M490" i="6"/>
  <c r="O490" i="6"/>
  <c r="W489" i="6"/>
  <c r="H489" i="6"/>
  <c r="K489" i="6"/>
  <c r="M489" i="6"/>
  <c r="O489" i="6"/>
  <c r="W488" i="6"/>
  <c r="H488" i="6"/>
  <c r="K488" i="6"/>
  <c r="M488" i="6"/>
  <c r="O488" i="6"/>
  <c r="W487" i="6"/>
  <c r="H487" i="6"/>
  <c r="K487" i="6"/>
  <c r="M487" i="6"/>
  <c r="O487" i="6"/>
  <c r="W486" i="6"/>
  <c r="H486" i="6"/>
  <c r="K486" i="6"/>
  <c r="M486" i="6"/>
  <c r="O486" i="6"/>
  <c r="W485" i="6"/>
  <c r="H485" i="6"/>
  <c r="K485" i="6"/>
  <c r="M485" i="6"/>
  <c r="O485" i="6"/>
  <c r="W107" i="13"/>
  <c r="H107" i="13"/>
  <c r="K107" i="13"/>
  <c r="M107" i="13"/>
  <c r="W106" i="13"/>
  <c r="H106" i="13"/>
  <c r="K106" i="13"/>
  <c r="M106" i="13"/>
  <c r="W105" i="13"/>
  <c r="H105" i="13"/>
  <c r="K105" i="13"/>
  <c r="M105" i="13"/>
  <c r="W484" i="6"/>
  <c r="H484" i="6"/>
  <c r="K484" i="6"/>
  <c r="M484" i="6"/>
  <c r="O484" i="6"/>
  <c r="W483" i="6"/>
  <c r="H483" i="6"/>
  <c r="K483" i="6"/>
  <c r="M483" i="6"/>
  <c r="O483" i="6"/>
  <c r="W482" i="6"/>
  <c r="H482" i="6"/>
  <c r="K482" i="6"/>
  <c r="M482" i="6"/>
  <c r="O482" i="6"/>
  <c r="W481" i="6"/>
  <c r="H481" i="6"/>
  <c r="K481" i="6"/>
  <c r="M481" i="6"/>
  <c r="O481" i="6"/>
  <c r="W480" i="6"/>
  <c r="H480" i="6"/>
  <c r="K480" i="6"/>
  <c r="M480" i="6"/>
  <c r="O480" i="6"/>
  <c r="W479" i="6"/>
  <c r="H479" i="6"/>
  <c r="K479" i="6"/>
  <c r="M479" i="6"/>
  <c r="O479" i="6"/>
  <c r="W478" i="6"/>
  <c r="H478" i="6"/>
  <c r="K478" i="6"/>
  <c r="M478" i="6"/>
  <c r="O478" i="6"/>
  <c r="W477" i="6"/>
  <c r="H477" i="6"/>
  <c r="K477" i="6"/>
  <c r="M477" i="6"/>
  <c r="O477" i="6"/>
  <c r="W476" i="6"/>
  <c r="H476" i="6"/>
  <c r="K476" i="6"/>
  <c r="M476" i="6"/>
  <c r="O476" i="6"/>
  <c r="W475" i="6"/>
  <c r="H475" i="6"/>
  <c r="K475" i="6"/>
  <c r="M475" i="6"/>
  <c r="O475" i="6"/>
  <c r="W104" i="13"/>
  <c r="H104" i="13"/>
  <c r="K104" i="13"/>
  <c r="M104" i="13"/>
  <c r="W103" i="13"/>
  <c r="H103" i="13"/>
  <c r="K103" i="13"/>
  <c r="M103" i="13"/>
  <c r="W102" i="13"/>
  <c r="H102" i="13"/>
  <c r="K102" i="13"/>
  <c r="M102" i="13"/>
  <c r="W101" i="13"/>
  <c r="H101" i="13"/>
  <c r="K101" i="13"/>
  <c r="M101" i="13"/>
  <c r="W474" i="6"/>
  <c r="H474" i="6"/>
  <c r="K474" i="6"/>
  <c r="M474" i="6"/>
  <c r="O474" i="6"/>
  <c r="W473" i="6"/>
  <c r="H473" i="6"/>
  <c r="K473" i="6"/>
  <c r="M473" i="6"/>
  <c r="O473" i="6"/>
  <c r="W472" i="6"/>
  <c r="H472" i="6"/>
  <c r="K472" i="6"/>
  <c r="M472" i="6"/>
  <c r="O472" i="6"/>
  <c r="W471" i="6"/>
  <c r="H471" i="6"/>
  <c r="K471" i="6"/>
  <c r="M471" i="6"/>
  <c r="O471" i="6"/>
  <c r="W470" i="6"/>
  <c r="H470" i="6"/>
  <c r="K470" i="6"/>
  <c r="M470" i="6"/>
  <c r="O470" i="6"/>
  <c r="W469" i="6"/>
  <c r="H469" i="6"/>
  <c r="K469" i="6"/>
  <c r="M469" i="6"/>
  <c r="O469" i="6"/>
  <c r="W468" i="6"/>
  <c r="H468" i="6"/>
  <c r="K468" i="6"/>
  <c r="M468" i="6"/>
  <c r="O468" i="6"/>
  <c r="W467" i="6"/>
  <c r="H467" i="6"/>
  <c r="K467" i="6"/>
  <c r="M467" i="6"/>
  <c r="O467" i="6"/>
  <c r="W466" i="6"/>
  <c r="H466" i="6"/>
  <c r="K466" i="6"/>
  <c r="M466" i="6"/>
  <c r="O466" i="6"/>
  <c r="W465" i="6"/>
  <c r="H465" i="6"/>
  <c r="K465" i="6"/>
  <c r="M465" i="6"/>
  <c r="O465" i="6"/>
  <c r="W464" i="6"/>
  <c r="H464" i="6"/>
  <c r="K464" i="6"/>
  <c r="M464" i="6"/>
  <c r="O464" i="6"/>
  <c r="W463" i="6"/>
  <c r="H463" i="6"/>
  <c r="K463" i="6"/>
  <c r="M463" i="6"/>
  <c r="O463" i="6"/>
  <c r="W462" i="6"/>
  <c r="H462" i="6"/>
  <c r="K462" i="6"/>
  <c r="M462" i="6"/>
  <c r="O462" i="6"/>
  <c r="W461" i="6"/>
  <c r="H461" i="6"/>
  <c r="K461" i="6"/>
  <c r="M461" i="6"/>
  <c r="O461" i="6"/>
  <c r="W460" i="6"/>
  <c r="H460" i="6"/>
  <c r="K460" i="6"/>
  <c r="M460" i="6"/>
  <c r="O460" i="6"/>
  <c r="W459" i="6"/>
  <c r="H459" i="6"/>
  <c r="K459" i="6"/>
  <c r="M459" i="6"/>
  <c r="O459" i="6"/>
  <c r="W458" i="6"/>
  <c r="H458" i="6"/>
  <c r="K458" i="6"/>
  <c r="M458" i="6"/>
  <c r="O458" i="6"/>
  <c r="W100" i="13"/>
  <c r="H100" i="13"/>
  <c r="K100" i="13"/>
  <c r="M100" i="13"/>
  <c r="W457" i="6"/>
  <c r="H457" i="6"/>
  <c r="K457" i="6"/>
  <c r="M457" i="6"/>
  <c r="O457" i="6"/>
  <c r="W456" i="6"/>
  <c r="H456" i="6"/>
  <c r="K456" i="6"/>
  <c r="M456" i="6"/>
  <c r="O456" i="6"/>
  <c r="W455" i="6"/>
  <c r="H455" i="6"/>
  <c r="K455" i="6"/>
  <c r="M455" i="6"/>
  <c r="O455" i="6"/>
  <c r="W454" i="6"/>
  <c r="H454" i="6"/>
  <c r="K454" i="6"/>
  <c r="M454" i="6"/>
  <c r="O454" i="6"/>
  <c r="W453" i="6"/>
  <c r="H453" i="6"/>
  <c r="K453" i="6"/>
  <c r="M453" i="6"/>
  <c r="O453" i="6"/>
  <c r="W452" i="6"/>
  <c r="H452" i="6"/>
  <c r="K452" i="6"/>
  <c r="M452" i="6"/>
  <c r="O452" i="6"/>
  <c r="W451" i="6"/>
  <c r="H451" i="6"/>
  <c r="K451" i="6"/>
  <c r="M451" i="6"/>
  <c r="O451" i="6"/>
  <c r="W450" i="6"/>
  <c r="H450" i="6"/>
  <c r="K450" i="6"/>
  <c r="M450" i="6"/>
  <c r="O450" i="6"/>
  <c r="W449" i="6"/>
  <c r="H449" i="6"/>
  <c r="K449" i="6"/>
  <c r="M449" i="6"/>
  <c r="O449" i="6"/>
  <c r="W448" i="6"/>
  <c r="H448" i="6"/>
  <c r="K448" i="6"/>
  <c r="M448" i="6"/>
  <c r="O448" i="6"/>
  <c r="W447" i="6"/>
  <c r="H447" i="6"/>
  <c r="K447" i="6"/>
  <c r="M447" i="6"/>
  <c r="O447" i="6"/>
  <c r="W446" i="6"/>
  <c r="H446" i="6"/>
  <c r="K446" i="6"/>
  <c r="M446" i="6"/>
  <c r="O446" i="6"/>
  <c r="W445" i="6"/>
  <c r="H445" i="6"/>
  <c r="K445" i="6"/>
  <c r="M445" i="6"/>
  <c r="O445" i="6"/>
  <c r="W444" i="6"/>
  <c r="H444" i="6"/>
  <c r="K444" i="6"/>
  <c r="M444" i="6"/>
  <c r="O444" i="6"/>
  <c r="W443" i="6"/>
  <c r="H443" i="6"/>
  <c r="K443" i="6"/>
  <c r="M443" i="6"/>
  <c r="O443" i="6"/>
  <c r="W442" i="6"/>
  <c r="H442" i="6"/>
  <c r="K442" i="6"/>
  <c r="M442" i="6"/>
  <c r="O442" i="6"/>
  <c r="W441" i="6"/>
  <c r="H441" i="6"/>
  <c r="K441" i="6"/>
  <c r="M441" i="6"/>
  <c r="O441" i="6"/>
  <c r="W440" i="6"/>
  <c r="H440" i="6"/>
  <c r="K440" i="6"/>
  <c r="M440" i="6"/>
  <c r="O440" i="6"/>
  <c r="W439" i="6"/>
  <c r="H439" i="6"/>
  <c r="K439" i="6"/>
  <c r="M439" i="6"/>
  <c r="O439" i="6"/>
  <c r="W438" i="6"/>
  <c r="H438" i="6"/>
  <c r="K438" i="6"/>
  <c r="M438" i="6"/>
  <c r="O438" i="6"/>
  <c r="W437" i="6"/>
  <c r="H437" i="6"/>
  <c r="K437" i="6"/>
  <c r="M437" i="6"/>
  <c r="O437" i="6"/>
  <c r="W436" i="6"/>
  <c r="H436" i="6"/>
  <c r="K436" i="6"/>
  <c r="M436" i="6"/>
  <c r="O436" i="6"/>
  <c r="W435" i="6"/>
  <c r="H435" i="6"/>
  <c r="K435" i="6"/>
  <c r="M435" i="6"/>
  <c r="O435" i="6"/>
  <c r="W99" i="13"/>
  <c r="H99" i="13"/>
  <c r="K99" i="13"/>
  <c r="M99" i="13"/>
  <c r="W98" i="13"/>
  <c r="H98" i="13"/>
  <c r="K98" i="13"/>
  <c r="M98" i="13"/>
  <c r="W434" i="6"/>
  <c r="H434" i="6"/>
  <c r="K434" i="6"/>
  <c r="M434" i="6"/>
  <c r="O434" i="6"/>
  <c r="W433" i="6"/>
  <c r="H433" i="6"/>
  <c r="K433" i="6"/>
  <c r="M433" i="6"/>
  <c r="O433" i="6"/>
  <c r="W432" i="6"/>
  <c r="H432" i="6"/>
  <c r="K432" i="6"/>
  <c r="M432" i="6"/>
  <c r="O432" i="6"/>
  <c r="W431" i="6"/>
  <c r="H431" i="6"/>
  <c r="K431" i="6"/>
  <c r="M431" i="6"/>
  <c r="O431" i="6"/>
  <c r="W97" i="13"/>
  <c r="H97" i="13"/>
  <c r="K97" i="13"/>
  <c r="M97" i="13"/>
  <c r="W96" i="13"/>
  <c r="H96" i="13"/>
  <c r="K96" i="13"/>
  <c r="M96" i="13"/>
  <c r="W95" i="13"/>
  <c r="H95" i="13"/>
  <c r="K95" i="13"/>
  <c r="M95" i="13"/>
  <c r="W94" i="13"/>
  <c r="H94" i="13"/>
  <c r="K94" i="13"/>
  <c r="M94" i="13"/>
  <c r="W93" i="13"/>
  <c r="H93" i="13"/>
  <c r="K93" i="13"/>
  <c r="M93" i="13"/>
  <c r="W92" i="13"/>
  <c r="H92" i="13"/>
  <c r="K92" i="13"/>
  <c r="M92" i="13"/>
  <c r="W430" i="6"/>
  <c r="H430" i="6"/>
  <c r="K430" i="6"/>
  <c r="M430" i="6"/>
  <c r="O430" i="6"/>
  <c r="W429" i="6"/>
  <c r="H429" i="6"/>
  <c r="K429" i="6"/>
  <c r="M429" i="6"/>
  <c r="O429" i="6"/>
  <c r="W428" i="6"/>
  <c r="H428" i="6"/>
  <c r="K428" i="6"/>
  <c r="M428" i="6"/>
  <c r="O428" i="6"/>
  <c r="W427" i="6"/>
  <c r="H427" i="6"/>
  <c r="K427" i="6"/>
  <c r="M427" i="6"/>
  <c r="O427" i="6"/>
  <c r="W426" i="6"/>
  <c r="H426" i="6"/>
  <c r="K426" i="6"/>
  <c r="M426" i="6"/>
  <c r="O426" i="6"/>
  <c r="W425" i="6"/>
  <c r="H425" i="6"/>
  <c r="K425" i="6"/>
  <c r="M425" i="6"/>
  <c r="O425" i="6"/>
  <c r="W424" i="6"/>
  <c r="H424" i="6"/>
  <c r="K424" i="6"/>
  <c r="M424" i="6"/>
  <c r="O424" i="6"/>
  <c r="W423" i="6"/>
  <c r="H423" i="6"/>
  <c r="K423" i="6"/>
  <c r="M423" i="6"/>
  <c r="O423" i="6"/>
  <c r="H17" i="17"/>
  <c r="H18" i="17"/>
  <c r="H19" i="17"/>
  <c r="H20" i="17"/>
  <c r="H21" i="17"/>
  <c r="H22" i="17"/>
  <c r="H23" i="17"/>
  <c r="H24" i="17"/>
  <c r="W422" i="6"/>
  <c r="H422" i="6"/>
  <c r="K422" i="6"/>
  <c r="M422" i="6"/>
  <c r="O422" i="6"/>
  <c r="W421" i="6"/>
  <c r="H421" i="6"/>
  <c r="K421" i="6"/>
  <c r="M421" i="6"/>
  <c r="O421" i="6"/>
  <c r="W420" i="6"/>
  <c r="H420" i="6"/>
  <c r="K420" i="6"/>
  <c r="M420" i="6"/>
  <c r="O420" i="6"/>
  <c r="W419" i="6"/>
  <c r="H419" i="6"/>
  <c r="K419" i="6"/>
  <c r="M419" i="6"/>
  <c r="O419" i="6"/>
  <c r="W418" i="6"/>
  <c r="H418" i="6"/>
  <c r="K418" i="6"/>
  <c r="M418" i="6"/>
  <c r="O418" i="6"/>
  <c r="W417" i="6"/>
  <c r="H417" i="6"/>
  <c r="K417" i="6"/>
  <c r="M417" i="6"/>
  <c r="O417" i="6"/>
  <c r="W91" i="13"/>
  <c r="H91" i="13"/>
  <c r="K91" i="13"/>
  <c r="M91" i="13"/>
  <c r="W90" i="13"/>
  <c r="H90" i="13"/>
  <c r="K90" i="13"/>
  <c r="M90" i="13"/>
  <c r="W416" i="6"/>
  <c r="H416" i="6"/>
  <c r="K416" i="6"/>
  <c r="M416" i="6"/>
  <c r="O416" i="6"/>
  <c r="W415" i="6"/>
  <c r="H415" i="6"/>
  <c r="K415" i="6"/>
  <c r="M415" i="6"/>
  <c r="O415" i="6"/>
  <c r="W414" i="6"/>
  <c r="H414" i="6"/>
  <c r="K414" i="6"/>
  <c r="M414" i="6"/>
  <c r="O414" i="6"/>
  <c r="W413" i="6"/>
  <c r="H413" i="6"/>
  <c r="K413" i="6"/>
  <c r="M413" i="6"/>
  <c r="O413" i="6"/>
  <c r="W412" i="6"/>
  <c r="H412" i="6"/>
  <c r="K412" i="6"/>
  <c r="M412" i="6"/>
  <c r="O412" i="6"/>
  <c r="W411" i="6"/>
  <c r="H411" i="6"/>
  <c r="K411" i="6"/>
  <c r="M411" i="6"/>
  <c r="O411" i="6"/>
  <c r="W410" i="6"/>
  <c r="H410" i="6"/>
  <c r="K410" i="6"/>
  <c r="M410" i="6"/>
  <c r="O410" i="6"/>
  <c r="W409" i="6"/>
  <c r="H409" i="6"/>
  <c r="K409" i="6"/>
  <c r="M409" i="6"/>
  <c r="O409" i="6"/>
  <c r="W408" i="6"/>
  <c r="H408" i="6"/>
  <c r="K408" i="6"/>
  <c r="M408" i="6"/>
  <c r="O408" i="6"/>
  <c r="W407" i="6"/>
  <c r="H407" i="6"/>
  <c r="K407" i="6"/>
  <c r="M407" i="6"/>
  <c r="O407" i="6"/>
  <c r="W406" i="6"/>
  <c r="H406" i="6"/>
  <c r="K406" i="6"/>
  <c r="M406" i="6"/>
  <c r="O406" i="6"/>
  <c r="W405" i="6"/>
  <c r="H405" i="6"/>
  <c r="K405" i="6"/>
  <c r="M405" i="6"/>
  <c r="O405" i="6"/>
  <c r="W404" i="6"/>
  <c r="H404" i="6"/>
  <c r="K404" i="6"/>
  <c r="M404" i="6"/>
  <c r="O404" i="6"/>
  <c r="W403" i="6"/>
  <c r="H403" i="6"/>
  <c r="K403" i="6"/>
  <c r="M403" i="6"/>
  <c r="O403" i="6"/>
  <c r="W402" i="6"/>
  <c r="H402" i="6"/>
  <c r="K402" i="6"/>
  <c r="M402" i="6"/>
  <c r="O402" i="6"/>
  <c r="W401" i="6"/>
  <c r="H401" i="6"/>
  <c r="K401" i="6"/>
  <c r="M401" i="6"/>
  <c r="O401" i="6"/>
  <c r="W400" i="6"/>
  <c r="H400" i="6"/>
  <c r="K400" i="6"/>
  <c r="M400" i="6"/>
  <c r="O400" i="6"/>
  <c r="W399" i="6"/>
  <c r="H399" i="6"/>
  <c r="K399" i="6"/>
  <c r="M399" i="6"/>
  <c r="O399" i="6"/>
  <c r="W398" i="6"/>
  <c r="H398" i="6"/>
  <c r="K398" i="6"/>
  <c r="M398" i="6"/>
  <c r="O398" i="6"/>
  <c r="W397" i="6"/>
  <c r="H397" i="6"/>
  <c r="K397" i="6"/>
  <c r="M397" i="6"/>
  <c r="O397" i="6"/>
  <c r="W396" i="6"/>
  <c r="H396" i="6"/>
  <c r="K396" i="6"/>
  <c r="M396" i="6"/>
  <c r="O396" i="6"/>
  <c r="W395" i="6"/>
  <c r="H395" i="6"/>
  <c r="K395" i="6"/>
  <c r="M395" i="6"/>
  <c r="O395" i="6"/>
  <c r="W394" i="6"/>
  <c r="H394" i="6"/>
  <c r="K394" i="6"/>
  <c r="M394" i="6"/>
  <c r="O394" i="6"/>
  <c r="W393" i="6"/>
  <c r="H393" i="6"/>
  <c r="K393" i="6"/>
  <c r="M393" i="6"/>
  <c r="O393" i="6"/>
  <c r="W392" i="6"/>
  <c r="H392" i="6"/>
  <c r="K392" i="6"/>
  <c r="M392" i="6"/>
  <c r="O392" i="6"/>
  <c r="W391" i="6"/>
  <c r="H391" i="6"/>
  <c r="K391" i="6"/>
  <c r="M391" i="6"/>
  <c r="O391" i="6"/>
  <c r="W390" i="6"/>
  <c r="H390" i="6"/>
  <c r="K390" i="6"/>
  <c r="M390" i="6"/>
  <c r="O390" i="6"/>
  <c r="W389" i="6"/>
  <c r="H389" i="6"/>
  <c r="K389" i="6"/>
  <c r="M389" i="6"/>
  <c r="O389" i="6"/>
  <c r="W388" i="6"/>
  <c r="H388" i="6"/>
  <c r="K388" i="6"/>
  <c r="M388" i="6"/>
  <c r="O388" i="6"/>
  <c r="W387" i="6"/>
  <c r="H387" i="6"/>
  <c r="K387" i="6"/>
  <c r="M387" i="6"/>
  <c r="O387" i="6"/>
  <c r="W386" i="6" l="1"/>
  <c r="H386" i="6"/>
  <c r="K386" i="6"/>
  <c r="M386" i="6"/>
  <c r="O386" i="6"/>
  <c r="W385" i="6"/>
  <c r="H385" i="6"/>
  <c r="K385" i="6"/>
  <c r="M385" i="6"/>
  <c r="O385" i="6"/>
  <c r="W384" i="6"/>
  <c r="H384" i="6"/>
  <c r="K384" i="6"/>
  <c r="M384" i="6"/>
  <c r="O384" i="6"/>
  <c r="W383" i="6"/>
  <c r="H383" i="6"/>
  <c r="K383" i="6"/>
  <c r="M383" i="6"/>
  <c r="O383" i="6"/>
  <c r="W382" i="6"/>
  <c r="H382" i="6"/>
  <c r="K382" i="6"/>
  <c r="M382" i="6"/>
  <c r="O382" i="6"/>
  <c r="W381" i="6"/>
  <c r="H381" i="6"/>
  <c r="K381" i="6"/>
  <c r="M381" i="6"/>
  <c r="O381" i="6"/>
  <c r="W380" i="6"/>
  <c r="H380" i="6"/>
  <c r="K380" i="6"/>
  <c r="M380" i="6"/>
  <c r="O380" i="6"/>
  <c r="W379" i="6"/>
  <c r="H379" i="6"/>
  <c r="K379" i="6"/>
  <c r="M379" i="6"/>
  <c r="O379" i="6"/>
  <c r="W378" i="6"/>
  <c r="H378" i="6"/>
  <c r="K378" i="6"/>
  <c r="M378" i="6"/>
  <c r="O378" i="6"/>
  <c r="W377" i="6"/>
  <c r="H377" i="6"/>
  <c r="K377" i="6"/>
  <c r="M377" i="6"/>
  <c r="O377" i="6"/>
  <c r="W376" i="6"/>
  <c r="H376" i="6"/>
  <c r="K376" i="6"/>
  <c r="M376" i="6"/>
  <c r="O376" i="6"/>
  <c r="W375" i="6"/>
  <c r="H375" i="6"/>
  <c r="K375" i="6"/>
  <c r="M375" i="6"/>
  <c r="O375" i="6"/>
  <c r="W374" i="6"/>
  <c r="H374" i="6"/>
  <c r="K374" i="6"/>
  <c r="M374" i="6"/>
  <c r="O374" i="6"/>
  <c r="W373" i="6"/>
  <c r="H373" i="6"/>
  <c r="K373" i="6"/>
  <c r="M373" i="6"/>
  <c r="O373" i="6"/>
  <c r="W89" i="13"/>
  <c r="H89" i="13"/>
  <c r="K89" i="13"/>
  <c r="M89" i="13"/>
  <c r="W88" i="13"/>
  <c r="H88" i="13"/>
  <c r="K88" i="13"/>
  <c r="M88" i="13"/>
  <c r="W87" i="13" l="1"/>
  <c r="H87" i="13"/>
  <c r="K87" i="13"/>
  <c r="M87" i="13"/>
  <c r="W86" i="13"/>
  <c r="H86" i="13"/>
  <c r="K86" i="13"/>
  <c r="M86" i="13"/>
  <c r="W85" i="13"/>
  <c r="H85" i="13"/>
  <c r="K85" i="13"/>
  <c r="M85" i="13"/>
  <c r="W84" i="13"/>
  <c r="H84" i="13"/>
  <c r="K84" i="13"/>
  <c r="M84" i="13"/>
  <c r="W83" i="13"/>
  <c r="H83" i="13"/>
  <c r="K83" i="13"/>
  <c r="M83" i="13"/>
  <c r="W82" i="13"/>
  <c r="H82" i="13"/>
  <c r="K82" i="13"/>
  <c r="M82" i="13"/>
  <c r="W372" i="6"/>
  <c r="H372" i="6"/>
  <c r="K372" i="6"/>
  <c r="M372" i="6"/>
  <c r="O372" i="6"/>
  <c r="W371" i="6"/>
  <c r="H371" i="6"/>
  <c r="K371" i="6"/>
  <c r="M371" i="6"/>
  <c r="O371" i="6"/>
  <c r="W370" i="6"/>
  <c r="H370" i="6"/>
  <c r="K370" i="6"/>
  <c r="M370" i="6"/>
  <c r="O370" i="6"/>
  <c r="W369" i="6"/>
  <c r="H369" i="6"/>
  <c r="K369" i="6"/>
  <c r="M369" i="6"/>
  <c r="O369" i="6"/>
  <c r="W368" i="6"/>
  <c r="H368" i="6"/>
  <c r="K368" i="6"/>
  <c r="M368" i="6"/>
  <c r="O368" i="6"/>
  <c r="W367" i="6"/>
  <c r="H367" i="6"/>
  <c r="K367" i="6"/>
  <c r="M367" i="6"/>
  <c r="O367" i="6"/>
  <c r="W366" i="6"/>
  <c r="H366" i="6"/>
  <c r="K366" i="6"/>
  <c r="M366" i="6"/>
  <c r="O366" i="6"/>
  <c r="W365" i="6"/>
  <c r="H365" i="6"/>
  <c r="K365" i="6"/>
  <c r="M365" i="6"/>
  <c r="O365" i="6"/>
  <c r="W364" i="6"/>
  <c r="H364" i="6"/>
  <c r="K364" i="6"/>
  <c r="M364" i="6"/>
  <c r="O364" i="6"/>
  <c r="W363" i="6"/>
  <c r="H363" i="6"/>
  <c r="K363" i="6"/>
  <c r="M363" i="6"/>
  <c r="O363" i="6"/>
  <c r="W81" i="13"/>
  <c r="H81" i="13"/>
  <c r="K81" i="13"/>
  <c r="M81" i="13"/>
  <c r="W80" i="13"/>
  <c r="H80" i="13"/>
  <c r="K80" i="13"/>
  <c r="M80" i="13"/>
  <c r="W362" i="6"/>
  <c r="H362" i="6"/>
  <c r="K362" i="6"/>
  <c r="M362" i="6"/>
  <c r="O362" i="6"/>
  <c r="W361" i="6"/>
  <c r="H361" i="6"/>
  <c r="K361" i="6"/>
  <c r="M361" i="6"/>
  <c r="O361" i="6"/>
  <c r="W360" i="6"/>
  <c r="H360" i="6"/>
  <c r="K360" i="6"/>
  <c r="M360" i="6"/>
  <c r="O360" i="6"/>
  <c r="W359" i="6"/>
  <c r="H359" i="6"/>
  <c r="K359" i="6"/>
  <c r="M359" i="6"/>
  <c r="O359" i="6"/>
  <c r="W358" i="6" l="1"/>
  <c r="H358" i="6"/>
  <c r="K358" i="6"/>
  <c r="M358" i="6"/>
  <c r="O358" i="6"/>
  <c r="W357" i="6"/>
  <c r="H357" i="6"/>
  <c r="K357" i="6"/>
  <c r="M357" i="6"/>
  <c r="O357" i="6"/>
  <c r="W356" i="6"/>
  <c r="H356" i="6"/>
  <c r="K356" i="6"/>
  <c r="M356" i="6"/>
  <c r="O356" i="6"/>
  <c r="W355" i="6"/>
  <c r="H355" i="6"/>
  <c r="K355" i="6"/>
  <c r="M355" i="6"/>
  <c r="O355" i="6"/>
  <c r="W354" i="6"/>
  <c r="H354" i="6"/>
  <c r="K354" i="6"/>
  <c r="M354" i="6"/>
  <c r="O354" i="6"/>
  <c r="W353" i="6"/>
  <c r="H353" i="6"/>
  <c r="K353" i="6"/>
  <c r="M353" i="6"/>
  <c r="O353" i="6"/>
  <c r="W352" i="6"/>
  <c r="H352" i="6"/>
  <c r="K352" i="6"/>
  <c r="M352" i="6"/>
  <c r="O352" i="6"/>
  <c r="W351" i="6"/>
  <c r="H351" i="6"/>
  <c r="K351" i="6"/>
  <c r="M351" i="6"/>
  <c r="O351" i="6"/>
  <c r="W350" i="6"/>
  <c r="H350" i="6"/>
  <c r="K350" i="6"/>
  <c r="M350" i="6"/>
  <c r="O350" i="6"/>
  <c r="W349" i="6"/>
  <c r="H349" i="6"/>
  <c r="K349" i="6"/>
  <c r="M349" i="6"/>
  <c r="O349" i="6"/>
  <c r="W348" i="6"/>
  <c r="H348" i="6"/>
  <c r="K348" i="6"/>
  <c r="M348" i="6"/>
  <c r="O348" i="6"/>
  <c r="W347" i="6"/>
  <c r="H347" i="6"/>
  <c r="K347" i="6"/>
  <c r="M347" i="6"/>
  <c r="O347" i="6"/>
  <c r="W346" i="6"/>
  <c r="H346" i="6"/>
  <c r="K346" i="6"/>
  <c r="M346" i="6"/>
  <c r="O346" i="6"/>
  <c r="W345" i="6"/>
  <c r="H345" i="6"/>
  <c r="K345" i="6"/>
  <c r="M345" i="6"/>
  <c r="O345" i="6"/>
  <c r="W344" i="6"/>
  <c r="H344" i="6"/>
  <c r="K344" i="6"/>
  <c r="M344" i="6"/>
  <c r="O344" i="6"/>
  <c r="W343" i="6"/>
  <c r="H343" i="6"/>
  <c r="K343" i="6"/>
  <c r="M343" i="6"/>
  <c r="O343" i="6"/>
  <c r="W342" i="6"/>
  <c r="H342" i="6"/>
  <c r="K342" i="6"/>
  <c r="M342" i="6"/>
  <c r="O342" i="6"/>
  <c r="W341" i="6"/>
  <c r="H341" i="6"/>
  <c r="K341" i="6"/>
  <c r="M341" i="6"/>
  <c r="O341" i="6"/>
  <c r="W340" i="6"/>
  <c r="H340" i="6"/>
  <c r="K340" i="6"/>
  <c r="M340" i="6"/>
  <c r="O340" i="6"/>
  <c r="W339" i="6"/>
  <c r="H339" i="6"/>
  <c r="K339" i="6"/>
  <c r="M339" i="6"/>
  <c r="O339" i="6"/>
  <c r="W338" i="6"/>
  <c r="H338" i="6"/>
  <c r="K338" i="6"/>
  <c r="M338" i="6"/>
  <c r="O338" i="6"/>
  <c r="W337" i="6"/>
  <c r="H337" i="6"/>
  <c r="K337" i="6"/>
  <c r="M337" i="6"/>
  <c r="O337" i="6"/>
  <c r="W79" i="13"/>
  <c r="H79" i="13"/>
  <c r="K79" i="13"/>
  <c r="M79" i="13"/>
  <c r="W78" i="13"/>
  <c r="H78" i="13"/>
  <c r="K78" i="13"/>
  <c r="M78" i="13"/>
  <c r="W77" i="13"/>
  <c r="H77" i="13"/>
  <c r="K77" i="13"/>
  <c r="M77" i="13"/>
  <c r="W336" i="6"/>
  <c r="H336" i="6"/>
  <c r="K336" i="6"/>
  <c r="M336" i="6"/>
  <c r="O336" i="6"/>
  <c r="W335" i="6"/>
  <c r="H335" i="6"/>
  <c r="K335" i="6"/>
  <c r="M335" i="6"/>
  <c r="O335" i="6"/>
  <c r="W76" i="13"/>
  <c r="H76" i="13"/>
  <c r="K76" i="13"/>
  <c r="M76" i="13"/>
  <c r="W334" i="6"/>
  <c r="H334" i="6"/>
  <c r="K334" i="6"/>
  <c r="M334" i="6"/>
  <c r="O334" i="6"/>
  <c r="W333" i="6"/>
  <c r="H333" i="6"/>
  <c r="K333" i="6"/>
  <c r="M333" i="6"/>
  <c r="O333" i="6"/>
  <c r="W332" i="6"/>
  <c r="H332" i="6"/>
  <c r="K332" i="6"/>
  <c r="M332" i="6"/>
  <c r="O332" i="6"/>
  <c r="W331" i="6"/>
  <c r="H331" i="6"/>
  <c r="K331" i="6"/>
  <c r="M331" i="6"/>
  <c r="O331" i="6"/>
  <c r="W330" i="6"/>
  <c r="H330" i="6"/>
  <c r="K330" i="6"/>
  <c r="M330" i="6"/>
  <c r="O330" i="6"/>
  <c r="W329" i="6"/>
  <c r="H329" i="6"/>
  <c r="K329" i="6"/>
  <c r="M329" i="6"/>
  <c r="O329" i="6"/>
  <c r="W328" i="6"/>
  <c r="H328" i="6"/>
  <c r="K328" i="6"/>
  <c r="M328" i="6"/>
  <c r="O328" i="6"/>
  <c r="W327" i="6"/>
  <c r="H327" i="6"/>
  <c r="K327" i="6"/>
  <c r="M327" i="6"/>
  <c r="O327" i="6"/>
  <c r="W326" i="6"/>
  <c r="H326" i="6"/>
  <c r="K326" i="6"/>
  <c r="M326" i="6"/>
  <c r="O326" i="6"/>
  <c r="W325" i="6"/>
  <c r="H325" i="6"/>
  <c r="K325" i="6"/>
  <c r="M325" i="6"/>
  <c r="O325" i="6"/>
  <c r="W324" i="6"/>
  <c r="H324" i="6"/>
  <c r="K324" i="6"/>
  <c r="M324" i="6"/>
  <c r="O324" i="6"/>
  <c r="W323" i="6"/>
  <c r="H323" i="6"/>
  <c r="K323" i="6"/>
  <c r="M323" i="6"/>
  <c r="O323" i="6"/>
  <c r="W322" i="6"/>
  <c r="H322" i="6"/>
  <c r="K322" i="6"/>
  <c r="M322" i="6"/>
  <c r="O322" i="6"/>
  <c r="W321" i="6"/>
  <c r="H321" i="6"/>
  <c r="K321" i="6"/>
  <c r="M321" i="6"/>
  <c r="O321" i="6"/>
  <c r="W320" i="6"/>
  <c r="H320" i="6"/>
  <c r="K320" i="6"/>
  <c r="M320" i="6"/>
  <c r="O320" i="6"/>
  <c r="W319" i="6"/>
  <c r="H319" i="6"/>
  <c r="K319" i="6"/>
  <c r="M319" i="6"/>
  <c r="O319" i="6"/>
  <c r="W318" i="6"/>
  <c r="H318" i="6"/>
  <c r="K318" i="6"/>
  <c r="M318" i="6"/>
  <c r="O318" i="6"/>
  <c r="W317" i="6"/>
  <c r="H317" i="6"/>
  <c r="K317" i="6"/>
  <c r="M317" i="6"/>
  <c r="O317" i="6"/>
  <c r="W316" i="6"/>
  <c r="H316" i="6"/>
  <c r="K316" i="6"/>
  <c r="M316" i="6"/>
  <c r="O316" i="6"/>
  <c r="W315" i="6"/>
  <c r="H315" i="6"/>
  <c r="K315" i="6"/>
  <c r="M315" i="6"/>
  <c r="O315" i="6"/>
  <c r="W314" i="6"/>
  <c r="H314" i="6"/>
  <c r="K314" i="6"/>
  <c r="M314" i="6"/>
  <c r="O314" i="6"/>
  <c r="W313" i="6"/>
  <c r="H313" i="6"/>
  <c r="K313" i="6"/>
  <c r="M313" i="6"/>
  <c r="O313" i="6"/>
  <c r="W312" i="6"/>
  <c r="H312" i="6"/>
  <c r="K312" i="6"/>
  <c r="M312" i="6"/>
  <c r="O312" i="6"/>
  <c r="W311" i="6"/>
  <c r="H311" i="6"/>
  <c r="K311" i="6"/>
  <c r="M311" i="6"/>
  <c r="O311" i="6"/>
  <c r="W310" i="6"/>
  <c r="H310" i="6"/>
  <c r="K310" i="6"/>
  <c r="M310" i="6"/>
  <c r="O310" i="6"/>
  <c r="W309" i="6"/>
  <c r="H309" i="6"/>
  <c r="K309" i="6"/>
  <c r="M309" i="6"/>
  <c r="O309" i="6"/>
  <c r="W308" i="6"/>
  <c r="H308" i="6"/>
  <c r="K308" i="6"/>
  <c r="M308" i="6"/>
  <c r="O308" i="6"/>
  <c r="W307" i="6"/>
  <c r="H307" i="6"/>
  <c r="K307" i="6"/>
  <c r="M307" i="6"/>
  <c r="O307" i="6"/>
  <c r="W75" i="13"/>
  <c r="H75" i="13"/>
  <c r="K75" i="13"/>
  <c r="M75" i="13"/>
  <c r="W306" i="6"/>
  <c r="H306" i="6"/>
  <c r="K306" i="6"/>
  <c r="M306" i="6"/>
  <c r="O306" i="6"/>
  <c r="W305" i="6"/>
  <c r="H305" i="6"/>
  <c r="K305" i="6"/>
  <c r="M305" i="6"/>
  <c r="O305" i="6"/>
  <c r="W304" i="6"/>
  <c r="H304" i="6"/>
  <c r="K304" i="6"/>
  <c r="M304" i="6"/>
  <c r="O304" i="6"/>
  <c r="W303" i="6"/>
  <c r="H303" i="6"/>
  <c r="K303" i="6"/>
  <c r="M303" i="6"/>
  <c r="O303" i="6"/>
  <c r="W302" i="6"/>
  <c r="H302" i="6"/>
  <c r="K302" i="6"/>
  <c r="M302" i="6"/>
  <c r="O302" i="6"/>
  <c r="W301" i="6"/>
  <c r="H301" i="6"/>
  <c r="K301" i="6"/>
  <c r="M301" i="6"/>
  <c r="O301" i="6"/>
  <c r="W300" i="6"/>
  <c r="H300" i="6"/>
  <c r="K300" i="6"/>
  <c r="M300" i="6"/>
  <c r="O300" i="6"/>
  <c r="W299" i="6"/>
  <c r="H299" i="6"/>
  <c r="K299" i="6"/>
  <c r="M299" i="6"/>
  <c r="O299" i="6"/>
  <c r="W298" i="6"/>
  <c r="H298" i="6"/>
  <c r="K298" i="6"/>
  <c r="M298" i="6"/>
  <c r="O298" i="6"/>
  <c r="W297" i="6"/>
  <c r="H297" i="6"/>
  <c r="K297" i="6"/>
  <c r="M297" i="6"/>
  <c r="O297" i="6"/>
  <c r="W74" i="13"/>
  <c r="H74" i="13"/>
  <c r="K74" i="13"/>
  <c r="M74" i="13"/>
  <c r="W296" i="6"/>
  <c r="H296" i="6"/>
  <c r="K296" i="6"/>
  <c r="M296" i="6"/>
  <c r="O296" i="6"/>
  <c r="W295" i="6"/>
  <c r="H295" i="6"/>
  <c r="K295" i="6"/>
  <c r="M295" i="6"/>
  <c r="O295" i="6"/>
  <c r="W294" i="6"/>
  <c r="H294" i="6"/>
  <c r="K294" i="6"/>
  <c r="M294" i="6"/>
  <c r="O294" i="6"/>
  <c r="W293" i="6"/>
  <c r="H293" i="6"/>
  <c r="K293" i="6"/>
  <c r="M293" i="6"/>
  <c r="O293" i="6"/>
  <c r="W73" i="13"/>
  <c r="H73" i="13"/>
  <c r="K73" i="13"/>
  <c r="M73" i="13"/>
  <c r="W72" i="13"/>
  <c r="H72" i="13"/>
  <c r="K72" i="13"/>
  <c r="M72" i="13"/>
  <c r="W71" i="13"/>
  <c r="H71" i="13"/>
  <c r="K71" i="13"/>
  <c r="M71" i="13"/>
  <c r="W70" i="13"/>
  <c r="H70" i="13"/>
  <c r="K70" i="13"/>
  <c r="M70" i="13"/>
  <c r="W292" i="6"/>
  <c r="H292" i="6"/>
  <c r="K292" i="6"/>
  <c r="M292" i="6"/>
  <c r="O292" i="6"/>
  <c r="W291" i="6"/>
  <c r="H291" i="6"/>
  <c r="K291" i="6"/>
  <c r="M291" i="6"/>
  <c r="O291" i="6"/>
  <c r="W290" i="6"/>
  <c r="H290" i="6"/>
  <c r="K290" i="6"/>
  <c r="M290" i="6"/>
  <c r="O290" i="6"/>
  <c r="W289" i="6"/>
  <c r="H289" i="6"/>
  <c r="K289" i="6"/>
  <c r="M289" i="6"/>
  <c r="O289" i="6"/>
  <c r="W288" i="6"/>
  <c r="H288" i="6"/>
  <c r="K288" i="6"/>
  <c r="M288" i="6"/>
  <c r="O288" i="6"/>
  <c r="W69" i="13"/>
  <c r="H69" i="13"/>
  <c r="K69" i="13"/>
  <c r="M69" i="13"/>
  <c r="W287" i="6"/>
  <c r="H287" i="6"/>
  <c r="K287" i="6"/>
  <c r="M287" i="6"/>
  <c r="O287" i="6"/>
  <c r="W286" i="6"/>
  <c r="H286" i="6"/>
  <c r="K286" i="6"/>
  <c r="M286" i="6"/>
  <c r="O286" i="6"/>
  <c r="W285" i="6"/>
  <c r="H285" i="6"/>
  <c r="K285" i="6"/>
  <c r="M285" i="6"/>
  <c r="O285" i="6"/>
  <c r="W284" i="6"/>
  <c r="H284" i="6"/>
  <c r="K284" i="6"/>
  <c r="M284" i="6"/>
  <c r="O284" i="6"/>
  <c r="W283" i="6"/>
  <c r="H283" i="6"/>
  <c r="K283" i="6"/>
  <c r="M283" i="6"/>
  <c r="O283" i="6"/>
  <c r="W282" i="6"/>
  <c r="H282" i="6"/>
  <c r="K282" i="6"/>
  <c r="M282" i="6"/>
  <c r="O282" i="6"/>
  <c r="W281" i="6"/>
  <c r="H281" i="6"/>
  <c r="K281" i="6"/>
  <c r="M281" i="6"/>
  <c r="O281" i="6"/>
  <c r="W280" i="6"/>
  <c r="H280" i="6"/>
  <c r="K280" i="6"/>
  <c r="M280" i="6"/>
  <c r="O280" i="6"/>
  <c r="W279" i="6" l="1"/>
  <c r="H279" i="6"/>
  <c r="K279" i="6"/>
  <c r="M279" i="6"/>
  <c r="O279" i="6"/>
  <c r="W278" i="6"/>
  <c r="H278" i="6"/>
  <c r="K278" i="6"/>
  <c r="M278" i="6"/>
  <c r="O278" i="6"/>
  <c r="W277" i="6"/>
  <c r="H277" i="6"/>
  <c r="K277" i="6"/>
  <c r="M277" i="6"/>
  <c r="O277" i="6"/>
  <c r="W276" i="6"/>
  <c r="H276" i="6"/>
  <c r="K276" i="6"/>
  <c r="M276" i="6"/>
  <c r="O276" i="6"/>
  <c r="W275" i="6"/>
  <c r="H275" i="6"/>
  <c r="K275" i="6"/>
  <c r="M275" i="6"/>
  <c r="O275" i="6"/>
  <c r="W274" i="6"/>
  <c r="H274" i="6"/>
  <c r="K274" i="6"/>
  <c r="M274" i="6"/>
  <c r="O274" i="6"/>
  <c r="W68" i="13"/>
  <c r="H68" i="13"/>
  <c r="K68" i="13"/>
  <c r="M68" i="13"/>
  <c r="W273" i="6"/>
  <c r="H273" i="6"/>
  <c r="K273" i="6"/>
  <c r="M273" i="6"/>
  <c r="O273" i="6"/>
  <c r="W272" i="6"/>
  <c r="H272" i="6"/>
  <c r="K272" i="6"/>
  <c r="M272" i="6"/>
  <c r="O272" i="6"/>
  <c r="W271" i="6"/>
  <c r="H271" i="6"/>
  <c r="K271" i="6"/>
  <c r="M271" i="6"/>
  <c r="O271" i="6"/>
  <c r="W270" i="6"/>
  <c r="H270" i="6"/>
  <c r="K270" i="6"/>
  <c r="M270" i="6"/>
  <c r="O270" i="6"/>
  <c r="W269" i="6"/>
  <c r="H269" i="6"/>
  <c r="K269" i="6"/>
  <c r="M269" i="6"/>
  <c r="O269" i="6"/>
  <c r="W268" i="6"/>
  <c r="H268" i="6"/>
  <c r="K268" i="6"/>
  <c r="M268" i="6"/>
  <c r="O268" i="6"/>
  <c r="W67" i="13"/>
  <c r="H67" i="13"/>
  <c r="K67" i="13"/>
  <c r="M67" i="13"/>
  <c r="W66" i="13"/>
  <c r="H66" i="13"/>
  <c r="K66" i="13"/>
  <c r="M66" i="13"/>
  <c r="W65" i="13"/>
  <c r="H65" i="13"/>
  <c r="K65" i="13"/>
  <c r="M65" i="13"/>
  <c r="W64" i="13"/>
  <c r="H64" i="13"/>
  <c r="K64" i="13"/>
  <c r="M64" i="13"/>
  <c r="W63" i="13"/>
  <c r="H63" i="13"/>
  <c r="K63" i="13"/>
  <c r="M63" i="13"/>
  <c r="W62" i="13"/>
  <c r="H62" i="13"/>
  <c r="K62" i="13"/>
  <c r="M62" i="13"/>
  <c r="W61" i="13"/>
  <c r="H61" i="13"/>
  <c r="K61" i="13"/>
  <c r="M61" i="13"/>
  <c r="W60" i="13"/>
  <c r="H60" i="13"/>
  <c r="K60" i="13"/>
  <c r="M60" i="13"/>
  <c r="W267" i="6"/>
  <c r="H267" i="6"/>
  <c r="K267" i="6"/>
  <c r="M267" i="6"/>
  <c r="O267" i="6"/>
  <c r="W266" i="6"/>
  <c r="H266" i="6"/>
  <c r="K266" i="6"/>
  <c r="M266" i="6"/>
  <c r="O266" i="6"/>
  <c r="W265" i="6"/>
  <c r="H265" i="6"/>
  <c r="K265" i="6"/>
  <c r="M265" i="6"/>
  <c r="O265" i="6"/>
  <c r="W264" i="6"/>
  <c r="H264" i="6"/>
  <c r="K264" i="6"/>
  <c r="M264" i="6"/>
  <c r="O264" i="6"/>
  <c r="W263" i="6"/>
  <c r="H263" i="6"/>
  <c r="K263" i="6"/>
  <c r="M263" i="6"/>
  <c r="O263" i="6"/>
  <c r="W262" i="6"/>
  <c r="H262" i="6"/>
  <c r="K262" i="6"/>
  <c r="M262" i="6"/>
  <c r="O262" i="6"/>
  <c r="W261" i="6"/>
  <c r="H261" i="6"/>
  <c r="K261" i="6"/>
  <c r="M261" i="6"/>
  <c r="O261" i="6"/>
  <c r="W260" i="6"/>
  <c r="H260" i="6"/>
  <c r="K260" i="6"/>
  <c r="M260" i="6"/>
  <c r="O260" i="6"/>
  <c r="W259" i="6"/>
  <c r="H259" i="6"/>
  <c r="K259" i="6"/>
  <c r="M259" i="6"/>
  <c r="O259" i="6"/>
  <c r="W258" i="6"/>
  <c r="H258" i="6"/>
  <c r="K258" i="6"/>
  <c r="M258" i="6"/>
  <c r="O258" i="6"/>
  <c r="W257" i="6"/>
  <c r="H257" i="6"/>
  <c r="K257" i="6"/>
  <c r="M257" i="6"/>
  <c r="O257" i="6"/>
  <c r="W256" i="6"/>
  <c r="H256" i="6"/>
  <c r="K256" i="6"/>
  <c r="M256" i="6"/>
  <c r="O256" i="6"/>
  <c r="W255" i="6"/>
  <c r="H255" i="6"/>
  <c r="K255" i="6"/>
  <c r="M255" i="6"/>
  <c r="O255" i="6"/>
  <c r="W254" i="6"/>
  <c r="H254" i="6"/>
  <c r="K254" i="6"/>
  <c r="M254" i="6"/>
  <c r="O254" i="6"/>
  <c r="W253" i="6"/>
  <c r="H253" i="6"/>
  <c r="K253" i="6"/>
  <c r="M253" i="6"/>
  <c r="O253" i="6"/>
  <c r="W252" i="6"/>
  <c r="H252" i="6"/>
  <c r="K252" i="6"/>
  <c r="M252" i="6"/>
  <c r="O252" i="6"/>
  <c r="W251" i="6"/>
  <c r="H251" i="6"/>
  <c r="K251" i="6"/>
  <c r="M251" i="6"/>
  <c r="O251" i="6"/>
  <c r="W250" i="6"/>
  <c r="H250" i="6"/>
  <c r="K250" i="6"/>
  <c r="M250" i="6"/>
  <c r="O250" i="6"/>
  <c r="W249" i="6"/>
  <c r="H249" i="6"/>
  <c r="K249" i="6"/>
  <c r="M249" i="6"/>
  <c r="O249" i="6"/>
  <c r="W248" i="6"/>
  <c r="H248" i="6"/>
  <c r="K248" i="6"/>
  <c r="M248" i="6"/>
  <c r="O248" i="6"/>
  <c r="W247" i="6"/>
  <c r="H247" i="6"/>
  <c r="K247" i="6"/>
  <c r="M247" i="6"/>
  <c r="O247" i="6"/>
  <c r="W59" i="13"/>
  <c r="H59" i="13"/>
  <c r="K59" i="13"/>
  <c r="M59" i="13"/>
  <c r="W58" i="13"/>
  <c r="H58" i="13"/>
  <c r="K58" i="13"/>
  <c r="M58" i="13"/>
  <c r="W57" i="13"/>
  <c r="H57" i="13"/>
  <c r="K57" i="13"/>
  <c r="M57" i="13"/>
  <c r="W246" i="6"/>
  <c r="H246" i="6"/>
  <c r="K246" i="6"/>
  <c r="M246" i="6"/>
  <c r="O246" i="6"/>
  <c r="W245" i="6"/>
  <c r="H245" i="6"/>
  <c r="K245" i="6"/>
  <c r="M245" i="6"/>
  <c r="O245" i="6"/>
  <c r="W244" i="6"/>
  <c r="H244" i="6"/>
  <c r="K244" i="6"/>
  <c r="M244" i="6"/>
  <c r="O244" i="6"/>
  <c r="W243" i="6"/>
  <c r="H243" i="6"/>
  <c r="K243" i="6"/>
  <c r="M243" i="6"/>
  <c r="O243" i="6"/>
  <c r="W242" i="6"/>
  <c r="H242" i="6"/>
  <c r="K242" i="6"/>
  <c r="M242" i="6"/>
  <c r="O242" i="6"/>
  <c r="W241" i="6"/>
  <c r="H241" i="6"/>
  <c r="K241" i="6"/>
  <c r="M241" i="6"/>
  <c r="O241" i="6"/>
  <c r="W240" i="6" l="1"/>
  <c r="H240" i="6"/>
  <c r="K240" i="6"/>
  <c r="M240" i="6"/>
  <c r="O240" i="6"/>
  <c r="W239" i="6"/>
  <c r="H239" i="6"/>
  <c r="K239" i="6"/>
  <c r="M239" i="6"/>
  <c r="O239" i="6"/>
  <c r="W238" i="6"/>
  <c r="H238" i="6"/>
  <c r="K238" i="6"/>
  <c r="M238" i="6"/>
  <c r="O238" i="6"/>
  <c r="W237" i="6"/>
  <c r="H237" i="6"/>
  <c r="K237" i="6"/>
  <c r="M237" i="6"/>
  <c r="O237" i="6"/>
  <c r="W236" i="6"/>
  <c r="H236" i="6"/>
  <c r="K236" i="6"/>
  <c r="M236" i="6"/>
  <c r="O236" i="6"/>
  <c r="W235" i="6"/>
  <c r="H235" i="6"/>
  <c r="K235" i="6"/>
  <c r="M235" i="6"/>
  <c r="O235" i="6"/>
  <c r="W234" i="6"/>
  <c r="H234" i="6"/>
  <c r="K234" i="6"/>
  <c r="M234" i="6"/>
  <c r="O234" i="6"/>
  <c r="W233" i="6"/>
  <c r="H233" i="6"/>
  <c r="K233" i="6"/>
  <c r="M233" i="6"/>
  <c r="O233" i="6"/>
  <c r="W232" i="6"/>
  <c r="H232" i="6"/>
  <c r="K232" i="6"/>
  <c r="M232" i="6"/>
  <c r="O232" i="6"/>
  <c r="W231" i="6"/>
  <c r="H231" i="6"/>
  <c r="K231" i="6"/>
  <c r="M231" i="6"/>
  <c r="O231" i="6"/>
  <c r="W230" i="6"/>
  <c r="H230" i="6"/>
  <c r="K230" i="6"/>
  <c r="M230" i="6"/>
  <c r="O230" i="6"/>
  <c r="W229" i="6"/>
  <c r="H229" i="6"/>
  <c r="K229" i="6"/>
  <c r="M229" i="6"/>
  <c r="O229" i="6"/>
  <c r="W228" i="6"/>
  <c r="H228" i="6"/>
  <c r="K228" i="6"/>
  <c r="M228" i="6"/>
  <c r="O228" i="6"/>
  <c r="W227" i="6"/>
  <c r="H227" i="6"/>
  <c r="K227" i="6"/>
  <c r="M227" i="6"/>
  <c r="O227" i="6"/>
  <c r="W226" i="6"/>
  <c r="H226" i="6"/>
  <c r="K226" i="6"/>
  <c r="M226" i="6"/>
  <c r="O226" i="6"/>
  <c r="W56" i="13"/>
  <c r="H56" i="13"/>
  <c r="K56" i="13"/>
  <c r="M56" i="13"/>
  <c r="W225" i="6"/>
  <c r="H225" i="6"/>
  <c r="K225" i="6"/>
  <c r="M225" i="6"/>
  <c r="O225" i="6"/>
  <c r="W224" i="6"/>
  <c r="H224" i="6"/>
  <c r="K224" i="6"/>
  <c r="M224" i="6"/>
  <c r="O224" i="6"/>
  <c r="W223" i="6"/>
  <c r="H223" i="6"/>
  <c r="K223" i="6"/>
  <c r="M223" i="6"/>
  <c r="O223" i="6"/>
  <c r="W222" i="6"/>
  <c r="H222" i="6"/>
  <c r="K222" i="6"/>
  <c r="M222" i="6"/>
  <c r="O222" i="6"/>
  <c r="W221" i="6"/>
  <c r="H221" i="6"/>
  <c r="K221" i="6"/>
  <c r="M221" i="6"/>
  <c r="O221" i="6"/>
  <c r="W220" i="6"/>
  <c r="H220" i="6"/>
  <c r="K220" i="6"/>
  <c r="M220" i="6"/>
  <c r="O220" i="6"/>
  <c r="W55" i="13"/>
  <c r="H55" i="13"/>
  <c r="K55" i="13"/>
  <c r="M55" i="13"/>
  <c r="W219" i="6"/>
  <c r="H219" i="6"/>
  <c r="K219" i="6"/>
  <c r="M219" i="6"/>
  <c r="O219" i="6"/>
  <c r="W218" i="6"/>
  <c r="H218" i="6"/>
  <c r="K218" i="6"/>
  <c r="M218" i="6"/>
  <c r="O218" i="6"/>
  <c r="W217" i="6"/>
  <c r="H217" i="6"/>
  <c r="K217" i="6"/>
  <c r="M217" i="6"/>
  <c r="O217" i="6"/>
  <c r="W216" i="6"/>
  <c r="H216" i="6"/>
  <c r="K216" i="6"/>
  <c r="M216" i="6"/>
  <c r="O216" i="6"/>
  <c r="W215" i="6"/>
  <c r="H215" i="6"/>
  <c r="K215" i="6"/>
  <c r="M215" i="6"/>
  <c r="O215" i="6"/>
  <c r="W214" i="6"/>
  <c r="H214" i="6"/>
  <c r="K214" i="6"/>
  <c r="M214" i="6"/>
  <c r="O214" i="6"/>
  <c r="W213" i="6"/>
  <c r="H213" i="6"/>
  <c r="K213" i="6"/>
  <c r="M213" i="6"/>
  <c r="O213" i="6"/>
  <c r="W212" i="6"/>
  <c r="H212" i="6"/>
  <c r="K212" i="6"/>
  <c r="M212" i="6"/>
  <c r="O212" i="6"/>
  <c r="W54" i="13"/>
  <c r="H54" i="13"/>
  <c r="K54" i="13"/>
  <c r="M54" i="13"/>
  <c r="W53" i="13"/>
  <c r="H53" i="13"/>
  <c r="K53" i="13"/>
  <c r="M53" i="13"/>
  <c r="W52" i="13"/>
  <c r="H52" i="13"/>
  <c r="K52" i="13"/>
  <c r="M52" i="13"/>
  <c r="W51" i="13"/>
  <c r="H51" i="13"/>
  <c r="K51" i="13"/>
  <c r="M51" i="13"/>
  <c r="W211" i="6"/>
  <c r="H211" i="6"/>
  <c r="K211" i="6"/>
  <c r="M211" i="6"/>
  <c r="O211" i="6"/>
  <c r="W210" i="6"/>
  <c r="H210" i="6"/>
  <c r="K210" i="6"/>
  <c r="M210" i="6"/>
  <c r="O210" i="6"/>
  <c r="W209" i="6"/>
  <c r="H209" i="6"/>
  <c r="K209" i="6"/>
  <c r="M209" i="6"/>
  <c r="O209" i="6"/>
  <c r="W208" i="6"/>
  <c r="H208" i="6"/>
  <c r="K208" i="6"/>
  <c r="M208" i="6"/>
  <c r="O208" i="6"/>
  <c r="W207" i="6"/>
  <c r="H207" i="6"/>
  <c r="K207" i="6"/>
  <c r="M207" i="6"/>
  <c r="O207" i="6"/>
  <c r="W206" i="6"/>
  <c r="H206" i="6"/>
  <c r="K206" i="6"/>
  <c r="M206" i="6"/>
  <c r="O206" i="6"/>
  <c r="W205" i="6"/>
  <c r="H205" i="6"/>
  <c r="K205" i="6"/>
  <c r="M205" i="6"/>
  <c r="O205" i="6"/>
  <c r="W204" i="6"/>
  <c r="H204" i="6"/>
  <c r="K204" i="6"/>
  <c r="M204" i="6"/>
  <c r="O204" i="6"/>
  <c r="W203" i="6"/>
  <c r="H203" i="6"/>
  <c r="K203" i="6"/>
  <c r="M203" i="6"/>
  <c r="O203" i="6"/>
  <c r="W202" i="6"/>
  <c r="H202" i="6"/>
  <c r="K202" i="6"/>
  <c r="M202" i="6"/>
  <c r="O202" i="6"/>
  <c r="W201" i="6"/>
  <c r="H201" i="6"/>
  <c r="K201" i="6"/>
  <c r="M201" i="6"/>
  <c r="O201" i="6"/>
  <c r="W200" i="6"/>
  <c r="H200" i="6"/>
  <c r="K200" i="6"/>
  <c r="M200" i="6"/>
  <c r="O200" i="6"/>
  <c r="W199" i="6"/>
  <c r="H199" i="6"/>
  <c r="K199" i="6"/>
  <c r="M199" i="6"/>
  <c r="O199" i="6"/>
  <c r="W198" i="6"/>
  <c r="H198" i="6"/>
  <c r="K198" i="6"/>
  <c r="M198" i="6"/>
  <c r="O198" i="6"/>
  <c r="W197" i="6"/>
  <c r="H197" i="6"/>
  <c r="K197" i="6"/>
  <c r="M197" i="6"/>
  <c r="O197" i="6"/>
  <c r="W196" i="6"/>
  <c r="H196" i="6"/>
  <c r="K196" i="6"/>
  <c r="M196" i="6"/>
  <c r="O196" i="6"/>
  <c r="W195" i="6"/>
  <c r="H195" i="6"/>
  <c r="K195" i="6"/>
  <c r="M195" i="6"/>
  <c r="O195" i="6"/>
  <c r="W194" i="6"/>
  <c r="H194" i="6"/>
  <c r="K194" i="6"/>
  <c r="M194" i="6"/>
  <c r="O194" i="6"/>
  <c r="W193" i="6"/>
  <c r="H193" i="6"/>
  <c r="K193" i="6"/>
  <c r="M193" i="6"/>
  <c r="O193" i="6"/>
  <c r="W192" i="6"/>
  <c r="H192" i="6"/>
  <c r="K192" i="6"/>
  <c r="M192" i="6"/>
  <c r="O192" i="6"/>
  <c r="W191" i="6"/>
  <c r="H191" i="6"/>
  <c r="K191" i="6"/>
  <c r="M191" i="6"/>
  <c r="O191" i="6"/>
  <c r="W50" i="13"/>
  <c r="H50" i="13"/>
  <c r="K50" i="13"/>
  <c r="M50" i="13"/>
  <c r="W49" i="13"/>
  <c r="H49" i="13"/>
  <c r="K49" i="13"/>
  <c r="M49" i="13"/>
  <c r="W190" i="6"/>
  <c r="H190" i="6"/>
  <c r="K190" i="6"/>
  <c r="M190" i="6"/>
  <c r="O190" i="6"/>
  <c r="W189" i="6"/>
  <c r="H189" i="6"/>
  <c r="K189" i="6"/>
  <c r="M189" i="6"/>
  <c r="O189" i="6"/>
  <c r="W188" i="6"/>
  <c r="H188" i="6"/>
  <c r="K188" i="6"/>
  <c r="M188" i="6"/>
  <c r="O188" i="6"/>
  <c r="W187" i="6"/>
  <c r="H187" i="6"/>
  <c r="K187" i="6"/>
  <c r="M187" i="6"/>
  <c r="O187" i="6"/>
  <c r="W186" i="6"/>
  <c r="H186" i="6"/>
  <c r="K186" i="6"/>
  <c r="M186" i="6"/>
  <c r="O186" i="6"/>
  <c r="W185" i="6"/>
  <c r="H185" i="6"/>
  <c r="K185" i="6"/>
  <c r="M185" i="6"/>
  <c r="O185" i="6"/>
  <c r="W48" i="13"/>
  <c r="H48" i="13"/>
  <c r="K48" i="13"/>
  <c r="M48" i="13"/>
  <c r="W47" i="13"/>
  <c r="H47" i="13"/>
  <c r="K47" i="13"/>
  <c r="M47" i="13"/>
  <c r="W46" i="13"/>
  <c r="H46" i="13"/>
  <c r="K46" i="13"/>
  <c r="M46" i="13"/>
  <c r="W45" i="13"/>
  <c r="H45" i="13"/>
  <c r="K45" i="13"/>
  <c r="M45" i="13"/>
  <c r="W44" i="13"/>
  <c r="H44" i="13"/>
  <c r="K44" i="13"/>
  <c r="M44" i="13"/>
  <c r="W43" i="13"/>
  <c r="H43" i="13"/>
  <c r="K43" i="13"/>
  <c r="M43" i="13"/>
  <c r="W184" i="6"/>
  <c r="H184" i="6"/>
  <c r="K184" i="6"/>
  <c r="M184" i="6"/>
  <c r="O184" i="6"/>
  <c r="W183" i="6"/>
  <c r="H183" i="6"/>
  <c r="K183" i="6"/>
  <c r="M183" i="6"/>
  <c r="O183" i="6"/>
  <c r="W182" i="6"/>
  <c r="H182" i="6"/>
  <c r="K182" i="6"/>
  <c r="M182" i="6"/>
  <c r="O182" i="6"/>
  <c r="W181" i="6"/>
  <c r="H181" i="6"/>
  <c r="K181" i="6"/>
  <c r="M181" i="6"/>
  <c r="O181" i="6"/>
  <c r="W180" i="6"/>
  <c r="H180" i="6"/>
  <c r="K180" i="6"/>
  <c r="M180" i="6"/>
  <c r="O180" i="6"/>
  <c r="W179" i="6"/>
  <c r="H179" i="6"/>
  <c r="K179" i="6"/>
  <c r="M179" i="6"/>
  <c r="O179" i="6"/>
  <c r="W178" i="6"/>
  <c r="H178" i="6"/>
  <c r="K178" i="6"/>
  <c r="M178" i="6"/>
  <c r="O178" i="6"/>
  <c r="W177" i="6"/>
  <c r="H177" i="6"/>
  <c r="K177" i="6"/>
  <c r="M177" i="6"/>
  <c r="O177" i="6"/>
  <c r="W176" i="6"/>
  <c r="H176" i="6"/>
  <c r="K176" i="6"/>
  <c r="M176" i="6"/>
  <c r="O176" i="6"/>
  <c r="W175" i="6"/>
  <c r="H175" i="6"/>
  <c r="K175" i="6"/>
  <c r="M175" i="6"/>
  <c r="O175" i="6"/>
  <c r="W174" i="6"/>
  <c r="H174" i="6"/>
  <c r="K174" i="6"/>
  <c r="M174" i="6"/>
  <c r="O174" i="6"/>
  <c r="W173" i="6"/>
  <c r="H173" i="6"/>
  <c r="K173" i="6"/>
  <c r="M173" i="6"/>
  <c r="O173" i="6"/>
  <c r="W172" i="6"/>
  <c r="H172" i="6"/>
  <c r="K172" i="6"/>
  <c r="M172" i="6"/>
  <c r="O172" i="6"/>
  <c r="W171" i="6"/>
  <c r="H171" i="6"/>
  <c r="K171" i="6"/>
  <c r="M171" i="6"/>
  <c r="O171" i="6"/>
  <c r="W170" i="6"/>
  <c r="H170" i="6"/>
  <c r="K170" i="6"/>
  <c r="M170" i="6"/>
  <c r="O170" i="6"/>
  <c r="W169" i="6"/>
  <c r="H169" i="6"/>
  <c r="K169" i="6"/>
  <c r="M169" i="6"/>
  <c r="O169" i="6"/>
  <c r="W42" i="13"/>
  <c r="H42" i="13"/>
  <c r="K42" i="13"/>
  <c r="M42" i="13"/>
  <c r="W168" i="6" l="1"/>
  <c r="H168" i="6"/>
  <c r="K168" i="6"/>
  <c r="M168" i="6"/>
  <c r="O168" i="6"/>
  <c r="W167" i="6"/>
  <c r="H167" i="6"/>
  <c r="K167" i="6"/>
  <c r="M167" i="6"/>
  <c r="O167" i="6"/>
  <c r="W166" i="6"/>
  <c r="H166" i="6"/>
  <c r="K166" i="6"/>
  <c r="M166" i="6"/>
  <c r="O166" i="6"/>
  <c r="W165" i="6"/>
  <c r="H165" i="6"/>
  <c r="K165" i="6"/>
  <c r="M165" i="6"/>
  <c r="O165" i="6"/>
  <c r="W164" i="6"/>
  <c r="H164" i="6"/>
  <c r="K164" i="6"/>
  <c r="M164" i="6"/>
  <c r="O164" i="6"/>
  <c r="W163" i="6"/>
  <c r="H163" i="6"/>
  <c r="K163" i="6"/>
  <c r="M163" i="6"/>
  <c r="O163" i="6"/>
  <c r="W162" i="6"/>
  <c r="H162" i="6"/>
  <c r="K162" i="6"/>
  <c r="M162" i="6"/>
  <c r="O162" i="6"/>
  <c r="W161" i="6"/>
  <c r="H161" i="6"/>
  <c r="K161" i="6"/>
  <c r="M161" i="6"/>
  <c r="O161" i="6"/>
  <c r="W160" i="6"/>
  <c r="H160" i="6"/>
  <c r="K160" i="6"/>
  <c r="M160" i="6"/>
  <c r="O160" i="6"/>
  <c r="W159" i="6"/>
  <c r="H159" i="6"/>
  <c r="K159" i="6"/>
  <c r="M159" i="6"/>
  <c r="O159" i="6"/>
  <c r="W41" i="13"/>
  <c r="H41" i="13"/>
  <c r="K41" i="13"/>
  <c r="M41" i="13"/>
  <c r="W158" i="6"/>
  <c r="H158" i="6"/>
  <c r="K158" i="6"/>
  <c r="M158" i="6"/>
  <c r="O158" i="6"/>
  <c r="W157" i="6"/>
  <c r="H157" i="6"/>
  <c r="K157" i="6"/>
  <c r="M157" i="6"/>
  <c r="O157" i="6"/>
  <c r="W156" i="6"/>
  <c r="H156" i="6"/>
  <c r="K156" i="6"/>
  <c r="M156" i="6"/>
  <c r="O156" i="6"/>
  <c r="W155" i="6"/>
  <c r="H155" i="6"/>
  <c r="K155" i="6"/>
  <c r="M155" i="6"/>
  <c r="O155" i="6"/>
  <c r="W154" i="6"/>
  <c r="H154" i="6"/>
  <c r="K154" i="6"/>
  <c r="M154" i="6"/>
  <c r="O154" i="6"/>
  <c r="W153" i="6"/>
  <c r="H153" i="6"/>
  <c r="K153" i="6"/>
  <c r="M153" i="6"/>
  <c r="O153" i="6"/>
  <c r="W152" i="6"/>
  <c r="H152" i="6"/>
  <c r="K152" i="6"/>
  <c r="M152" i="6"/>
  <c r="O152" i="6"/>
  <c r="W151" i="6"/>
  <c r="H151" i="6"/>
  <c r="K151" i="6"/>
  <c r="M151" i="6"/>
  <c r="O151" i="6"/>
  <c r="W150" i="6"/>
  <c r="H150" i="6"/>
  <c r="K150" i="6"/>
  <c r="M150" i="6"/>
  <c r="O150" i="6"/>
  <c r="M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W149" i="6"/>
  <c r="H149" i="6"/>
  <c r="K149" i="6"/>
  <c r="M149" i="6"/>
  <c r="O149" i="6"/>
  <c r="W148" i="6"/>
  <c r="H148" i="6"/>
  <c r="K148" i="6"/>
  <c r="M148" i="6"/>
  <c r="O148" i="6"/>
  <c r="W147" i="6"/>
  <c r="H147" i="6"/>
  <c r="K147" i="6"/>
  <c r="M147" i="6"/>
  <c r="O147" i="6"/>
  <c r="W146" i="6"/>
  <c r="H146" i="6"/>
  <c r="K146" i="6"/>
  <c r="M146" i="6"/>
  <c r="O146" i="6"/>
  <c r="W40" i="13"/>
  <c r="W145" i="6"/>
  <c r="H145" i="6"/>
  <c r="K145" i="6"/>
  <c r="M145" i="6"/>
  <c r="O145" i="6"/>
  <c r="W144" i="6"/>
  <c r="H144" i="6"/>
  <c r="K144" i="6"/>
  <c r="M144" i="6"/>
  <c r="O144" i="6"/>
  <c r="I7" i="17"/>
  <c r="W143" i="6" l="1"/>
  <c r="H143" i="6"/>
  <c r="K143" i="6"/>
  <c r="M143" i="6"/>
  <c r="O143" i="6"/>
  <c r="W142" i="6"/>
  <c r="H142" i="6"/>
  <c r="K142" i="6"/>
  <c r="M142" i="6"/>
  <c r="O142" i="6"/>
  <c r="W141" i="6"/>
  <c r="H141" i="6"/>
  <c r="K141" i="6"/>
  <c r="M141" i="6"/>
  <c r="O141" i="6"/>
  <c r="W140" i="6"/>
  <c r="H140" i="6"/>
  <c r="K140" i="6"/>
  <c r="M140" i="6"/>
  <c r="O140" i="6"/>
  <c r="W39" i="13"/>
  <c r="W38" i="13"/>
  <c r="W37" i="13"/>
  <c r="W36" i="13"/>
  <c r="W139" i="6"/>
  <c r="H139" i="6"/>
  <c r="K139" i="6"/>
  <c r="M139" i="6"/>
  <c r="O139" i="6"/>
  <c r="W138" i="6"/>
  <c r="H138" i="6"/>
  <c r="K138" i="6"/>
  <c r="M138" i="6"/>
  <c r="O138" i="6"/>
  <c r="W137" i="6"/>
  <c r="H137" i="6"/>
  <c r="K137" i="6"/>
  <c r="M137" i="6"/>
  <c r="O137" i="6"/>
  <c r="W136" i="6"/>
  <c r="H136" i="6"/>
  <c r="K136" i="6"/>
  <c r="M136" i="6"/>
  <c r="O136" i="6"/>
  <c r="W35" i="13"/>
  <c r="W34" i="13"/>
  <c r="W33" i="13"/>
  <c r="W135" i="6" l="1"/>
  <c r="H135" i="6"/>
  <c r="K135" i="6"/>
  <c r="M135" i="6"/>
  <c r="O135" i="6"/>
  <c r="W134" i="6"/>
  <c r="H134" i="6"/>
  <c r="K134" i="6"/>
  <c r="M134" i="6"/>
  <c r="O134" i="6"/>
  <c r="W133" i="6"/>
  <c r="H133" i="6"/>
  <c r="K133" i="6"/>
  <c r="M133" i="6"/>
  <c r="O133" i="6"/>
  <c r="W132" i="6"/>
  <c r="H132" i="6"/>
  <c r="K132" i="6"/>
  <c r="M132" i="6"/>
  <c r="O132" i="6"/>
  <c r="W131" i="6"/>
  <c r="H131" i="6"/>
  <c r="K131" i="6"/>
  <c r="M131" i="6"/>
  <c r="O131" i="6"/>
  <c r="W130" i="6"/>
  <c r="H130" i="6"/>
  <c r="K130" i="6"/>
  <c r="M130" i="6"/>
  <c r="O130" i="6"/>
  <c r="W129" i="6"/>
  <c r="H129" i="6"/>
  <c r="K129" i="6"/>
  <c r="M129" i="6"/>
  <c r="O129" i="6"/>
  <c r="W128" i="6"/>
  <c r="H128" i="6"/>
  <c r="K128" i="6"/>
  <c r="M128" i="6"/>
  <c r="O128" i="6"/>
  <c r="W127" i="6"/>
  <c r="H127" i="6"/>
  <c r="K127" i="6"/>
  <c r="M127" i="6"/>
  <c r="O127" i="6"/>
  <c r="W126" i="6"/>
  <c r="H126" i="6"/>
  <c r="K126" i="6"/>
  <c r="M126" i="6"/>
  <c r="O126" i="6"/>
  <c r="W125" i="6"/>
  <c r="H125" i="6"/>
  <c r="K125" i="6"/>
  <c r="M125" i="6"/>
  <c r="O125" i="6"/>
  <c r="W124" i="6"/>
  <c r="H124" i="6"/>
  <c r="K124" i="6"/>
  <c r="M124" i="6"/>
  <c r="O124" i="6"/>
  <c r="W123" i="6"/>
  <c r="H123" i="6"/>
  <c r="K123" i="6"/>
  <c r="M123" i="6"/>
  <c r="O123" i="6"/>
  <c r="W122" i="6"/>
  <c r="H122" i="6"/>
  <c r="K122" i="6"/>
  <c r="M122" i="6"/>
  <c r="O122" i="6"/>
  <c r="W32" i="13"/>
  <c r="W121" i="6"/>
  <c r="H121" i="6"/>
  <c r="K121" i="6"/>
  <c r="M121" i="6"/>
  <c r="O121" i="6"/>
  <c r="W31" i="13"/>
  <c r="W120" i="6"/>
  <c r="H120" i="6"/>
  <c r="K120" i="6"/>
  <c r="M120" i="6"/>
  <c r="O120" i="6"/>
  <c r="W119" i="6"/>
  <c r="H119" i="6"/>
  <c r="K119" i="6"/>
  <c r="M119" i="6"/>
  <c r="O119" i="6"/>
  <c r="W118" i="6"/>
  <c r="H118" i="6"/>
  <c r="K118" i="6"/>
  <c r="M118" i="6"/>
  <c r="O118" i="6"/>
  <c r="W117" i="6"/>
  <c r="H117" i="6"/>
  <c r="K117" i="6"/>
  <c r="M117" i="6"/>
  <c r="O117" i="6"/>
  <c r="W116" i="6"/>
  <c r="H116" i="6"/>
  <c r="K116" i="6"/>
  <c r="M116" i="6"/>
  <c r="O116" i="6"/>
  <c r="W115" i="6"/>
  <c r="H115" i="6"/>
  <c r="K115" i="6"/>
  <c r="M115" i="6"/>
  <c r="O115" i="6"/>
  <c r="W114" i="6"/>
  <c r="H114" i="6"/>
  <c r="K114" i="6"/>
  <c r="M114" i="6"/>
  <c r="O114" i="6"/>
  <c r="W113" i="6"/>
  <c r="H113" i="6"/>
  <c r="K113" i="6"/>
  <c r="M113" i="6"/>
  <c r="O113" i="6"/>
  <c r="W112" i="6"/>
  <c r="H112" i="6"/>
  <c r="K112" i="6"/>
  <c r="M112" i="6"/>
  <c r="O112" i="6"/>
  <c r="W111" i="6"/>
  <c r="H111" i="6"/>
  <c r="K111" i="6"/>
  <c r="M111" i="6"/>
  <c r="O111" i="6"/>
  <c r="W110" i="6"/>
  <c r="H110" i="6"/>
  <c r="K110" i="6"/>
  <c r="M110" i="6"/>
  <c r="O110" i="6"/>
  <c r="W109" i="6"/>
  <c r="H109" i="6"/>
  <c r="K109" i="6"/>
  <c r="M109" i="6"/>
  <c r="O109" i="6"/>
  <c r="W108" i="6"/>
  <c r="H108" i="6"/>
  <c r="K108" i="6"/>
  <c r="M108" i="6"/>
  <c r="O108" i="6"/>
  <c r="W107" i="6" l="1"/>
  <c r="H107" i="6"/>
  <c r="K107" i="6"/>
  <c r="M107" i="6"/>
  <c r="O107" i="6"/>
  <c r="W106" i="6"/>
  <c r="H106" i="6"/>
  <c r="K106" i="6"/>
  <c r="M106" i="6"/>
  <c r="O106" i="6"/>
  <c r="W30" i="13" l="1"/>
  <c r="W105" i="6"/>
  <c r="H105" i="6"/>
  <c r="K105" i="6"/>
  <c r="M105" i="6"/>
  <c r="O105" i="6"/>
  <c r="W104" i="6"/>
  <c r="H104" i="6"/>
  <c r="K104" i="6"/>
  <c r="M104" i="6"/>
  <c r="O104" i="6"/>
  <c r="W103" i="6"/>
  <c r="H103" i="6"/>
  <c r="K103" i="6"/>
  <c r="M103" i="6"/>
  <c r="O103" i="6"/>
  <c r="W102" i="6"/>
  <c r="H102" i="6"/>
  <c r="K102" i="6"/>
  <c r="M102" i="6"/>
  <c r="O102" i="6"/>
  <c r="W101" i="6"/>
  <c r="H101" i="6"/>
  <c r="K101" i="6"/>
  <c r="M101" i="6"/>
  <c r="O101" i="6"/>
  <c r="W100" i="6"/>
  <c r="H100" i="6"/>
  <c r="K100" i="6"/>
  <c r="M100" i="6"/>
  <c r="O100" i="6"/>
  <c r="W99" i="6" l="1"/>
  <c r="H99" i="6"/>
  <c r="K99" i="6"/>
  <c r="M99" i="6"/>
  <c r="O99" i="6"/>
  <c r="W98" i="6"/>
  <c r="H98" i="6"/>
  <c r="K98" i="6"/>
  <c r="M98" i="6"/>
  <c r="O98" i="6"/>
  <c r="W97" i="6"/>
  <c r="H97" i="6"/>
  <c r="K97" i="6"/>
  <c r="M97" i="6"/>
  <c r="O97" i="6"/>
  <c r="W96" i="6"/>
  <c r="H96" i="6"/>
  <c r="K96" i="6"/>
  <c r="M96" i="6"/>
  <c r="O96" i="6"/>
  <c r="W95" i="6"/>
  <c r="H95" i="6"/>
  <c r="K95" i="6"/>
  <c r="M95" i="6"/>
  <c r="O95" i="6"/>
  <c r="W94" i="6"/>
  <c r="H94" i="6"/>
  <c r="K94" i="6"/>
  <c r="M94" i="6"/>
  <c r="O94" i="6"/>
  <c r="W93" i="6"/>
  <c r="H93" i="6"/>
  <c r="K93" i="6"/>
  <c r="M93" i="6"/>
  <c r="O93" i="6"/>
  <c r="W92" i="6"/>
  <c r="H92" i="6"/>
  <c r="K92" i="6"/>
  <c r="M92" i="6"/>
  <c r="O92" i="6"/>
  <c r="W91" i="6"/>
  <c r="H91" i="6"/>
  <c r="K91" i="6"/>
  <c r="M91" i="6"/>
  <c r="O91" i="6"/>
  <c r="W90" i="6"/>
  <c r="H90" i="6"/>
  <c r="K90" i="6"/>
  <c r="M90" i="6"/>
  <c r="O90" i="6"/>
  <c r="W89" i="6"/>
  <c r="H89" i="6"/>
  <c r="K89" i="6"/>
  <c r="M89" i="6"/>
  <c r="O89" i="6"/>
  <c r="W88" i="6"/>
  <c r="H88" i="6"/>
  <c r="K88" i="6"/>
  <c r="M88" i="6"/>
  <c r="O88" i="6"/>
  <c r="W87" i="6" l="1"/>
  <c r="H87" i="6"/>
  <c r="K87" i="6"/>
  <c r="M87" i="6"/>
  <c r="O87" i="6"/>
  <c r="W86" i="6"/>
  <c r="H86" i="6"/>
  <c r="K86" i="6"/>
  <c r="M86" i="6"/>
  <c r="O86" i="6"/>
  <c r="W85" i="6"/>
  <c r="H85" i="6"/>
  <c r="K85" i="6"/>
  <c r="M85" i="6"/>
  <c r="O85" i="6"/>
  <c r="W84" i="6"/>
  <c r="H84" i="6"/>
  <c r="K84" i="6"/>
  <c r="M84" i="6"/>
  <c r="O84" i="6"/>
  <c r="W83" i="6"/>
  <c r="H83" i="6"/>
  <c r="K83" i="6"/>
  <c r="M83" i="6"/>
  <c r="O83" i="6"/>
  <c r="W82" i="6"/>
  <c r="H82" i="6"/>
  <c r="K82" i="6"/>
  <c r="M82" i="6"/>
  <c r="O82" i="6"/>
  <c r="W81" i="6"/>
  <c r="H81" i="6"/>
  <c r="K81" i="6"/>
  <c r="M81" i="6"/>
  <c r="O81" i="6"/>
  <c r="W80" i="6"/>
  <c r="H80" i="6"/>
  <c r="K80" i="6"/>
  <c r="M80" i="6"/>
  <c r="O80" i="6"/>
  <c r="W79" i="6"/>
  <c r="H79" i="6"/>
  <c r="K79" i="6"/>
  <c r="M79" i="6"/>
  <c r="O79" i="6"/>
  <c r="W78" i="6"/>
  <c r="H78" i="6"/>
  <c r="K78" i="6"/>
  <c r="M78" i="6"/>
  <c r="O78" i="6"/>
  <c r="W77" i="6"/>
  <c r="H77" i="6"/>
  <c r="K77" i="6"/>
  <c r="M77" i="6"/>
  <c r="O77" i="6"/>
  <c r="W76" i="6"/>
  <c r="H76" i="6"/>
  <c r="K76" i="6"/>
  <c r="M76" i="6"/>
  <c r="O76" i="6"/>
  <c r="W75" i="6"/>
  <c r="H75" i="6"/>
  <c r="K75" i="6"/>
  <c r="M75" i="6"/>
  <c r="O75" i="6"/>
  <c r="W74" i="6"/>
  <c r="H74" i="6"/>
  <c r="K74" i="6"/>
  <c r="M74" i="6"/>
  <c r="O74" i="6"/>
  <c r="W73" i="6"/>
  <c r="H73" i="6"/>
  <c r="K73" i="6"/>
  <c r="M73" i="6"/>
  <c r="O73" i="6"/>
  <c r="W72" i="6"/>
  <c r="H72" i="6"/>
  <c r="K72" i="6"/>
  <c r="M72" i="6"/>
  <c r="O72" i="6"/>
  <c r="W71" i="6"/>
  <c r="H71" i="6"/>
  <c r="K71" i="6"/>
  <c r="M71" i="6"/>
  <c r="O71" i="6"/>
  <c r="W70" i="6"/>
  <c r="H70" i="6"/>
  <c r="K70" i="6"/>
  <c r="M70" i="6"/>
  <c r="O70" i="6"/>
  <c r="W69" i="6"/>
  <c r="H69" i="6"/>
  <c r="K69" i="6"/>
  <c r="M69" i="6"/>
  <c r="O69" i="6"/>
  <c r="W68" i="6"/>
  <c r="H68" i="6"/>
  <c r="K68" i="6"/>
  <c r="M68" i="6"/>
  <c r="O68" i="6"/>
  <c r="W67" i="6"/>
  <c r="H67" i="6"/>
  <c r="K67" i="6"/>
  <c r="M67" i="6"/>
  <c r="O67" i="6"/>
  <c r="W66" i="6"/>
  <c r="H66" i="6"/>
  <c r="K66" i="6"/>
  <c r="M66" i="6"/>
  <c r="O66" i="6"/>
  <c r="W65" i="6"/>
  <c r="H65" i="6"/>
  <c r="K65" i="6"/>
  <c r="M65" i="6"/>
  <c r="O65" i="6"/>
  <c r="W64" i="6"/>
  <c r="H64" i="6"/>
  <c r="K64" i="6"/>
  <c r="M64" i="6"/>
  <c r="O64" i="6"/>
  <c r="W63" i="6"/>
  <c r="H63" i="6"/>
  <c r="K63" i="6"/>
  <c r="M63" i="6"/>
  <c r="O63" i="6"/>
  <c r="W62" i="6"/>
  <c r="H62" i="6"/>
  <c r="K62" i="6"/>
  <c r="M62" i="6"/>
  <c r="O62" i="6"/>
  <c r="W61" i="6"/>
  <c r="H61" i="6"/>
  <c r="K61" i="6"/>
  <c r="M61" i="6"/>
  <c r="O61" i="6"/>
  <c r="W60" i="6"/>
  <c r="H60" i="6"/>
  <c r="K60" i="6"/>
  <c r="M60" i="6"/>
  <c r="O60" i="6"/>
  <c r="W59" i="6"/>
  <c r="H59" i="6"/>
  <c r="K59" i="6"/>
  <c r="M59" i="6"/>
  <c r="O59" i="6"/>
  <c r="W58" i="6"/>
  <c r="H58" i="6"/>
  <c r="K58" i="6"/>
  <c r="M58" i="6"/>
  <c r="O58" i="6"/>
  <c r="W57" i="6"/>
  <c r="H57" i="6"/>
  <c r="K57" i="6"/>
  <c r="M57" i="6"/>
  <c r="O57" i="6"/>
  <c r="W56" i="6"/>
  <c r="H56" i="6"/>
  <c r="K56" i="6"/>
  <c r="M56" i="6"/>
  <c r="O56" i="6"/>
  <c r="W55" i="6"/>
  <c r="H55" i="6"/>
  <c r="K55" i="6"/>
  <c r="M55" i="6"/>
  <c r="O55" i="6"/>
  <c r="W54" i="6"/>
  <c r="H54" i="6"/>
  <c r="K54" i="6"/>
  <c r="M54" i="6"/>
  <c r="O54" i="6"/>
  <c r="W53" i="6"/>
  <c r="H53" i="6"/>
  <c r="K53" i="6"/>
  <c r="M53" i="6"/>
  <c r="O53" i="6"/>
  <c r="W52" i="6"/>
  <c r="H52" i="6"/>
  <c r="K52" i="6"/>
  <c r="M52" i="6"/>
  <c r="O52" i="6"/>
  <c r="W51" i="6"/>
  <c r="H51" i="6"/>
  <c r="K51" i="6"/>
  <c r="M51" i="6"/>
  <c r="O51" i="6"/>
  <c r="W50" i="6"/>
  <c r="H50" i="6"/>
  <c r="K50" i="6"/>
  <c r="M50" i="6"/>
  <c r="O50" i="6"/>
  <c r="W49" i="6"/>
  <c r="H49" i="6"/>
  <c r="K49" i="6"/>
  <c r="M49" i="6"/>
  <c r="O49" i="6"/>
  <c r="W48" i="6" l="1"/>
  <c r="H48" i="6"/>
  <c r="K48" i="6"/>
  <c r="M48" i="6"/>
  <c r="O48" i="6"/>
  <c r="W47" i="6"/>
  <c r="H47" i="6"/>
  <c r="K47" i="6"/>
  <c r="M47" i="6"/>
  <c r="O47" i="6"/>
  <c r="W46" i="6"/>
  <c r="H46" i="6"/>
  <c r="K46" i="6"/>
  <c r="M46" i="6"/>
  <c r="O46" i="6"/>
  <c r="W45" i="6"/>
  <c r="H45" i="6"/>
  <c r="K45" i="6"/>
  <c r="M45" i="6"/>
  <c r="O45" i="6"/>
  <c r="W29" i="13"/>
  <c r="W28" i="13"/>
  <c r="W27" i="13"/>
  <c r="W44" i="6"/>
  <c r="H44" i="6"/>
  <c r="K44" i="6"/>
  <c r="M44" i="6"/>
  <c r="O44" i="6"/>
  <c r="W43" i="6"/>
  <c r="H43" i="6"/>
  <c r="K43" i="6"/>
  <c r="M43" i="6"/>
  <c r="O43" i="6"/>
  <c r="W42" i="6"/>
  <c r="H42" i="6"/>
  <c r="K42" i="6"/>
  <c r="M42" i="6"/>
  <c r="O42" i="6"/>
  <c r="W41" i="6"/>
  <c r="H41" i="6"/>
  <c r="K41" i="6"/>
  <c r="M41" i="6"/>
  <c r="O41" i="6"/>
  <c r="W26" i="13"/>
  <c r="W25" i="13"/>
  <c r="W24" i="13"/>
  <c r="W40" i="6"/>
  <c r="H40" i="6"/>
  <c r="K40" i="6"/>
  <c r="M40" i="6"/>
  <c r="O40" i="6"/>
  <c r="W39" i="6" l="1"/>
  <c r="H39" i="6"/>
  <c r="K39" i="6"/>
  <c r="M39" i="6"/>
  <c r="O39" i="6"/>
  <c r="W38" i="6"/>
  <c r="H38" i="6"/>
  <c r="K38" i="6"/>
  <c r="M38" i="6"/>
  <c r="O38" i="6"/>
  <c r="W37" i="6"/>
  <c r="H37" i="6"/>
  <c r="K37" i="6"/>
  <c r="M37" i="6"/>
  <c r="O37" i="6"/>
  <c r="W36" i="6"/>
  <c r="H36" i="6"/>
  <c r="K36" i="6"/>
  <c r="M36" i="6"/>
  <c r="O36" i="6"/>
  <c r="W35" i="6"/>
  <c r="H35" i="6"/>
  <c r="K35" i="6"/>
  <c r="M35" i="6"/>
  <c r="O35" i="6"/>
  <c r="W34" i="6"/>
  <c r="H34" i="6"/>
  <c r="K34" i="6"/>
  <c r="M34" i="6"/>
  <c r="O34" i="6"/>
  <c r="W33" i="6"/>
  <c r="H33" i="6"/>
  <c r="K33" i="6"/>
  <c r="M33" i="6"/>
  <c r="O33" i="6"/>
  <c r="W32" i="6"/>
  <c r="H32" i="6"/>
  <c r="K32" i="6"/>
  <c r="M32" i="6"/>
  <c r="O32" i="6"/>
  <c r="W23" i="13"/>
  <c r="W31" i="6"/>
  <c r="H31" i="6"/>
  <c r="K31" i="6"/>
  <c r="M31" i="6"/>
  <c r="O31" i="6"/>
  <c r="W30" i="6"/>
  <c r="H30" i="6"/>
  <c r="K30" i="6"/>
  <c r="M30" i="6"/>
  <c r="O30" i="6"/>
  <c r="W29" i="6"/>
  <c r="H29" i="6"/>
  <c r="K29" i="6"/>
  <c r="M29" i="6"/>
  <c r="O29" i="6"/>
  <c r="W28" i="6"/>
  <c r="H28" i="6"/>
  <c r="K28" i="6"/>
  <c r="M28" i="6"/>
  <c r="O28" i="6"/>
  <c r="W27" i="6" l="1"/>
  <c r="H27" i="6"/>
  <c r="K27" i="6"/>
  <c r="M27" i="6"/>
  <c r="O27" i="6"/>
  <c r="W26" i="6"/>
  <c r="H26" i="6"/>
  <c r="K26" i="6"/>
  <c r="M26" i="6"/>
  <c r="O26" i="6"/>
  <c r="W25" i="6" l="1"/>
  <c r="H25" i="6"/>
  <c r="K25" i="6"/>
  <c r="M25" i="6"/>
  <c r="O25" i="6"/>
  <c r="W24" i="6"/>
  <c r="H24" i="6"/>
  <c r="K24" i="6"/>
  <c r="M24" i="6"/>
  <c r="O24" i="6"/>
  <c r="W23" i="6"/>
  <c r="H23" i="6"/>
  <c r="K23" i="6"/>
  <c r="M23" i="6"/>
  <c r="O23" i="6"/>
  <c r="W22" i="6"/>
  <c r="H22" i="6"/>
  <c r="K22" i="6"/>
  <c r="M22" i="6"/>
  <c r="O22" i="6"/>
  <c r="W21" i="6"/>
  <c r="H21" i="6"/>
  <c r="K21" i="6"/>
  <c r="M21" i="6"/>
  <c r="O21" i="6"/>
  <c r="W20" i="6"/>
  <c r="H20" i="6"/>
  <c r="K20" i="6"/>
  <c r="M20" i="6"/>
  <c r="O20" i="6"/>
  <c r="W19" i="6"/>
  <c r="H19" i="6"/>
  <c r="K19" i="6"/>
  <c r="M19" i="6"/>
  <c r="O19" i="6"/>
  <c r="W18" i="6"/>
  <c r="H18" i="6"/>
  <c r="K18" i="6"/>
  <c r="M18" i="6"/>
  <c r="O18" i="6"/>
  <c r="W17" i="6"/>
  <c r="H17" i="6"/>
  <c r="K17" i="6"/>
  <c r="M17" i="6"/>
  <c r="O17" i="6"/>
  <c r="W16" i="6"/>
  <c r="H16" i="6"/>
  <c r="K16" i="6"/>
  <c r="M16" i="6"/>
  <c r="O16" i="6"/>
  <c r="W22" i="13"/>
  <c r="W21" i="13"/>
  <c r="W20" i="13"/>
  <c r="W19" i="13"/>
  <c r="W18" i="13"/>
  <c r="W15" i="6"/>
  <c r="H15" i="6"/>
  <c r="K15" i="6"/>
  <c r="M15" i="6"/>
  <c r="O15" i="6"/>
  <c r="W14" i="6"/>
  <c r="H14" i="6"/>
  <c r="K14" i="6"/>
  <c r="M14" i="6"/>
  <c r="O14" i="6"/>
  <c r="W13" i="6"/>
  <c r="H13" i="6"/>
  <c r="K13" i="6"/>
  <c r="M13" i="6"/>
  <c r="O13" i="6"/>
  <c r="W12" i="6"/>
  <c r="H12" i="6"/>
  <c r="K12" i="6"/>
  <c r="M12" i="6"/>
  <c r="O12" i="6"/>
  <c r="W11" i="6"/>
  <c r="H11" i="6"/>
  <c r="K11" i="6"/>
  <c r="M11" i="6"/>
  <c r="O11" i="6"/>
  <c r="W10" i="6"/>
  <c r="H10" i="6"/>
  <c r="K10" i="6"/>
  <c r="M10" i="6"/>
  <c r="O10" i="6"/>
  <c r="W17" i="13" l="1"/>
  <c r="W16" i="13"/>
  <c r="W15" i="13"/>
  <c r="W14" i="13"/>
  <c r="W13" i="13"/>
  <c r="W12" i="13"/>
  <c r="W11" i="13"/>
  <c r="W10" i="13" l="1"/>
  <c r="W9" i="13"/>
  <c r="W8" i="13" l="1"/>
  <c r="W7" i="13"/>
  <c r="W6" i="13"/>
  <c r="W5" i="13"/>
  <c r="W4" i="13"/>
  <c r="W3" i="13"/>
  <c r="W2" i="13"/>
  <c r="F204" i="13" s="1" a="1"/>
  <c r="F204" i="13" s="1"/>
  <c r="X204" i="13" s="1"/>
  <c r="F201" i="13" l="1" a="1"/>
  <c r="F201" i="13" s="1"/>
  <c r="X201" i="13" s="1"/>
  <c r="F202" i="13" a="1"/>
  <c r="F202" i="13" s="1"/>
  <c r="X202" i="13" s="1"/>
  <c r="F203" i="13" a="1"/>
  <c r="F203" i="13" s="1"/>
  <c r="X203" i="13" s="1"/>
  <c r="F200" i="13" a="1"/>
  <c r="F200" i="13" s="1"/>
  <c r="X200" i="13" s="1"/>
  <c r="F199" i="13" a="1"/>
  <c r="F199" i="13" s="1"/>
  <c r="X199" i="13" s="1"/>
  <c r="F198" i="13" a="1"/>
  <c r="F198" i="13" s="1"/>
  <c r="X198" i="13" s="1"/>
  <c r="W9" i="6"/>
  <c r="H9" i="6"/>
  <c r="K9" i="6"/>
  <c r="M9" i="6"/>
  <c r="O9" i="6"/>
  <c r="W8" i="6"/>
  <c r="H8" i="6"/>
  <c r="K8" i="6"/>
  <c r="M8" i="6"/>
  <c r="O8" i="6"/>
  <c r="W7" i="6"/>
  <c r="H7" i="6"/>
  <c r="K7" i="6"/>
  <c r="M7" i="6"/>
  <c r="O7" i="6"/>
  <c r="W6" i="6"/>
  <c r="H6" i="6"/>
  <c r="K6" i="6"/>
  <c r="M6" i="6"/>
  <c r="O6" i="6"/>
  <c r="W5" i="6" l="1"/>
  <c r="H5" i="6"/>
  <c r="K5" i="6"/>
  <c r="M5" i="6"/>
  <c r="O5" i="6"/>
  <c r="W4" i="6"/>
  <c r="H4" i="6"/>
  <c r="K4" i="6"/>
  <c r="M4" i="6"/>
  <c r="O4" i="6"/>
  <c r="W3" i="6" l="1"/>
  <c r="H3" i="6"/>
  <c r="K3" i="6"/>
  <c r="M3" i="6"/>
  <c r="O3" i="6"/>
  <c r="W2" i="6"/>
  <c r="H2" i="6"/>
  <c r="K2" i="6"/>
  <c r="M2" i="6"/>
  <c r="O2" i="6"/>
  <c r="F1076" i="6" l="1" a="1"/>
  <c r="F1076" i="6" s="1"/>
  <c r="X1076" i="6" s="1"/>
  <c r="F1077" i="6" a="1"/>
  <c r="F1077" i="6" s="1"/>
  <c r="X1077" i="6" s="1"/>
  <c r="F1074" i="6" a="1"/>
  <c r="F1074" i="6" s="1"/>
  <c r="X1074" i="6" s="1"/>
  <c r="F1075" i="6" a="1"/>
  <c r="F1075" i="6" s="1"/>
  <c r="X1075" i="6" s="1"/>
  <c r="F1073" i="6" a="1"/>
  <c r="F1073" i="6" s="1"/>
  <c r="X1073" i="6" s="1"/>
  <c r="F1072" i="6" a="1"/>
  <c r="F1072" i="6" s="1"/>
  <c r="X1072" i="6" s="1"/>
  <c r="F1070" i="6" a="1"/>
  <c r="F1070" i="6" s="1"/>
  <c r="X1070" i="6" s="1"/>
  <c r="F1071" i="6" a="1"/>
  <c r="F1071" i="6" s="1"/>
  <c r="X1071" i="6" s="1"/>
  <c r="F1066" i="6" a="1"/>
  <c r="F1066" i="6" s="1"/>
  <c r="X1066" i="6" s="1"/>
  <c r="F1069" i="6" a="1"/>
  <c r="F1069" i="6" s="1"/>
  <c r="X1069" i="6" s="1"/>
  <c r="F1068" i="6" a="1"/>
  <c r="F1068" i="6" s="1"/>
  <c r="X1068" i="6" s="1"/>
  <c r="F1067" i="6" a="1"/>
  <c r="F1067" i="6" s="1"/>
  <c r="X1067" i="6" s="1"/>
  <c r="F1064" i="6" a="1"/>
  <c r="F1064" i="6" s="1"/>
  <c r="X1064" i="6" s="1"/>
  <c r="F1065" i="6" a="1"/>
  <c r="F1065" i="6" s="1"/>
  <c r="X1065" i="6" s="1"/>
  <c r="F1063" i="6" a="1"/>
  <c r="F1063" i="6" s="1"/>
  <c r="X1063" i="6" s="1"/>
  <c r="F1062" i="6" a="1"/>
  <c r="F1062" i="6" s="1"/>
  <c r="X1062" i="6" s="1"/>
  <c r="F1061" i="6" a="1"/>
  <c r="F1061" i="6" s="1"/>
  <c r="X1061" i="6" s="1"/>
  <c r="F1059" i="6" a="1"/>
  <c r="F1059" i="6" s="1"/>
  <c r="X1059" i="6" s="1"/>
  <c r="F1060" i="6" a="1"/>
  <c r="F1060" i="6" s="1"/>
  <c r="X1060" i="6" s="1"/>
  <c r="F1058" i="6" a="1"/>
  <c r="F1058" i="6" s="1"/>
  <c r="X1058" i="6" s="1"/>
  <c r="F1057" i="6" a="1"/>
  <c r="F1057" i="6" s="1"/>
  <c r="X1057" i="6" s="1"/>
  <c r="F1056" i="6" a="1"/>
  <c r="F1056" i="6" s="1"/>
  <c r="X1056" i="6" s="1"/>
  <c r="F1055" i="6" a="1"/>
  <c r="F1055" i="6" s="1"/>
  <c r="X1055" i="6" s="1"/>
  <c r="F1052" i="6" a="1"/>
  <c r="F1052" i="6" s="1"/>
  <c r="X1052" i="6" s="1"/>
  <c r="F1053" i="6" a="1"/>
  <c r="F1053" i="6" s="1"/>
  <c r="X1053" i="6" s="1"/>
  <c r="F1051" i="6" a="1"/>
  <c r="F1051" i="6" s="1"/>
  <c r="X1051" i="6" s="1"/>
  <c r="F1054" i="6" a="1"/>
  <c r="F1054" i="6" s="1"/>
  <c r="X1054" i="6" s="1"/>
  <c r="F1050" i="6" a="1"/>
  <c r="F1050" i="6" s="1"/>
  <c r="X1050" i="6" s="1"/>
  <c r="F1049" i="6" a="1"/>
  <c r="F1049" i="6" s="1"/>
  <c r="X1049" i="6" s="1"/>
  <c r="F1048" i="6" a="1"/>
  <c r="F1048" i="6" s="1"/>
  <c r="X1048" i="6" s="1"/>
  <c r="F1047" i="6" a="1"/>
  <c r="F1047" i="6" s="1"/>
  <c r="X1047" i="6" s="1"/>
  <c r="F1046" i="6" a="1"/>
  <c r="F1046" i="6" s="1"/>
  <c r="X1046" i="6" s="1"/>
  <c r="F1045" i="6" a="1"/>
  <c r="F1045" i="6" s="1"/>
  <c r="X1045" i="6" s="1"/>
  <c r="F1044" i="6" a="1"/>
  <c r="F1044" i="6" s="1"/>
  <c r="X1044" i="6" s="1"/>
  <c r="F1043" i="6" a="1"/>
  <c r="F1043" i="6" s="1"/>
  <c r="X1043" i="6" s="1"/>
  <c r="F1042" i="6" a="1"/>
  <c r="F1042" i="6" s="1"/>
  <c r="X1042" i="6" s="1"/>
  <c r="F1041" i="6" a="1"/>
  <c r="F1041" i="6" s="1"/>
  <c r="X1041" i="6" s="1"/>
  <c r="F1040" i="6" a="1"/>
  <c r="F1040" i="6" s="1"/>
  <c r="X1040" i="6" s="1"/>
  <c r="F1036" i="6" a="1"/>
  <c r="F1036" i="6" s="1"/>
  <c r="X1036" i="6" s="1"/>
  <c r="F1039" i="6" a="1"/>
  <c r="F1039" i="6" s="1"/>
  <c r="X1039" i="6" s="1"/>
  <c r="F1038" i="6" a="1"/>
  <c r="F1038" i="6" s="1"/>
  <c r="X1038" i="6" s="1"/>
  <c r="F1037" i="6" a="1"/>
  <c r="F1037" i="6" s="1"/>
  <c r="X1037" i="6" s="1"/>
  <c r="F1035" i="6" a="1"/>
  <c r="F1035" i="6" s="1"/>
  <c r="X1035" i="6" s="1"/>
  <c r="F1034" i="6" a="1"/>
  <c r="F1034" i="6" s="1"/>
  <c r="X1034" i="6" s="1"/>
  <c r="F1033" i="6" a="1"/>
  <c r="F1033" i="6" s="1"/>
  <c r="X1033" i="6" s="1"/>
  <c r="F1032" i="6" a="1"/>
  <c r="F1032" i="6" s="1"/>
  <c r="X1032" i="6" s="1"/>
  <c r="F1031" i="6" a="1"/>
  <c r="F1031" i="6" s="1"/>
  <c r="X1031" i="6" s="1"/>
  <c r="F1030" i="6" a="1"/>
  <c r="F1030" i="6" s="1"/>
  <c r="X1030" i="6" s="1"/>
  <c r="F1029" i="6" a="1"/>
  <c r="F1029" i="6" s="1"/>
  <c r="X1029" i="6" s="1"/>
  <c r="F1027" i="6" a="1"/>
  <c r="F1027" i="6" s="1"/>
  <c r="X1027" i="6" s="1"/>
  <c r="F1026" i="6" a="1"/>
  <c r="F1026" i="6" s="1"/>
  <c r="X1026" i="6" s="1"/>
  <c r="F1025" i="6" a="1"/>
  <c r="F1025" i="6" s="1"/>
  <c r="X1025" i="6" s="1"/>
  <c r="F1028" i="6" a="1"/>
  <c r="F1028" i="6" s="1"/>
  <c r="X1028" i="6" s="1"/>
  <c r="F1021" i="6" a="1"/>
  <c r="F1021" i="6" s="1"/>
  <c r="X1021" i="6" s="1"/>
  <c r="F1024" i="6" a="1"/>
  <c r="F1024" i="6" s="1"/>
  <c r="X1024" i="6" s="1"/>
  <c r="F1023" i="6" a="1"/>
  <c r="F1023" i="6" s="1"/>
  <c r="X1023" i="6" s="1"/>
  <c r="F1022" i="6" a="1"/>
  <c r="F1022" i="6" s="1"/>
  <c r="X1022" i="6" s="1"/>
  <c r="F1009" i="6" a="1"/>
  <c r="F1009" i="6" s="1"/>
  <c r="F989" i="6" a="1"/>
  <c r="F989" i="6" s="1"/>
  <c r="F979" i="6" a="1"/>
  <c r="F979" i="6" s="1"/>
  <c r="F966" i="6" a="1"/>
  <c r="F966" i="6" s="1"/>
  <c r="F955" i="6" a="1"/>
  <c r="F955" i="6" s="1"/>
  <c r="F967" i="6" a="1"/>
  <c r="F967" i="6" s="1"/>
  <c r="F941" i="6" a="1"/>
  <c r="F941" i="6" s="1"/>
  <c r="F1002" i="6" a="1"/>
  <c r="F1002" i="6" s="1"/>
  <c r="F981" i="6" a="1"/>
  <c r="F981" i="6" s="1"/>
  <c r="F1014" i="6" a="1"/>
  <c r="F1014" i="6" s="1"/>
  <c r="F969" i="6" a="1"/>
  <c r="F969" i="6" s="1"/>
  <c r="F932" i="6" a="1"/>
  <c r="F932" i="6" s="1"/>
  <c r="F983" i="6" a="1"/>
  <c r="F983" i="6" s="1"/>
  <c r="F994" i="6" a="1"/>
  <c r="F994" i="6" s="1"/>
  <c r="F1006" i="6" a="1"/>
  <c r="F1006" i="6" s="1"/>
  <c r="F1018" i="6" a="1"/>
  <c r="F1018" i="6" s="1"/>
  <c r="F952" i="6" a="1"/>
  <c r="F952" i="6" s="1"/>
  <c r="F1019" i="6" a="1"/>
  <c r="F1019" i="6" s="1"/>
  <c r="F961" i="6" a="1"/>
  <c r="F961" i="6" s="1"/>
  <c r="F986" i="6" a="1"/>
  <c r="F986" i="6" s="1"/>
  <c r="F993" i="6" a="1"/>
  <c r="F993" i="6" s="1"/>
  <c r="F1020" i="6" a="1"/>
  <c r="F1020" i="6" s="1"/>
  <c r="F964" i="6" a="1"/>
  <c r="F964" i="6" s="1"/>
  <c r="F965" i="6" a="1"/>
  <c r="F965" i="6" s="1"/>
  <c r="F982" i="6" a="1"/>
  <c r="F982" i="6" s="1"/>
  <c r="F995" i="6" a="1"/>
  <c r="F995" i="6" s="1"/>
  <c r="F930" i="6" a="1"/>
  <c r="F930" i="6" s="1"/>
  <c r="F931" i="6" a="1"/>
  <c r="F931" i="6" s="1"/>
  <c r="F997" i="6" a="1"/>
  <c r="F997" i="6" s="1"/>
  <c r="F972" i="6" a="1"/>
  <c r="F972" i="6" s="1"/>
  <c r="F975" i="6" a="1"/>
  <c r="F975" i="6" s="1"/>
  <c r="F1005" i="6" a="1"/>
  <c r="F1005" i="6" s="1"/>
  <c r="F1007" i="6" a="1"/>
  <c r="F1007" i="6" s="1"/>
  <c r="F950" i="6" a="1"/>
  <c r="F950" i="6" s="1"/>
  <c r="F951" i="6" a="1"/>
  <c r="F951" i="6" s="1"/>
  <c r="F1015" i="6" a="1"/>
  <c r="F1015" i="6" s="1"/>
  <c r="F936" i="6" a="1"/>
  <c r="F936" i="6" s="1"/>
  <c r="F988" i="6" a="1"/>
  <c r="F988" i="6" s="1"/>
  <c r="F944" i="6" a="1"/>
  <c r="F944" i="6" s="1"/>
  <c r="F1010" i="6" a="1"/>
  <c r="F1010" i="6" s="1"/>
  <c r="F971" i="6" a="1"/>
  <c r="F971" i="6" s="1"/>
  <c r="F978" i="6" a="1"/>
  <c r="F978" i="6" s="1"/>
  <c r="F938" i="6" a="1"/>
  <c r="F938" i="6" s="1"/>
  <c r="F957" i="6" a="1"/>
  <c r="F957" i="6" s="1"/>
  <c r="F987" i="6" a="1"/>
  <c r="F987" i="6" s="1"/>
  <c r="F945" i="6" a="1"/>
  <c r="F945" i="6" s="1"/>
  <c r="F939" i="6" a="1"/>
  <c r="F939" i="6" s="1"/>
  <c r="F996" i="6" a="1"/>
  <c r="F996" i="6" s="1"/>
  <c r="F968" i="6" a="1"/>
  <c r="F968" i="6" s="1"/>
  <c r="F943" i="6" a="1"/>
  <c r="F943" i="6" s="1"/>
  <c r="F960" i="6" a="1"/>
  <c r="F960" i="6" s="1"/>
  <c r="F962" i="6" a="1"/>
  <c r="F962" i="6" s="1"/>
  <c r="F977" i="6" a="1"/>
  <c r="F977" i="6" s="1"/>
  <c r="F992" i="6" a="1"/>
  <c r="F992" i="6" s="1"/>
  <c r="F959" i="6" a="1"/>
  <c r="F959" i="6" s="1"/>
  <c r="F976" i="6" a="1"/>
  <c r="F976" i="6" s="1"/>
  <c r="F991" i="6" a="1"/>
  <c r="F991" i="6" s="1"/>
  <c r="F973" i="6" a="1"/>
  <c r="F973" i="6" s="1"/>
  <c r="F1001" i="6" a="1"/>
  <c r="F1001" i="6" s="1"/>
  <c r="F1013" i="6" a="1"/>
  <c r="F1013" i="6" s="1"/>
  <c r="F933" i="6" a="1"/>
  <c r="F933" i="6" s="1"/>
  <c r="F949" i="6" a="1"/>
  <c r="F949" i="6" s="1"/>
  <c r="F1003" i="6" a="1"/>
  <c r="F1003" i="6" s="1"/>
  <c r="F985" i="6" a="1"/>
  <c r="F985" i="6" s="1"/>
  <c r="F1017" i="6" a="1"/>
  <c r="F1017" i="6" s="1"/>
  <c r="F1000" i="6" a="1"/>
  <c r="F1000" i="6" s="1"/>
  <c r="F940" i="6" a="1"/>
  <c r="F940" i="6" s="1"/>
  <c r="F948" i="6" a="1"/>
  <c r="F948" i="6" s="1"/>
  <c r="F942" i="6" a="1"/>
  <c r="F942" i="6" s="1"/>
  <c r="F935" i="6" a="1"/>
  <c r="F935" i="6" s="1"/>
  <c r="F963" i="6" a="1"/>
  <c r="F963" i="6" s="1"/>
  <c r="F953" i="6" a="1"/>
  <c r="F953" i="6" s="1"/>
  <c r="F1008" i="6" a="1"/>
  <c r="F1008" i="6" s="1"/>
  <c r="F990" i="6" a="1"/>
  <c r="F990" i="6" s="1"/>
  <c r="F958" i="6" a="1"/>
  <c r="F958" i="6" s="1"/>
  <c r="F946" i="6" a="1"/>
  <c r="F946" i="6" s="1"/>
  <c r="F998" i="6" a="1"/>
  <c r="F998" i="6" s="1"/>
  <c r="F1004" i="6" a="1"/>
  <c r="F1004" i="6" s="1"/>
  <c r="F954" i="6" a="1"/>
  <c r="F954" i="6" s="1"/>
  <c r="F980" i="6" a="1"/>
  <c r="F980" i="6" s="1"/>
  <c r="F1016" i="6" a="1"/>
  <c r="F1016" i="6" s="1"/>
  <c r="F974" i="6" a="1"/>
  <c r="F974" i="6" s="1"/>
  <c r="F956" i="6" a="1"/>
  <c r="F956" i="6" s="1"/>
  <c r="F934" i="6" a="1"/>
  <c r="F934" i="6" s="1"/>
  <c r="F970" i="6" a="1"/>
  <c r="F970" i="6" s="1"/>
  <c r="F999" i="6" a="1"/>
  <c r="F999" i="6" s="1"/>
  <c r="F1012" i="6" a="1"/>
  <c r="F1012" i="6" s="1"/>
  <c r="F937" i="6" a="1"/>
  <c r="F937" i="6" s="1"/>
  <c r="F1011" i="6" a="1"/>
  <c r="F1011" i="6" s="1"/>
  <c r="F947" i="6" a="1"/>
  <c r="F947" i="6" s="1"/>
  <c r="F984" i="6" a="1"/>
  <c r="F984" i="6" s="1"/>
  <c r="F927" i="6" a="1"/>
  <c r="F927" i="6" s="1"/>
  <c r="F928" i="6" a="1"/>
  <c r="F928" i="6" s="1"/>
  <c r="F929" i="6" a="1"/>
  <c r="F929" i="6" s="1"/>
  <c r="F919" i="6" a="1"/>
  <c r="F919" i="6" s="1"/>
  <c r="F915" i="6" a="1"/>
  <c r="F915" i="6" s="1"/>
  <c r="F910" i="6" a="1"/>
  <c r="F910" i="6" s="1"/>
  <c r="F916" i="6" a="1"/>
  <c r="F916" i="6" s="1"/>
  <c r="F913" i="6" a="1"/>
  <c r="F913" i="6" s="1"/>
  <c r="F926" i="6" a="1"/>
  <c r="F926" i="6" s="1"/>
  <c r="F917" i="6" a="1"/>
  <c r="F917" i="6" s="1"/>
  <c r="F914" i="6" a="1"/>
  <c r="F914" i="6" s="1"/>
  <c r="F911" i="6" a="1"/>
  <c r="F911" i="6" s="1"/>
  <c r="F918" i="6" a="1"/>
  <c r="F918" i="6" s="1"/>
  <c r="F924" i="6" a="1"/>
  <c r="F924" i="6" s="1"/>
  <c r="F921" i="6" a="1"/>
  <c r="F921" i="6" s="1"/>
  <c r="F912" i="6" a="1"/>
  <c r="F912" i="6" s="1"/>
  <c r="F920" i="6" a="1"/>
  <c r="F920" i="6" s="1"/>
  <c r="F922" i="6" a="1"/>
  <c r="F922" i="6" s="1"/>
  <c r="F925" i="6" a="1"/>
  <c r="F925" i="6" s="1"/>
  <c r="F923" i="6" a="1"/>
  <c r="F923" i="6" s="1"/>
  <c r="F905" i="6" a="1"/>
  <c r="F905" i="6" s="1"/>
  <c r="F904" i="6" a="1"/>
  <c r="F904" i="6" s="1"/>
  <c r="F903" i="6" a="1"/>
  <c r="F903" i="6" s="1"/>
  <c r="F902" i="6" a="1"/>
  <c r="F902" i="6" s="1"/>
  <c r="F906" i="6" a="1"/>
  <c r="F906" i="6" s="1"/>
  <c r="F900" i="6" a="1"/>
  <c r="F900" i="6" s="1"/>
  <c r="F907" i="6" a="1"/>
  <c r="F907" i="6" s="1"/>
  <c r="F909" i="6" a="1"/>
  <c r="F909" i="6" s="1"/>
  <c r="F901" i="6" a="1"/>
  <c r="F901" i="6" s="1"/>
  <c r="F908" i="6" a="1"/>
  <c r="F908" i="6" s="1"/>
  <c r="F895" i="6" a="1"/>
  <c r="F895" i="6" s="1"/>
  <c r="F893" i="6" a="1"/>
  <c r="F893" i="6" s="1"/>
  <c r="F896" i="6" a="1"/>
  <c r="F896" i="6" s="1"/>
  <c r="F899" i="6" a="1"/>
  <c r="F899" i="6" s="1"/>
  <c r="F898" i="6" a="1"/>
  <c r="F898" i="6" s="1"/>
  <c r="F897" i="6" a="1"/>
  <c r="F897" i="6" s="1"/>
  <c r="F892" i="6" a="1"/>
  <c r="F892" i="6" s="1"/>
  <c r="F894" i="6" a="1"/>
  <c r="F894" i="6" s="1"/>
  <c r="F891" i="6" a="1"/>
  <c r="F891" i="6" s="1"/>
  <c r="F889" i="6" a="1"/>
  <c r="F889" i="6" s="1"/>
  <c r="F886" i="6" a="1"/>
  <c r="F886" i="6" s="1"/>
  <c r="F888" i="6" a="1"/>
  <c r="F888" i="6" s="1"/>
  <c r="F887" i="6" a="1"/>
  <c r="F887" i="6" s="1"/>
  <c r="F890" i="6" a="1"/>
  <c r="F890" i="6" s="1"/>
  <c r="F883" i="6" a="1"/>
  <c r="F883" i="6" s="1"/>
  <c r="F882" i="6" a="1"/>
  <c r="F882" i="6" s="1"/>
  <c r="F884" i="6" a="1"/>
  <c r="F884" i="6" s="1"/>
  <c r="F885" i="6" a="1"/>
  <c r="F885" i="6" s="1"/>
  <c r="F880" i="6" a="1"/>
  <c r="F880" i="6" s="1"/>
  <c r="F877" i="6" a="1"/>
  <c r="F877" i="6" s="1"/>
  <c r="F878" i="6" a="1"/>
  <c r="F878" i="6" s="1"/>
  <c r="F881" i="6" a="1"/>
  <c r="F881" i="6" s="1"/>
  <c r="F879" i="6" a="1"/>
  <c r="F879" i="6" s="1"/>
  <c r="F875" i="6" a="1"/>
  <c r="F875" i="6" s="1"/>
  <c r="F876" i="6" a="1"/>
  <c r="F876" i="6" s="1"/>
  <c r="F874" i="6" a="1"/>
  <c r="F874" i="6" s="1"/>
  <c r="F873" i="6" a="1"/>
  <c r="F873" i="6" s="1"/>
  <c r="F871" i="6" a="1"/>
  <c r="F871" i="6" s="1"/>
  <c r="F872" i="6" a="1"/>
  <c r="F872" i="6" s="1"/>
  <c r="F870" i="6" a="1"/>
  <c r="F870" i="6" s="1"/>
  <c r="F869" i="6" a="1"/>
  <c r="F869" i="6" s="1"/>
  <c r="F868" i="6" a="1"/>
  <c r="F868" i="6" s="1"/>
  <c r="F867" i="6" a="1"/>
  <c r="F867" i="6" s="1"/>
  <c r="F866" i="6" a="1"/>
  <c r="F866" i="6" s="1"/>
  <c r="F863" i="6" a="1"/>
  <c r="F863" i="6" s="1"/>
  <c r="F864" i="6" a="1"/>
  <c r="F864" i="6" s="1"/>
  <c r="F865" i="6" a="1"/>
  <c r="F865" i="6" s="1"/>
  <c r="F861" i="6" a="1"/>
  <c r="F861" i="6" s="1"/>
  <c r="F862" i="6" a="1"/>
  <c r="F862" i="6" s="1"/>
  <c r="F860" i="6" a="1"/>
  <c r="F860" i="6" s="1"/>
  <c r="F858" i="6" a="1"/>
  <c r="F858" i="6" s="1"/>
  <c r="F859" i="6" a="1"/>
  <c r="F859" i="6" s="1"/>
  <c r="F857" i="6" a="1"/>
  <c r="F857" i="6" s="1"/>
  <c r="F855" i="6" a="1"/>
  <c r="F855" i="6" s="1"/>
  <c r="F854" i="6" a="1"/>
  <c r="F854" i="6" s="1"/>
  <c r="F853" i="6" a="1"/>
  <c r="F853" i="6" s="1"/>
  <c r="F852" i="6" a="1"/>
  <c r="F852" i="6" s="1"/>
  <c r="F851" i="6" a="1"/>
  <c r="F851" i="6" s="1"/>
  <c r="F856" i="6" a="1"/>
  <c r="F856" i="6" s="1"/>
  <c r="F850" i="6" a="1"/>
  <c r="F850" i="6" s="1"/>
  <c r="F849" i="6" a="1"/>
  <c r="F849" i="6" s="1"/>
  <c r="F848" i="6" a="1"/>
  <c r="F848" i="6" s="1"/>
  <c r="F846" i="6" a="1"/>
  <c r="F846" i="6" s="1"/>
  <c r="F847" i="6" a="1"/>
  <c r="F847" i="6" s="1"/>
  <c r="F844" i="6" a="1"/>
  <c r="F844" i="6" s="1"/>
  <c r="F845" i="6" a="1"/>
  <c r="F845" i="6" s="1"/>
  <c r="F823" i="6" a="1"/>
  <c r="F823" i="6" s="1"/>
  <c r="F818" i="6" a="1"/>
  <c r="F818" i="6" s="1"/>
  <c r="F830" i="6" a="1"/>
  <c r="F830" i="6" s="1"/>
  <c r="F842" i="6" a="1"/>
  <c r="F842" i="6" s="1"/>
  <c r="F834" i="6" a="1"/>
  <c r="F834" i="6" s="1"/>
  <c r="F827" i="6" a="1"/>
  <c r="F827" i="6" s="1"/>
  <c r="F819" i="6" a="1"/>
  <c r="F819" i="6" s="1"/>
  <c r="F829" i="6" a="1"/>
  <c r="F829" i="6" s="1"/>
  <c r="F831" i="6" a="1"/>
  <c r="F831" i="6" s="1"/>
  <c r="F821" i="6" a="1"/>
  <c r="F821" i="6" s="1"/>
  <c r="F843" i="6" a="1"/>
  <c r="F843" i="6" s="1"/>
  <c r="F816" i="6" a="1"/>
  <c r="F816" i="6" s="1"/>
  <c r="F814" i="6" a="1"/>
  <c r="F814" i="6" s="1"/>
  <c r="F828" i="6" a="1"/>
  <c r="F828" i="6" s="1"/>
  <c r="F826" i="6" a="1"/>
  <c r="F826" i="6" s="1"/>
  <c r="F824" i="6" a="1"/>
  <c r="F824" i="6" s="1"/>
  <c r="F835" i="6" a="1"/>
  <c r="F835" i="6" s="1"/>
  <c r="F839" i="6" a="1"/>
  <c r="F839" i="6" s="1"/>
  <c r="F825" i="6" a="1"/>
  <c r="F825" i="6" s="1"/>
  <c r="F817" i="6" a="1"/>
  <c r="F817" i="6" s="1"/>
  <c r="F815" i="6" a="1"/>
  <c r="F815" i="6" s="1"/>
  <c r="F841" i="6" a="1"/>
  <c r="F841" i="6" s="1"/>
  <c r="F832" i="6" a="1"/>
  <c r="F832" i="6" s="1"/>
  <c r="F837" i="6" a="1"/>
  <c r="F837" i="6" s="1"/>
  <c r="F833" i="6" a="1"/>
  <c r="F833" i="6" s="1"/>
  <c r="F840" i="6" a="1"/>
  <c r="F840" i="6" s="1"/>
  <c r="F836" i="6" a="1"/>
  <c r="F836" i="6" s="1"/>
  <c r="F820" i="6" a="1"/>
  <c r="F820" i="6" s="1"/>
  <c r="F838" i="6" a="1"/>
  <c r="F838" i="6" s="1"/>
  <c r="F822" i="6" a="1"/>
  <c r="F822" i="6" s="1"/>
  <c r="F806" i="6" a="1"/>
  <c r="F806" i="6" s="1"/>
  <c r="F798" i="6" a="1"/>
  <c r="F798" i="6" s="1"/>
  <c r="F799" i="6" a="1"/>
  <c r="F799" i="6" s="1"/>
  <c r="F812" i="6" a="1"/>
  <c r="F812" i="6" s="1"/>
  <c r="F796" i="6" a="1"/>
  <c r="F796" i="6" s="1"/>
  <c r="F804" i="6" a="1"/>
  <c r="F804" i="6" s="1"/>
  <c r="F808" i="6" a="1"/>
  <c r="F808" i="6" s="1"/>
  <c r="F807" i="6" a="1"/>
  <c r="F807" i="6" s="1"/>
  <c r="F803" i="6" a="1"/>
  <c r="F803" i="6" s="1"/>
  <c r="F810" i="6" a="1"/>
  <c r="F810" i="6" s="1"/>
  <c r="F800" i="6" a="1"/>
  <c r="F800" i="6" s="1"/>
  <c r="F801" i="6" a="1"/>
  <c r="F801" i="6" s="1"/>
  <c r="F809" i="6" a="1"/>
  <c r="F809" i="6" s="1"/>
  <c r="F813" i="6" a="1"/>
  <c r="F813" i="6" s="1"/>
  <c r="F802" i="6" a="1"/>
  <c r="F802" i="6" s="1"/>
  <c r="F797" i="6" a="1"/>
  <c r="F797" i="6" s="1"/>
  <c r="F811" i="6" a="1"/>
  <c r="F811" i="6" s="1"/>
  <c r="F805" i="6" a="1"/>
  <c r="F805" i="6" s="1"/>
  <c r="F779" i="6" a="1"/>
  <c r="F779" i="6" s="1"/>
  <c r="F782" i="6" a="1"/>
  <c r="F782" i="6" s="1"/>
  <c r="F791" i="6" a="1"/>
  <c r="F791" i="6" s="1"/>
  <c r="F788" i="6" a="1"/>
  <c r="F788" i="6" s="1"/>
  <c r="F794" i="6" a="1"/>
  <c r="F794" i="6" s="1"/>
  <c r="F790" i="6" a="1"/>
  <c r="F790" i="6" s="1"/>
  <c r="F780" i="6" a="1"/>
  <c r="F780" i="6" s="1"/>
  <c r="F784" i="6" a="1"/>
  <c r="F784" i="6" s="1"/>
  <c r="F781" i="6" a="1"/>
  <c r="F781" i="6" s="1"/>
  <c r="F777" i="6" a="1"/>
  <c r="F777" i="6" s="1"/>
  <c r="F789" i="6" a="1"/>
  <c r="F789" i="6" s="1"/>
  <c r="F786" i="6" a="1"/>
  <c r="F786" i="6" s="1"/>
  <c r="F776" i="6" a="1"/>
  <c r="F776" i="6" s="1"/>
  <c r="F795" i="6" a="1"/>
  <c r="F795" i="6" s="1"/>
  <c r="F778" i="6" a="1"/>
  <c r="F778" i="6" s="1"/>
  <c r="F785" i="6" a="1"/>
  <c r="F785" i="6" s="1"/>
  <c r="F783" i="6" a="1"/>
  <c r="F783" i="6" s="1"/>
  <c r="F787" i="6" a="1"/>
  <c r="F787" i="6" s="1"/>
  <c r="F717" i="6" a="1"/>
  <c r="F717" i="6" s="1"/>
  <c r="F772" i="6" a="1"/>
  <c r="F772" i="6" s="1"/>
  <c r="F704" i="6" a="1"/>
  <c r="F704" i="6" s="1"/>
  <c r="F739" i="6" a="1"/>
  <c r="F739" i="6" s="1"/>
  <c r="F765" i="6" a="1"/>
  <c r="F765" i="6" s="1"/>
  <c r="F734" i="6" a="1"/>
  <c r="F734" i="6" s="1"/>
  <c r="F686" i="6" a="1"/>
  <c r="F686" i="6" s="1"/>
  <c r="F714" i="6" a="1"/>
  <c r="F714" i="6" s="1"/>
  <c r="F728" i="6" a="1"/>
  <c r="F728" i="6" s="1"/>
  <c r="F696" i="6" a="1"/>
  <c r="F696" i="6" s="1"/>
  <c r="F745" i="6" a="1"/>
  <c r="F745" i="6" s="1"/>
  <c r="F679" i="6" a="1"/>
  <c r="F679" i="6" s="1"/>
  <c r="F718" i="6" a="1"/>
  <c r="F718" i="6" s="1"/>
  <c r="F752" i="6" a="1"/>
  <c r="F752" i="6" s="1"/>
  <c r="F683" i="6" a="1"/>
  <c r="F683" i="6" s="1"/>
  <c r="F747" i="6" a="1"/>
  <c r="F747" i="6" s="1"/>
  <c r="F721" i="6" a="1"/>
  <c r="F721" i="6" s="1"/>
  <c r="F726" i="6" a="1"/>
  <c r="F726" i="6" s="1"/>
  <c r="F758" i="6" a="1"/>
  <c r="F758" i="6" s="1"/>
  <c r="F743" i="6" a="1"/>
  <c r="F743" i="6" s="1"/>
  <c r="F719" i="6" a="1"/>
  <c r="F719" i="6" s="1"/>
  <c r="F687" i="6" a="1"/>
  <c r="F687" i="6" s="1"/>
  <c r="F727" i="6" a="1"/>
  <c r="F727" i="6" s="1"/>
  <c r="F769" i="6" a="1"/>
  <c r="F769" i="6" s="1"/>
  <c r="F720" i="6" a="1"/>
  <c r="F720" i="6" s="1"/>
  <c r="F732" i="6" a="1"/>
  <c r="F732" i="6" s="1"/>
  <c r="F768" i="6" a="1"/>
  <c r="F768" i="6" s="1"/>
  <c r="F764" i="6" a="1"/>
  <c r="F764" i="6" s="1"/>
  <c r="F688" i="6" a="1"/>
  <c r="F688" i="6" s="1"/>
  <c r="F709" i="6" a="1"/>
  <c r="F709" i="6" s="1"/>
  <c r="F701" i="6" a="1"/>
  <c r="F701" i="6" s="1"/>
  <c r="F730" i="6" a="1"/>
  <c r="F730" i="6" s="1"/>
  <c r="F762" i="6" a="1"/>
  <c r="F762" i="6" s="1"/>
  <c r="F705" i="6" a="1"/>
  <c r="F705" i="6" s="1"/>
  <c r="F757" i="6" a="1"/>
  <c r="F757" i="6" s="1"/>
  <c r="F756" i="6" a="1"/>
  <c r="F756" i="6" s="1"/>
  <c r="F753" i="6" a="1"/>
  <c r="F753" i="6" s="1"/>
  <c r="F715" i="6" a="1"/>
  <c r="F715" i="6" s="1"/>
  <c r="F681" i="6" a="1"/>
  <c r="F681" i="6" s="1"/>
  <c r="F771" i="6" a="1"/>
  <c r="F771" i="6" s="1"/>
  <c r="F763" i="6" a="1"/>
  <c r="F763" i="6" s="1"/>
  <c r="F689" i="6" a="1"/>
  <c r="F689" i="6" s="1"/>
  <c r="F767" i="6" a="1"/>
  <c r="F767" i="6" s="1"/>
  <c r="F731" i="6" a="1"/>
  <c r="F731" i="6" s="1"/>
  <c r="F724" i="6" a="1"/>
  <c r="F724" i="6" s="1"/>
  <c r="F733" i="6" a="1"/>
  <c r="F733" i="6" s="1"/>
  <c r="F680" i="6" a="1"/>
  <c r="F680" i="6" s="1"/>
  <c r="F738" i="6" a="1"/>
  <c r="F738" i="6" s="1"/>
  <c r="F703" i="6" a="1"/>
  <c r="F703" i="6" s="1"/>
  <c r="F708" i="6" a="1"/>
  <c r="F708" i="6" s="1"/>
  <c r="F700" i="6" a="1"/>
  <c r="F700" i="6" s="1"/>
  <c r="F698" i="6" a="1"/>
  <c r="F698" i="6" s="1"/>
  <c r="F740" i="6" a="1"/>
  <c r="F740" i="6" s="1"/>
  <c r="F729" i="6" a="1"/>
  <c r="F729" i="6" s="1"/>
  <c r="F685" i="6" a="1"/>
  <c r="F685" i="6" s="1"/>
  <c r="F744" i="6" a="1"/>
  <c r="F744" i="6" s="1"/>
  <c r="F707" i="6" a="1"/>
  <c r="F707" i="6" s="1"/>
  <c r="F749" i="6" a="1"/>
  <c r="F749" i="6" s="1"/>
  <c r="F712" i="6" a="1"/>
  <c r="F712" i="6" s="1"/>
  <c r="F754" i="6" a="1"/>
  <c r="F754" i="6" s="1"/>
  <c r="F746" i="6" a="1"/>
  <c r="F746" i="6" s="1"/>
  <c r="F751" i="6" a="1"/>
  <c r="F751" i="6" s="1"/>
  <c r="F742" i="6" a="1"/>
  <c r="F742" i="6" s="1"/>
  <c r="F674" i="6" a="1"/>
  <c r="F674" i="6" s="1"/>
  <c r="F736" i="6" a="1"/>
  <c r="F736" i="6" s="1"/>
  <c r="F706" i="6" a="1"/>
  <c r="F706" i="6" s="1"/>
  <c r="F737" i="6" a="1"/>
  <c r="F737" i="6" s="1"/>
  <c r="F675" i="6" a="1"/>
  <c r="F675" i="6" s="1"/>
  <c r="F766" i="6" a="1"/>
  <c r="F766" i="6" s="1"/>
  <c r="F735" i="6" a="1"/>
  <c r="F735" i="6" s="1"/>
  <c r="F722" i="6" a="1"/>
  <c r="F722" i="6" s="1"/>
  <c r="F761" i="6" a="1"/>
  <c r="F761" i="6" s="1"/>
  <c r="F723" i="6" a="1"/>
  <c r="F723" i="6" s="1"/>
  <c r="F773" i="6" a="1"/>
  <c r="F773" i="6" s="1"/>
  <c r="F759" i="6" a="1"/>
  <c r="F759" i="6" s="1"/>
  <c r="F694" i="6" a="1"/>
  <c r="F694" i="6" s="1"/>
  <c r="F750" i="6" a="1"/>
  <c r="F750" i="6" s="1"/>
  <c r="F697" i="6" a="1"/>
  <c r="F697" i="6" s="1"/>
  <c r="F725" i="6" a="1"/>
  <c r="F725" i="6" s="1"/>
  <c r="F775" i="6" a="1"/>
  <c r="F775" i="6" s="1"/>
  <c r="F748" i="6" a="1"/>
  <c r="F748" i="6" s="1"/>
  <c r="F690" i="6" a="1"/>
  <c r="F690" i="6" s="1"/>
  <c r="F677" i="6" a="1"/>
  <c r="F677" i="6" s="1"/>
  <c r="F770" i="6" a="1"/>
  <c r="F770" i="6" s="1"/>
  <c r="F760" i="6" a="1"/>
  <c r="F760" i="6" s="1"/>
  <c r="F711" i="6" a="1"/>
  <c r="F711" i="6" s="1"/>
  <c r="F741" i="6" a="1"/>
  <c r="F741" i="6" s="1"/>
  <c r="F691" i="6" a="1"/>
  <c r="F691" i="6" s="1"/>
  <c r="F755" i="6" a="1"/>
  <c r="F755" i="6" s="1"/>
  <c r="F684" i="6" a="1"/>
  <c r="F684" i="6" s="1"/>
  <c r="F676" i="6" a="1"/>
  <c r="F676" i="6" s="1"/>
  <c r="F699" i="6" a="1"/>
  <c r="F699" i="6" s="1"/>
  <c r="F702" i="6" a="1"/>
  <c r="F702" i="6" s="1"/>
  <c r="F710" i="6" a="1"/>
  <c r="F710" i="6" s="1"/>
  <c r="F774" i="6" a="1"/>
  <c r="F774" i="6" s="1"/>
  <c r="F678" i="6" a="1"/>
  <c r="F678" i="6" s="1"/>
  <c r="F695" i="6" a="1"/>
  <c r="F695" i="6" s="1"/>
  <c r="F692" i="6" a="1"/>
  <c r="F692" i="6" s="1"/>
  <c r="F713" i="6" a="1"/>
  <c r="F713" i="6" s="1"/>
  <c r="F716" i="6" a="1"/>
  <c r="F716" i="6" s="1"/>
  <c r="F682" i="6" a="1"/>
  <c r="F682" i="6" s="1"/>
  <c r="F693" i="6" a="1"/>
  <c r="F693" i="6" s="1"/>
  <c r="F625" i="6" a="1"/>
  <c r="F625" i="6" s="1"/>
  <c r="F646" i="6" a="1"/>
  <c r="F646" i="6" s="1"/>
  <c r="F658" i="6" a="1"/>
  <c r="F658" i="6" s="1"/>
  <c r="F636" i="6" a="1"/>
  <c r="F636" i="6" s="1"/>
  <c r="F656" i="6" a="1"/>
  <c r="F656" i="6" s="1"/>
  <c r="F673" i="6" a="1"/>
  <c r="F673" i="6" s="1"/>
  <c r="F631" i="6" a="1"/>
  <c r="F631" i="6" s="1"/>
  <c r="F665" i="6" a="1"/>
  <c r="F665" i="6" s="1"/>
  <c r="F660" i="6" a="1"/>
  <c r="F660" i="6" s="1"/>
  <c r="F669" i="6" a="1"/>
  <c r="F669" i="6" s="1"/>
  <c r="F664" i="6" a="1"/>
  <c r="F664" i="6" s="1"/>
  <c r="F654" i="6" a="1"/>
  <c r="F654" i="6" s="1"/>
  <c r="F633" i="6" a="1"/>
  <c r="F633" i="6" s="1"/>
  <c r="F639" i="6" a="1"/>
  <c r="F639" i="6" s="1"/>
  <c r="F653" i="6" a="1"/>
  <c r="F653" i="6" s="1"/>
  <c r="F641" i="6" a="1"/>
  <c r="F641" i="6" s="1"/>
  <c r="F640" i="6" a="1"/>
  <c r="F640" i="6" s="1"/>
  <c r="F670" i="6" a="1"/>
  <c r="F670" i="6" s="1"/>
  <c r="F634" i="6" a="1"/>
  <c r="F634" i="6" s="1"/>
  <c r="F619" i="6" a="1"/>
  <c r="F619" i="6" s="1"/>
  <c r="F626" i="6" a="1"/>
  <c r="F626" i="6" s="1"/>
  <c r="F628" i="6" a="1"/>
  <c r="F628" i="6" s="1"/>
  <c r="F629" i="6" a="1"/>
  <c r="F629" i="6" s="1"/>
  <c r="F638" i="6" a="1"/>
  <c r="F638" i="6" s="1"/>
  <c r="F662" i="6" a="1"/>
  <c r="F662" i="6" s="1"/>
  <c r="F645" i="6" a="1"/>
  <c r="F645" i="6" s="1"/>
  <c r="F637" i="6" a="1"/>
  <c r="F637" i="6" s="1"/>
  <c r="F635" i="6" a="1"/>
  <c r="F635" i="6" s="1"/>
  <c r="F627" i="6" a="1"/>
  <c r="F627" i="6" s="1"/>
  <c r="F642" i="6" a="1"/>
  <c r="F642" i="6" s="1"/>
  <c r="F663" i="6" a="1"/>
  <c r="F663" i="6" s="1"/>
  <c r="F624" i="6" a="1"/>
  <c r="F624" i="6" s="1"/>
  <c r="F652" i="6" a="1"/>
  <c r="F652" i="6" s="1"/>
  <c r="F620" i="6" a="1"/>
  <c r="F620" i="6" s="1"/>
  <c r="F649" i="6" a="1"/>
  <c r="F649" i="6" s="1"/>
  <c r="F650" i="6" a="1"/>
  <c r="F650" i="6" s="1"/>
  <c r="F643" i="6" a="1"/>
  <c r="F643" i="6" s="1"/>
  <c r="F655" i="6" a="1"/>
  <c r="F655" i="6" s="1"/>
  <c r="F671" i="6" a="1"/>
  <c r="F671" i="6" s="1"/>
  <c r="F657" i="6" a="1"/>
  <c r="F657" i="6" s="1"/>
  <c r="F648" i="6" a="1"/>
  <c r="F648" i="6" s="1"/>
  <c r="F667" i="6" a="1"/>
  <c r="F667" i="6" s="1"/>
  <c r="F661" i="6" a="1"/>
  <c r="F661" i="6" s="1"/>
  <c r="F651" i="6" a="1"/>
  <c r="F651" i="6" s="1"/>
  <c r="F668" i="6" a="1"/>
  <c r="F668" i="6" s="1"/>
  <c r="F666" i="6" a="1"/>
  <c r="F666" i="6" s="1"/>
  <c r="F672" i="6" a="1"/>
  <c r="F672" i="6" s="1"/>
  <c r="F622" i="6" a="1"/>
  <c r="F622" i="6" s="1"/>
  <c r="F621" i="6" a="1"/>
  <c r="F621" i="6" s="1"/>
  <c r="F623" i="6" a="1"/>
  <c r="F623" i="6" s="1"/>
  <c r="F630" i="6" a="1"/>
  <c r="F630" i="6" s="1"/>
  <c r="F647" i="6" a="1"/>
  <c r="F647" i="6" s="1"/>
  <c r="F659" i="6" a="1"/>
  <c r="F659" i="6" s="1"/>
  <c r="F632" i="6" a="1"/>
  <c r="F632" i="6" s="1"/>
  <c r="F644" i="6" a="1"/>
  <c r="F644" i="6" s="1"/>
  <c r="F616" i="6" a="1"/>
  <c r="F616" i="6" s="1"/>
  <c r="F618" i="6" a="1"/>
  <c r="F618" i="6" s="1"/>
  <c r="F617" i="6" a="1"/>
  <c r="F617" i="6" s="1"/>
  <c r="F615" i="6" a="1"/>
  <c r="F615" i="6" s="1"/>
  <c r="F614" i="6" a="1"/>
  <c r="F614" i="6" s="1"/>
  <c r="F607" i="6" a="1"/>
  <c r="F607" i="6" s="1"/>
  <c r="F610" i="6" a="1"/>
  <c r="F610" i="6" s="1"/>
  <c r="F603" i="6" a="1"/>
  <c r="F603" i="6" s="1"/>
  <c r="F612" i="6" a="1"/>
  <c r="F612" i="6" s="1"/>
  <c r="F609" i="6" a="1"/>
  <c r="F609" i="6" s="1"/>
  <c r="F611" i="6" a="1"/>
  <c r="F611" i="6" s="1"/>
  <c r="F604" i="6" a="1"/>
  <c r="F604" i="6" s="1"/>
  <c r="F608" i="6" a="1"/>
  <c r="F608" i="6" s="1"/>
  <c r="F600" i="6" a="1"/>
  <c r="F600" i="6" s="1"/>
  <c r="F605" i="6" a="1"/>
  <c r="F605" i="6" s="1"/>
  <c r="F606" i="6" a="1"/>
  <c r="F606" i="6" s="1"/>
  <c r="F602" i="6" a="1"/>
  <c r="F602" i="6" s="1"/>
  <c r="F601" i="6" a="1"/>
  <c r="F601" i="6" s="1"/>
  <c r="F613" i="6" a="1"/>
  <c r="F613" i="6" s="1"/>
  <c r="F595" i="6" a="1"/>
  <c r="F595" i="6" s="1"/>
  <c r="F599" i="6" a="1"/>
  <c r="F599" i="6" s="1"/>
  <c r="F597" i="6" a="1"/>
  <c r="F597" i="6" s="1"/>
  <c r="F594" i="6" a="1"/>
  <c r="F594" i="6" s="1"/>
  <c r="F596" i="6" a="1"/>
  <c r="F596" i="6" s="1"/>
  <c r="F593" i="6" a="1"/>
  <c r="F593" i="6" s="1"/>
  <c r="F598" i="6" a="1"/>
  <c r="F598" i="6" s="1"/>
  <c r="F585" i="6" a="1"/>
  <c r="F585" i="6" s="1"/>
  <c r="F578" i="6" a="1"/>
  <c r="F578" i="6" s="1"/>
  <c r="F576" i="6" a="1"/>
  <c r="F576" i="6" s="1"/>
  <c r="F590" i="6" a="1"/>
  <c r="F590" i="6" s="1"/>
  <c r="F582" i="6" a="1"/>
  <c r="F582" i="6" s="1"/>
  <c r="F592" i="6" a="1"/>
  <c r="F592" i="6" s="1"/>
  <c r="F577" i="6" a="1"/>
  <c r="F577" i="6" s="1"/>
  <c r="F587" i="6" a="1"/>
  <c r="F587" i="6" s="1"/>
  <c r="F588" i="6" a="1"/>
  <c r="F588" i="6" s="1"/>
  <c r="F583" i="6" a="1"/>
  <c r="F583" i="6" s="1"/>
  <c r="F586" i="6" a="1"/>
  <c r="F586" i="6" s="1"/>
  <c r="F580" i="6" a="1"/>
  <c r="F580" i="6" s="1"/>
  <c r="F591" i="6" a="1"/>
  <c r="F591" i="6" s="1"/>
  <c r="F575" i="6" a="1"/>
  <c r="F575" i="6" s="1"/>
  <c r="F589" i="6" a="1"/>
  <c r="F589" i="6" s="1"/>
  <c r="F579" i="6" a="1"/>
  <c r="F579" i="6" s="1"/>
  <c r="F581" i="6" a="1"/>
  <c r="F581" i="6" s="1"/>
  <c r="F584" i="6" a="1"/>
  <c r="F584" i="6" s="1"/>
  <c r="F573" i="6" a="1"/>
  <c r="F573" i="6" s="1"/>
  <c r="F574" i="6" a="1"/>
  <c r="F574" i="6" s="1"/>
  <c r="F572" i="6" a="1"/>
  <c r="F572" i="6" s="1"/>
  <c r="F571" i="6" a="1"/>
  <c r="F571" i="6" s="1"/>
  <c r="F563" i="6" a="1"/>
  <c r="F563" i="6" s="1"/>
  <c r="F569" i="6" a="1"/>
  <c r="F569" i="6" s="1"/>
  <c r="F567" i="6" a="1"/>
  <c r="F567" i="6" s="1"/>
  <c r="F564" i="6" a="1"/>
  <c r="F564" i="6" s="1"/>
  <c r="F570" i="6" a="1"/>
  <c r="F570" i="6" s="1"/>
  <c r="F566" i="6" a="1"/>
  <c r="F566" i="6" s="1"/>
  <c r="F562" i="6" a="1"/>
  <c r="F562" i="6" s="1"/>
  <c r="F561" i="6" a="1"/>
  <c r="F561" i="6" s="1"/>
  <c r="F565" i="6" a="1"/>
  <c r="F565" i="6" s="1"/>
  <c r="F568" i="6" a="1"/>
  <c r="F568" i="6" s="1"/>
  <c r="F550" i="6" a="1"/>
  <c r="F550" i="6" s="1"/>
  <c r="F525" i="6" a="1"/>
  <c r="F525" i="6" s="1"/>
  <c r="F542" i="6" a="1"/>
  <c r="F542" i="6" s="1"/>
  <c r="F516" i="6" a="1"/>
  <c r="F516" i="6" s="1"/>
  <c r="F559" i="6" a="1"/>
  <c r="F559" i="6" s="1"/>
  <c r="F549" i="6" a="1"/>
  <c r="F549" i="6" s="1"/>
  <c r="F538" i="6" a="1"/>
  <c r="F538" i="6" s="1"/>
  <c r="F517" i="6" a="1"/>
  <c r="F517" i="6" s="1"/>
  <c r="F523" i="6" a="1"/>
  <c r="F523" i="6" s="1"/>
  <c r="F540" i="6" a="1"/>
  <c r="F540" i="6" s="1"/>
  <c r="F530" i="6" a="1"/>
  <c r="F530" i="6" s="1"/>
  <c r="F555" i="6" a="1"/>
  <c r="F555" i="6" s="1"/>
  <c r="F531" i="6" a="1"/>
  <c r="F531" i="6" s="1"/>
  <c r="F526" i="6" a="1"/>
  <c r="F526" i="6" s="1"/>
  <c r="F518" i="6" a="1"/>
  <c r="F518" i="6" s="1"/>
  <c r="F544" i="6" a="1"/>
  <c r="F544" i="6" s="1"/>
  <c r="F527" i="6" a="1"/>
  <c r="F527" i="6" s="1"/>
  <c r="F546" i="6" a="1"/>
  <c r="F546" i="6" s="1"/>
  <c r="F520" i="6" a="1"/>
  <c r="F520" i="6" s="1"/>
  <c r="F534" i="6" a="1"/>
  <c r="F534" i="6" s="1"/>
  <c r="F553" i="6" a="1"/>
  <c r="F553" i="6" s="1"/>
  <c r="F552" i="6" a="1"/>
  <c r="F552" i="6" s="1"/>
  <c r="F541" i="6" a="1"/>
  <c r="F541" i="6" s="1"/>
  <c r="F545" i="6" a="1"/>
  <c r="F545" i="6" s="1"/>
  <c r="F558" i="6" a="1"/>
  <c r="F558" i="6" s="1"/>
  <c r="F539" i="6" a="1"/>
  <c r="F539" i="6" s="1"/>
  <c r="F535" i="6" a="1"/>
  <c r="F535" i="6" s="1"/>
  <c r="F554" i="6" a="1"/>
  <c r="F554" i="6" s="1"/>
  <c r="F560" i="6" a="1"/>
  <c r="F560" i="6" s="1"/>
  <c r="F521" i="6" a="1"/>
  <c r="F521" i="6" s="1"/>
  <c r="F519" i="6" a="1"/>
  <c r="F519" i="6" s="1"/>
  <c r="F536" i="6" a="1"/>
  <c r="F536" i="6" s="1"/>
  <c r="F543" i="6" a="1"/>
  <c r="F543" i="6" s="1"/>
  <c r="F548" i="6" a="1"/>
  <c r="F548" i="6" s="1"/>
  <c r="F533" i="6" a="1"/>
  <c r="F533" i="6" s="1"/>
  <c r="F537" i="6" a="1"/>
  <c r="F537" i="6" s="1"/>
  <c r="F532" i="6" a="1"/>
  <c r="F532" i="6" s="1"/>
  <c r="F547" i="6" a="1"/>
  <c r="F547" i="6" s="1"/>
  <c r="F522" i="6" a="1"/>
  <c r="F522" i="6" s="1"/>
  <c r="F557" i="6" a="1"/>
  <c r="F557" i="6" s="1"/>
  <c r="F528" i="6" a="1"/>
  <c r="F528" i="6" s="1"/>
  <c r="F551" i="6" a="1"/>
  <c r="F551" i="6" s="1"/>
  <c r="F556" i="6" a="1"/>
  <c r="F556" i="6" s="1"/>
  <c r="F529" i="6" a="1"/>
  <c r="F529" i="6" s="1"/>
  <c r="F524" i="6" a="1"/>
  <c r="F524" i="6" s="1"/>
  <c r="F512" i="6" a="1"/>
  <c r="F512" i="6" s="1"/>
  <c r="F511" i="6" a="1"/>
  <c r="F511" i="6" s="1"/>
  <c r="F502" i="6" a="1"/>
  <c r="F502" i="6" s="1"/>
  <c r="F509" i="6" a="1"/>
  <c r="F509" i="6" s="1"/>
  <c r="F496" i="6" a="1"/>
  <c r="F496" i="6" s="1"/>
  <c r="F515" i="6" a="1"/>
  <c r="F515" i="6" s="1"/>
  <c r="F507" i="6" a="1"/>
  <c r="F507" i="6" s="1"/>
  <c r="F500" i="6" a="1"/>
  <c r="F500" i="6" s="1"/>
  <c r="F504" i="6" a="1"/>
  <c r="F504" i="6" s="1"/>
  <c r="F494" i="6" a="1"/>
  <c r="F494" i="6" s="1"/>
  <c r="F503" i="6" a="1"/>
  <c r="F503" i="6" s="1"/>
  <c r="F513" i="6" a="1"/>
  <c r="F513" i="6" s="1"/>
  <c r="F505" i="6" a="1"/>
  <c r="F505" i="6" s="1"/>
  <c r="F510" i="6" a="1"/>
  <c r="F510" i="6" s="1"/>
  <c r="F495" i="6" a="1"/>
  <c r="F495" i="6" s="1"/>
  <c r="F501" i="6" a="1"/>
  <c r="F501" i="6" s="1"/>
  <c r="F497" i="6" a="1"/>
  <c r="F497" i="6" s="1"/>
  <c r="F506" i="6" a="1"/>
  <c r="F506" i="6" s="1"/>
  <c r="F498" i="6" a="1"/>
  <c r="F498" i="6" s="1"/>
  <c r="F514" i="6" a="1"/>
  <c r="F514" i="6" s="1"/>
  <c r="F499" i="6" a="1"/>
  <c r="F499" i="6" s="1"/>
  <c r="F508" i="6" a="1"/>
  <c r="F508" i="6" s="1"/>
  <c r="F493" i="6" a="1"/>
  <c r="F493" i="6" s="1"/>
  <c r="F417" i="6" a="1"/>
  <c r="F417" i="6" s="1"/>
  <c r="F473" i="6" a="1"/>
  <c r="F473" i="6" s="1"/>
  <c r="F484" i="6" a="1"/>
  <c r="F484" i="6" s="1"/>
  <c r="F449" i="6" a="1"/>
  <c r="F449" i="6" s="1"/>
  <c r="F389" i="6" a="1"/>
  <c r="F389" i="6" s="1"/>
  <c r="F387" i="6" a="1"/>
  <c r="F387" i="6" s="1"/>
  <c r="F393" i="6" a="1"/>
  <c r="F393" i="6" s="1"/>
  <c r="F477" i="6" a="1"/>
  <c r="F477" i="6" s="1"/>
  <c r="F395" i="6" a="1"/>
  <c r="F395" i="6" s="1"/>
  <c r="F488" i="6" a="1"/>
  <c r="F488" i="6" s="1"/>
  <c r="F492" i="6" a="1"/>
  <c r="F492" i="6" s="1"/>
  <c r="F481" i="6" a="1"/>
  <c r="F481" i="6" s="1"/>
  <c r="F490" i="6" a="1"/>
  <c r="F490" i="6" s="1"/>
  <c r="F465" i="6" a="1"/>
  <c r="F465" i="6" s="1"/>
  <c r="F452" i="6" a="1"/>
  <c r="F452" i="6" s="1"/>
  <c r="F401" i="6" a="1"/>
  <c r="F401" i="6" s="1"/>
  <c r="F407" i="6" a="1"/>
  <c r="F407" i="6" s="1"/>
  <c r="F396" i="6" a="1"/>
  <c r="F396" i="6" s="1"/>
  <c r="F466" i="6" a="1"/>
  <c r="F466" i="6" s="1"/>
  <c r="F416" i="6" a="1"/>
  <c r="F416" i="6" s="1"/>
  <c r="F487" i="6" a="1"/>
  <c r="F487" i="6" s="1"/>
  <c r="F413" i="6" a="1"/>
  <c r="F413" i="6" s="1"/>
  <c r="F434" i="6" a="1"/>
  <c r="F434" i="6" s="1"/>
  <c r="F425" i="6" a="1"/>
  <c r="F425" i="6" s="1"/>
  <c r="F415" i="6" a="1"/>
  <c r="F415" i="6" s="1"/>
  <c r="F426" i="6" a="1"/>
  <c r="F426" i="6" s="1"/>
  <c r="F410" i="6" a="1"/>
  <c r="F410" i="6" s="1"/>
  <c r="F442" i="6" a="1"/>
  <c r="F442" i="6" s="1"/>
  <c r="F440" i="6" a="1"/>
  <c r="F440" i="6" s="1"/>
  <c r="F479" i="6" a="1"/>
  <c r="F479" i="6" s="1"/>
  <c r="F467" i="6" a="1"/>
  <c r="F467" i="6" s="1"/>
  <c r="F464" i="6" a="1"/>
  <c r="F464" i="6" s="1"/>
  <c r="F402" i="6" a="1"/>
  <c r="F402" i="6" s="1"/>
  <c r="F476" i="6" a="1"/>
  <c r="F476" i="6" s="1"/>
  <c r="F485" i="6" a="1"/>
  <c r="F485" i="6" s="1"/>
  <c r="F419" i="6" a="1"/>
  <c r="F419" i="6" s="1"/>
  <c r="F429" i="6" a="1"/>
  <c r="F429" i="6" s="1"/>
  <c r="F420" i="6" a="1"/>
  <c r="F420" i="6" s="1"/>
  <c r="F424" i="6" a="1"/>
  <c r="F424" i="6" s="1"/>
  <c r="F388" i="6" a="1"/>
  <c r="F388" i="6" s="1"/>
  <c r="F437" i="6" a="1"/>
  <c r="F437" i="6" s="1"/>
  <c r="F392" i="6" a="1"/>
  <c r="F392" i="6" s="1"/>
  <c r="F409" i="6" a="1"/>
  <c r="F409" i="6" s="1"/>
  <c r="F432" i="6" a="1"/>
  <c r="F432" i="6" s="1"/>
  <c r="F456" i="6" a="1"/>
  <c r="F456" i="6" s="1"/>
  <c r="F445" i="6" a="1"/>
  <c r="F445" i="6" s="1"/>
  <c r="F483" i="6" a="1"/>
  <c r="F483" i="6" s="1"/>
  <c r="F480" i="6" a="1"/>
  <c r="F480" i="6" s="1"/>
  <c r="F478" i="6" a="1"/>
  <c r="F478" i="6" s="1"/>
  <c r="F433" i="6" a="1"/>
  <c r="F433" i="6" s="1"/>
  <c r="F475" i="6" a="1"/>
  <c r="F475" i="6" s="1"/>
  <c r="F441" i="6" a="1"/>
  <c r="F441" i="6" s="1"/>
  <c r="F398" i="6" a="1"/>
  <c r="F398" i="6" s="1"/>
  <c r="F436" i="6" a="1"/>
  <c r="F436" i="6" s="1"/>
  <c r="F458" i="6" a="1"/>
  <c r="F458" i="6" s="1"/>
  <c r="F461" i="6" a="1"/>
  <c r="F461" i="6" s="1"/>
  <c r="F472" i="6" a="1"/>
  <c r="F472" i="6" s="1"/>
  <c r="F447" i="6" a="1"/>
  <c r="F447" i="6" s="1"/>
  <c r="F453" i="6" a="1"/>
  <c r="F453" i="6" s="1"/>
  <c r="F448" i="6" a="1"/>
  <c r="F448" i="6" s="1"/>
  <c r="F451" i="6" a="1"/>
  <c r="F451" i="6" s="1"/>
  <c r="F405" i="6" a="1"/>
  <c r="F405" i="6" s="1"/>
  <c r="F471" i="6" a="1"/>
  <c r="F471" i="6" s="1"/>
  <c r="F412" i="6" a="1"/>
  <c r="F412" i="6" s="1"/>
  <c r="F450" i="6" a="1"/>
  <c r="F450" i="6" s="1"/>
  <c r="F391" i="6" a="1"/>
  <c r="F391" i="6" s="1"/>
  <c r="F489" i="6" a="1"/>
  <c r="F489" i="6" s="1"/>
  <c r="F454" i="6" a="1"/>
  <c r="F454" i="6" s="1"/>
  <c r="F470" i="6" a="1"/>
  <c r="F470" i="6" s="1"/>
  <c r="F394" i="6" a="1"/>
  <c r="F394" i="6" s="1"/>
  <c r="F428" i="6" a="1"/>
  <c r="F428" i="6" s="1"/>
  <c r="F463" i="6" a="1"/>
  <c r="F463" i="6" s="1"/>
  <c r="F404" i="6" a="1"/>
  <c r="F404" i="6" s="1"/>
  <c r="F486" i="6" a="1"/>
  <c r="F486" i="6" s="1"/>
  <c r="F455" i="6" a="1"/>
  <c r="F455" i="6" s="1"/>
  <c r="F462" i="6" a="1"/>
  <c r="F462" i="6" s="1"/>
  <c r="F408" i="6" a="1"/>
  <c r="F408" i="6" s="1"/>
  <c r="F397" i="6" a="1"/>
  <c r="F397" i="6" s="1"/>
  <c r="F400" i="6" a="1"/>
  <c r="F400" i="6" s="1"/>
  <c r="F444" i="6" a="1"/>
  <c r="F444" i="6" s="1"/>
  <c r="F491" i="6" a="1"/>
  <c r="F491" i="6" s="1"/>
  <c r="F399" i="6" a="1"/>
  <c r="F399" i="6" s="1"/>
  <c r="F403" i="6" a="1"/>
  <c r="F403" i="6" s="1"/>
  <c r="F457" i="6" a="1"/>
  <c r="F457" i="6" s="1"/>
  <c r="F423" i="6" a="1"/>
  <c r="F423" i="6" s="1"/>
  <c r="F459" i="6" a="1"/>
  <c r="F459" i="6" s="1"/>
  <c r="F427" i="6" a="1"/>
  <c r="F427" i="6" s="1"/>
  <c r="F411" i="6" a="1"/>
  <c r="F411" i="6" s="1"/>
  <c r="F414" i="6" a="1"/>
  <c r="F414" i="6" s="1"/>
  <c r="F460" i="6" a="1"/>
  <c r="F460" i="6" s="1"/>
  <c r="F421" i="6" a="1"/>
  <c r="F421" i="6" s="1"/>
  <c r="F468" i="6" a="1"/>
  <c r="F468" i="6" s="1"/>
  <c r="F438" i="6" a="1"/>
  <c r="F438" i="6" s="1"/>
  <c r="F431" i="6" a="1"/>
  <c r="F431" i="6" s="1"/>
  <c r="F439" i="6" a="1"/>
  <c r="F439" i="6" s="1"/>
  <c r="F469" i="6" a="1"/>
  <c r="F469" i="6" s="1"/>
  <c r="F443" i="6" a="1"/>
  <c r="F443" i="6" s="1"/>
  <c r="F430" i="6" a="1"/>
  <c r="F430" i="6" s="1"/>
  <c r="F418" i="6" a="1"/>
  <c r="F418" i="6" s="1"/>
  <c r="F474" i="6" a="1"/>
  <c r="F474" i="6" s="1"/>
  <c r="F406" i="6" a="1"/>
  <c r="F406" i="6" s="1"/>
  <c r="F422" i="6" a="1"/>
  <c r="F422" i="6" s="1"/>
  <c r="F390" i="6" a="1"/>
  <c r="F390" i="6" s="1"/>
  <c r="F446" i="6" a="1"/>
  <c r="F446" i="6" s="1"/>
  <c r="F482" i="6" a="1"/>
  <c r="F482" i="6" s="1"/>
  <c r="F435" i="6" a="1"/>
  <c r="F435" i="6" s="1"/>
  <c r="F377" i="6" a="1"/>
  <c r="F377" i="6" s="1"/>
  <c r="F374" i="6" a="1"/>
  <c r="F374" i="6" s="1"/>
  <c r="F380" i="6" a="1"/>
  <c r="F380" i="6" s="1"/>
  <c r="F384" i="6" a="1"/>
  <c r="F384" i="6" s="1"/>
  <c r="F373" i="6" a="1"/>
  <c r="F373" i="6" s="1"/>
  <c r="F383" i="6" a="1"/>
  <c r="F383" i="6" s="1"/>
  <c r="F386" i="6" a="1"/>
  <c r="F386" i="6" s="1"/>
  <c r="F378" i="6" a="1"/>
  <c r="F378" i="6" s="1"/>
  <c r="F381" i="6" a="1"/>
  <c r="F381" i="6" s="1"/>
  <c r="F379" i="6" a="1"/>
  <c r="F379" i="6" s="1"/>
  <c r="F375" i="6" a="1"/>
  <c r="F375" i="6" s="1"/>
  <c r="F376" i="6" a="1"/>
  <c r="F376" i="6" s="1"/>
  <c r="F385" i="6" a="1"/>
  <c r="F385" i="6" s="1"/>
  <c r="F382" i="6" a="1"/>
  <c r="F382" i="6" s="1"/>
  <c r="F362" i="6" a="1"/>
  <c r="F362" i="6" s="1"/>
  <c r="F369" i="6" a="1"/>
  <c r="F369" i="6" s="1"/>
  <c r="F366" i="6" a="1"/>
  <c r="F366" i="6" s="1"/>
  <c r="F370" i="6" a="1"/>
  <c r="F370" i="6" s="1"/>
  <c r="F363" i="6" a="1"/>
  <c r="F363" i="6" s="1"/>
  <c r="F360" i="6" a="1"/>
  <c r="F360" i="6" s="1"/>
  <c r="F365" i="6" a="1"/>
  <c r="F365" i="6" s="1"/>
  <c r="F372" i="6" a="1"/>
  <c r="F372" i="6" s="1"/>
  <c r="F364" i="6" a="1"/>
  <c r="F364" i="6" s="1"/>
  <c r="F367" i="6" a="1"/>
  <c r="F367" i="6" s="1"/>
  <c r="F361" i="6" a="1"/>
  <c r="F361" i="6" s="1"/>
  <c r="F368" i="6" a="1"/>
  <c r="F368" i="6" s="1"/>
  <c r="F359" i="6" a="1"/>
  <c r="F359" i="6" s="1"/>
  <c r="F371" i="6" a="1"/>
  <c r="F371" i="6" s="1"/>
  <c r="F347" i="6" a="1"/>
  <c r="F347" i="6" s="1"/>
  <c r="F283" i="6" a="1"/>
  <c r="F283" i="6" s="1"/>
  <c r="F312" i="6" a="1"/>
  <c r="F312" i="6" s="1"/>
  <c r="F324" i="6" a="1"/>
  <c r="F324" i="6" s="1"/>
  <c r="F311" i="6" a="1"/>
  <c r="F311" i="6" s="1"/>
  <c r="F313" i="6" a="1"/>
  <c r="F313" i="6" s="1"/>
  <c r="F327" i="6" a="1"/>
  <c r="F327" i="6" s="1"/>
  <c r="F337" i="6" a="1"/>
  <c r="F337" i="6" s="1"/>
  <c r="F296" i="6" a="1"/>
  <c r="F296" i="6" s="1"/>
  <c r="F288" i="6" a="1"/>
  <c r="F288" i="6" s="1"/>
  <c r="F326" i="6" a="1"/>
  <c r="F326" i="6" s="1"/>
  <c r="F346" i="6" a="1"/>
  <c r="F346" i="6" s="1"/>
  <c r="F332" i="6" a="1"/>
  <c r="F332" i="6" s="1"/>
  <c r="F349" i="6" a="1"/>
  <c r="F349" i="6" s="1"/>
  <c r="F285" i="6" a="1"/>
  <c r="F285" i="6" s="1"/>
  <c r="F301" i="6" a="1"/>
  <c r="F301" i="6" s="1"/>
  <c r="F328" i="6" a="1"/>
  <c r="F328" i="6" s="1"/>
  <c r="F348" i="6" a="1"/>
  <c r="F348" i="6" s="1"/>
  <c r="F289" i="6" a="1"/>
  <c r="F289" i="6" s="1"/>
  <c r="F297" i="6" a="1"/>
  <c r="F297" i="6" s="1"/>
  <c r="F319" i="6" a="1"/>
  <c r="F319" i="6" s="1"/>
  <c r="F344" i="6" a="1"/>
  <c r="F344" i="6" s="1"/>
  <c r="F310" i="6" a="1"/>
  <c r="F310" i="6" s="1"/>
  <c r="F317" i="6" a="1"/>
  <c r="F317" i="6" s="1"/>
  <c r="F291" i="6" a="1"/>
  <c r="F291" i="6" s="1"/>
  <c r="F329" i="6" a="1"/>
  <c r="F329" i="6" s="1"/>
  <c r="F351" i="6" a="1"/>
  <c r="F351" i="6" s="1"/>
  <c r="F303" i="6" a="1"/>
  <c r="F303" i="6" s="1"/>
  <c r="F280" i="6" a="1"/>
  <c r="F280" i="6" s="1"/>
  <c r="F331" i="6" a="1"/>
  <c r="F331" i="6" s="1"/>
  <c r="F304" i="6" a="1"/>
  <c r="F304" i="6" s="1"/>
  <c r="F292" i="6" a="1"/>
  <c r="F292" i="6" s="1"/>
  <c r="F302" i="6" a="1"/>
  <c r="F302" i="6" s="1"/>
  <c r="F333" i="6" a="1"/>
  <c r="F333" i="6" s="1"/>
  <c r="F306" i="6" a="1"/>
  <c r="F306" i="6" s="1"/>
  <c r="F286" i="6" a="1"/>
  <c r="F286" i="6" s="1"/>
  <c r="F355" i="6" a="1"/>
  <c r="F355" i="6" s="1"/>
  <c r="F356" i="6" a="1"/>
  <c r="F356" i="6" s="1"/>
  <c r="F339" i="6" a="1"/>
  <c r="F339" i="6" s="1"/>
  <c r="F281" i="6" a="1"/>
  <c r="F281" i="6" s="1"/>
  <c r="F354" i="6" a="1"/>
  <c r="F354" i="6" s="1"/>
  <c r="F340" i="6" a="1"/>
  <c r="F340" i="6" s="1"/>
  <c r="F335" i="6" a="1"/>
  <c r="F335" i="6" s="1"/>
  <c r="F308" i="6" a="1"/>
  <c r="F308" i="6" s="1"/>
  <c r="F323" i="6" a="1"/>
  <c r="F323" i="6" s="1"/>
  <c r="F353" i="6" a="1"/>
  <c r="F353" i="6" s="1"/>
  <c r="F309" i="6" a="1"/>
  <c r="F309" i="6" s="1"/>
  <c r="F307" i="6" a="1"/>
  <c r="F307" i="6" s="1"/>
  <c r="F295" i="6" a="1"/>
  <c r="F295" i="6" s="1"/>
  <c r="F341" i="6" a="1"/>
  <c r="F341" i="6" s="1"/>
  <c r="F322" i="6" a="1"/>
  <c r="F322" i="6" s="1"/>
  <c r="F321" i="6" a="1"/>
  <c r="F321" i="6" s="1"/>
  <c r="F330" i="6" a="1"/>
  <c r="F330" i="6" s="1"/>
  <c r="F314" i="6" a="1"/>
  <c r="F314" i="6" s="1"/>
  <c r="F345" i="6" a="1"/>
  <c r="F345" i="6" s="1"/>
  <c r="F343" i="6" a="1"/>
  <c r="F343" i="6" s="1"/>
  <c r="F290" i="6" a="1"/>
  <c r="F290" i="6" s="1"/>
  <c r="F325" i="6" a="1"/>
  <c r="F325" i="6" s="1"/>
  <c r="F358" i="6" a="1"/>
  <c r="F358" i="6" s="1"/>
  <c r="F352" i="6" a="1"/>
  <c r="F352" i="6" s="1"/>
  <c r="F320" i="6" a="1"/>
  <c r="F320" i="6" s="1"/>
  <c r="F293" i="6" a="1"/>
  <c r="F293" i="6" s="1"/>
  <c r="F357" i="6" a="1"/>
  <c r="F357" i="6" s="1"/>
  <c r="F300" i="6" a="1"/>
  <c r="F300" i="6" s="1"/>
  <c r="F287" i="6" a="1"/>
  <c r="F287" i="6" s="1"/>
  <c r="F305" i="6" a="1"/>
  <c r="F305" i="6" s="1"/>
  <c r="F334" i="6" a="1"/>
  <c r="F334" i="6" s="1"/>
  <c r="F298" i="6" a="1"/>
  <c r="F298" i="6" s="1"/>
  <c r="F315" i="6" a="1"/>
  <c r="F315" i="6" s="1"/>
  <c r="F316" i="6" a="1"/>
  <c r="F316" i="6" s="1"/>
  <c r="F299" i="6" a="1"/>
  <c r="F299" i="6" s="1"/>
  <c r="F336" i="6" a="1"/>
  <c r="F336" i="6" s="1"/>
  <c r="F350" i="6" a="1"/>
  <c r="F350" i="6" s="1"/>
  <c r="F294" i="6" a="1"/>
  <c r="F294" i="6" s="1"/>
  <c r="F342" i="6" a="1"/>
  <c r="F342" i="6" s="1"/>
  <c r="F284" i="6" a="1"/>
  <c r="F284" i="6" s="1"/>
  <c r="F282" i="6" a="1"/>
  <c r="F282" i="6" s="1"/>
  <c r="F338" i="6" a="1"/>
  <c r="F338" i="6" s="1"/>
  <c r="F318" i="6" a="1"/>
  <c r="F318" i="6" s="1"/>
  <c r="F246" i="6" a="1"/>
  <c r="F246" i="6" s="1"/>
  <c r="F274" i="6" a="1"/>
  <c r="F274" i="6" s="1"/>
  <c r="F265" i="6" a="1"/>
  <c r="F265" i="6" s="1"/>
  <c r="F252" i="6" a="1"/>
  <c r="F252" i="6" s="1"/>
  <c r="F255" i="6" a="1"/>
  <c r="F255" i="6" s="1"/>
  <c r="F254" i="6" a="1"/>
  <c r="F254" i="6" s="1"/>
  <c r="F266" i="6" a="1"/>
  <c r="F266" i="6" s="1"/>
  <c r="F253" i="6" a="1"/>
  <c r="F253" i="6" s="1"/>
  <c r="F270" i="6" a="1"/>
  <c r="F270" i="6" s="1"/>
  <c r="F269" i="6" a="1"/>
  <c r="F269" i="6" s="1"/>
  <c r="F268" i="6" a="1"/>
  <c r="F268" i="6" s="1"/>
  <c r="F272" i="6" a="1"/>
  <c r="F272" i="6" s="1"/>
  <c r="F267" i="6" a="1"/>
  <c r="F267" i="6" s="1"/>
  <c r="F258" i="6" a="1"/>
  <c r="F258" i="6" s="1"/>
  <c r="F241" i="6" a="1"/>
  <c r="F241" i="6" s="1"/>
  <c r="F245" i="6" a="1"/>
  <c r="F245" i="6" s="1"/>
  <c r="F271" i="6" a="1"/>
  <c r="F271" i="6" s="1"/>
  <c r="F276" i="6" a="1"/>
  <c r="F276" i="6" s="1"/>
  <c r="F256" i="6" a="1"/>
  <c r="F256" i="6" s="1"/>
  <c r="F257" i="6" a="1"/>
  <c r="F257" i="6" s="1"/>
  <c r="F250" i="6" a="1"/>
  <c r="F250" i="6" s="1"/>
  <c r="F243" i="6" a="1"/>
  <c r="F243" i="6" s="1"/>
  <c r="F259" i="6" a="1"/>
  <c r="F259" i="6" s="1"/>
  <c r="F273" i="6" a="1"/>
  <c r="F273" i="6" s="1"/>
  <c r="F247" i="6" a="1"/>
  <c r="F247" i="6" s="1"/>
  <c r="F277" i="6" a="1"/>
  <c r="F277" i="6" s="1"/>
  <c r="F275" i="6" a="1"/>
  <c r="F275" i="6" s="1"/>
  <c r="F261" i="6" a="1"/>
  <c r="F261" i="6" s="1"/>
  <c r="F242" i="6" a="1"/>
  <c r="F242" i="6" s="1"/>
  <c r="F249" i="6" a="1"/>
  <c r="F249" i="6" s="1"/>
  <c r="F279" i="6" a="1"/>
  <c r="F279" i="6" s="1"/>
  <c r="F248" i="6" a="1"/>
  <c r="F248" i="6" s="1"/>
  <c r="F260" i="6" a="1"/>
  <c r="F260" i="6" s="1"/>
  <c r="F264" i="6" a="1"/>
  <c r="F264" i="6" s="1"/>
  <c r="F244" i="6" a="1"/>
  <c r="F244" i="6" s="1"/>
  <c r="F262" i="6" a="1"/>
  <c r="F262" i="6" s="1"/>
  <c r="F278" i="6" a="1"/>
  <c r="F278" i="6" s="1"/>
  <c r="F263" i="6" a="1"/>
  <c r="F263" i="6" s="1"/>
  <c r="F251" i="6" a="1"/>
  <c r="F251" i="6" s="1"/>
  <c r="F178" i="6" a="1"/>
  <c r="F178" i="6" s="1"/>
  <c r="F232" i="6" a="1"/>
  <c r="F232" i="6" s="1"/>
  <c r="F238" i="6" a="1"/>
  <c r="F238" i="6" s="1"/>
  <c r="F189" i="6" a="1"/>
  <c r="F189" i="6" s="1"/>
  <c r="F172" i="6" a="1"/>
  <c r="F172" i="6" s="1"/>
  <c r="F201" i="6" a="1"/>
  <c r="F201" i="6" s="1"/>
  <c r="F228" i="6" a="1"/>
  <c r="F228" i="6" s="1"/>
  <c r="F227" i="6" a="1"/>
  <c r="F227" i="6" s="1"/>
  <c r="F174" i="6" a="1"/>
  <c r="F174" i="6" s="1"/>
  <c r="F230" i="6" a="1"/>
  <c r="F230" i="6" s="1"/>
  <c r="F213" i="6" a="1"/>
  <c r="F213" i="6" s="1"/>
  <c r="F194" i="6" a="1"/>
  <c r="F194" i="6" s="1"/>
  <c r="F219" i="6" a="1"/>
  <c r="F219" i="6" s="1"/>
  <c r="F171" i="6" a="1"/>
  <c r="F171" i="6" s="1"/>
  <c r="F193" i="6" a="1"/>
  <c r="F193" i="6" s="1"/>
  <c r="F202" i="6" a="1"/>
  <c r="F202" i="6" s="1"/>
  <c r="F207" i="6" a="1"/>
  <c r="F207" i="6" s="1"/>
  <c r="F233" i="6" a="1"/>
  <c r="F233" i="6" s="1"/>
  <c r="F208" i="6" a="1"/>
  <c r="F208" i="6" s="1"/>
  <c r="F184" i="6" a="1"/>
  <c r="F184" i="6" s="1"/>
  <c r="F179" i="6" a="1"/>
  <c r="F179" i="6" s="1"/>
  <c r="F169" i="6" a="1"/>
  <c r="F169" i="6" s="1"/>
  <c r="F196" i="6" a="1"/>
  <c r="F196" i="6" s="1"/>
  <c r="F216" i="6" a="1"/>
  <c r="F216" i="6" s="1"/>
  <c r="F173" i="6" a="1"/>
  <c r="F173" i="6" s="1"/>
  <c r="F225" i="6" a="1"/>
  <c r="F225" i="6" s="1"/>
  <c r="F215" i="6" a="1"/>
  <c r="F215" i="6" s="1"/>
  <c r="F221" i="6" a="1"/>
  <c r="F221" i="6" s="1"/>
  <c r="F234" i="6" a="1"/>
  <c r="F234" i="6" s="1"/>
  <c r="F226" i="6" a="1"/>
  <c r="F226" i="6" s="1"/>
  <c r="F180" i="6" a="1"/>
  <c r="F180" i="6" s="1"/>
  <c r="F205" i="6" a="1"/>
  <c r="F205" i="6" s="1"/>
  <c r="F183" i="6" a="1"/>
  <c r="F183" i="6" s="1"/>
  <c r="F197" i="6" a="1"/>
  <c r="F197" i="6" s="1"/>
  <c r="F195" i="6" a="1"/>
  <c r="F195" i="6" s="1"/>
  <c r="F181" i="6" a="1"/>
  <c r="F181" i="6" s="1"/>
  <c r="F224" i="6" a="1"/>
  <c r="F224" i="6" s="1"/>
  <c r="F210" i="6" a="1"/>
  <c r="F210" i="6" s="1"/>
  <c r="F203" i="6" a="1"/>
  <c r="F203" i="6" s="1"/>
  <c r="F206" i="6" a="1"/>
  <c r="F206" i="6" s="1"/>
  <c r="F170" i="6" a="1"/>
  <c r="F170" i="6" s="1"/>
  <c r="F209" i="6" a="1"/>
  <c r="F209" i="6" s="1"/>
  <c r="F182" i="6" a="1"/>
  <c r="F182" i="6" s="1"/>
  <c r="F220" i="6" a="1"/>
  <c r="F220" i="6" s="1"/>
  <c r="F223" i="6" a="1"/>
  <c r="F223" i="6" s="1"/>
  <c r="F198" i="6" a="1"/>
  <c r="F198" i="6" s="1"/>
  <c r="F229" i="6" a="1"/>
  <c r="F229" i="6" s="1"/>
  <c r="F190" i="6" a="1"/>
  <c r="F190" i="6" s="1"/>
  <c r="F186" i="6" a="1"/>
  <c r="F186" i="6" s="1"/>
  <c r="F218" i="6" a="1"/>
  <c r="F218" i="6" s="1"/>
  <c r="F175" i="6" a="1"/>
  <c r="F175" i="6" s="1"/>
  <c r="F176" i="6" a="1"/>
  <c r="F176" i="6" s="1"/>
  <c r="F237" i="6" a="1"/>
  <c r="F237" i="6" s="1"/>
  <c r="F204" i="6" a="1"/>
  <c r="F204" i="6" s="1"/>
  <c r="F199" i="6" a="1"/>
  <c r="F199" i="6" s="1"/>
  <c r="F187" i="6" a="1"/>
  <c r="F187" i="6" s="1"/>
  <c r="F188" i="6" a="1"/>
  <c r="F188" i="6" s="1"/>
  <c r="F240" i="6" a="1"/>
  <c r="F240" i="6" s="1"/>
  <c r="F212" i="6" a="1"/>
  <c r="F212" i="6" s="1"/>
  <c r="F200" i="6" a="1"/>
  <c r="F200" i="6" s="1"/>
  <c r="F191" i="6" a="1"/>
  <c r="F191" i="6" s="1"/>
  <c r="F192" i="6" a="1"/>
  <c r="F192" i="6" s="1"/>
  <c r="F185" i="6" a="1"/>
  <c r="F185" i="6" s="1"/>
  <c r="F214" i="6" a="1"/>
  <c r="F214" i="6" s="1"/>
  <c r="F222" i="6" a="1"/>
  <c r="F222" i="6" s="1"/>
  <c r="F177" i="6" a="1"/>
  <c r="F177" i="6" s="1"/>
  <c r="F239" i="6" a="1"/>
  <c r="F239" i="6" s="1"/>
  <c r="F231" i="6" a="1"/>
  <c r="F231" i="6" s="1"/>
  <c r="F217" i="6" a="1"/>
  <c r="F217" i="6" s="1"/>
  <c r="F211" i="6" a="1"/>
  <c r="F211" i="6" s="1"/>
  <c r="F153" i="6" a="1"/>
  <c r="F153" i="6" s="1"/>
  <c r="F148" i="6" a="1"/>
  <c r="F148" i="6" s="1"/>
  <c r="F155" i="6" a="1"/>
  <c r="F155" i="6" s="1"/>
  <c r="F163" i="6" a="1"/>
  <c r="F163" i="6" s="1"/>
  <c r="F158" i="6" a="1"/>
  <c r="F158" i="6" s="1"/>
  <c r="F164" i="6" a="1"/>
  <c r="F164" i="6" s="1"/>
  <c r="F150" i="6" a="1"/>
  <c r="F150" i="6" s="1"/>
  <c r="F156" i="6" a="1"/>
  <c r="F156" i="6" s="1"/>
  <c r="F166" i="6" a="1"/>
  <c r="F166" i="6" s="1"/>
  <c r="F161" i="6" a="1"/>
  <c r="F161" i="6" s="1"/>
  <c r="F145" i="6" a="1"/>
  <c r="F145" i="6" s="1"/>
  <c r="F160" i="6" a="1"/>
  <c r="F160" i="6" s="1"/>
  <c r="F144" i="6" a="1"/>
  <c r="F144" i="6" s="1"/>
  <c r="F146" i="6" a="1"/>
  <c r="F146" i="6" s="1"/>
  <c r="F162" i="6" a="1"/>
  <c r="F162" i="6" s="1"/>
  <c r="F151" i="6" a="1"/>
  <c r="F151" i="6" s="1"/>
  <c r="F165" i="6" a="1"/>
  <c r="F165" i="6" s="1"/>
  <c r="F167" i="6" a="1"/>
  <c r="F167" i="6" s="1"/>
  <c r="F154" i="6" a="1"/>
  <c r="F154" i="6" s="1"/>
  <c r="F152" i="6" a="1"/>
  <c r="F152" i="6" s="1"/>
  <c r="F147" i="6" a="1"/>
  <c r="F147" i="6" s="1"/>
  <c r="F168" i="6" a="1"/>
  <c r="F168" i="6" s="1"/>
  <c r="F157" i="6" a="1"/>
  <c r="F157" i="6" s="1"/>
  <c r="F149" i="6" a="1"/>
  <c r="F149" i="6" s="1"/>
  <c r="F159" i="6" a="1"/>
  <c r="F159" i="6" s="1"/>
  <c r="F138" i="6" a="1"/>
  <c r="F138" i="6" s="1"/>
  <c r="F140" i="6" a="1"/>
  <c r="F140" i="6" s="1"/>
  <c r="F143" i="6" a="1"/>
  <c r="F143" i="6" s="1"/>
  <c r="F136" i="6" a="1"/>
  <c r="F136" i="6" s="1"/>
  <c r="F139" i="6" a="1"/>
  <c r="F139" i="6" s="1"/>
  <c r="F141" i="6" a="1"/>
  <c r="F141" i="6" s="1"/>
  <c r="F137" i="6" a="1"/>
  <c r="F137" i="6" s="1"/>
  <c r="F142" i="6" a="1"/>
  <c r="F142" i="6" s="1"/>
  <c r="F126" i="6" a="1"/>
  <c r="F126" i="6" s="1"/>
  <c r="F133" i="6" a="1"/>
  <c r="F133" i="6" s="1"/>
  <c r="F115" i="6" a="1"/>
  <c r="F115" i="6" s="1"/>
  <c r="F117" i="6" a="1"/>
  <c r="F117" i="6" s="1"/>
  <c r="F128" i="6" a="1"/>
  <c r="F128" i="6" s="1"/>
  <c r="F129" i="6" a="1"/>
  <c r="F129" i="6" s="1"/>
  <c r="F122" i="6" a="1"/>
  <c r="F122" i="6" s="1"/>
  <c r="F108" i="6" a="1"/>
  <c r="F108" i="6" s="1"/>
  <c r="F110" i="6" a="1"/>
  <c r="F110" i="6" s="1"/>
  <c r="F114" i="6" a="1"/>
  <c r="F114" i="6" s="1"/>
  <c r="F109" i="6" a="1"/>
  <c r="F109" i="6" s="1"/>
  <c r="F121" i="6" a="1"/>
  <c r="F121" i="6" s="1"/>
  <c r="F131" i="6" a="1"/>
  <c r="F131" i="6" s="1"/>
  <c r="F132" i="6" a="1"/>
  <c r="F132" i="6" s="1"/>
  <c r="F123" i="6" a="1"/>
  <c r="F123" i="6" s="1"/>
  <c r="F134" i="6" a="1"/>
  <c r="F134" i="6" s="1"/>
  <c r="F135" i="6" a="1"/>
  <c r="F135" i="6" s="1"/>
  <c r="F125" i="6" a="1"/>
  <c r="F125" i="6" s="1"/>
  <c r="F113" i="6" a="1"/>
  <c r="F113" i="6" s="1"/>
  <c r="F118" i="6" a="1"/>
  <c r="F118" i="6" s="1"/>
  <c r="F116" i="6" a="1"/>
  <c r="F116" i="6" s="1"/>
  <c r="F112" i="6" a="1"/>
  <c r="F112" i="6" s="1"/>
  <c r="F111" i="6" a="1"/>
  <c r="F111" i="6" s="1"/>
  <c r="F124" i="6" a="1"/>
  <c r="F124" i="6" s="1"/>
  <c r="F119" i="6" a="1"/>
  <c r="F119" i="6" s="1"/>
  <c r="F127" i="6" a="1"/>
  <c r="F127" i="6" s="1"/>
  <c r="F130" i="6" a="1"/>
  <c r="F130" i="6" s="1"/>
  <c r="F120" i="6" a="1"/>
  <c r="F120" i="6" s="1"/>
  <c r="F106" i="6" a="1"/>
  <c r="F106" i="6" s="1"/>
  <c r="F107" i="6" a="1"/>
  <c r="F107" i="6" s="1"/>
  <c r="F103" i="6" a="1"/>
  <c r="F103" i="6" s="1"/>
  <c r="F104" i="6" a="1"/>
  <c r="F104" i="6" s="1"/>
  <c r="F102" i="6" a="1"/>
  <c r="F102" i="6" s="1"/>
  <c r="F105" i="6" a="1"/>
  <c r="F105" i="6" s="1"/>
  <c r="F101" i="6" a="1"/>
  <c r="F101" i="6" s="1"/>
  <c r="F100" i="6" a="1"/>
  <c r="F100" i="6" s="1"/>
  <c r="F92" i="6" a="1"/>
  <c r="F92" i="6" s="1"/>
  <c r="F98" i="6" a="1"/>
  <c r="F98" i="6" s="1"/>
  <c r="F93" i="6" a="1"/>
  <c r="F93" i="6" s="1"/>
  <c r="F90" i="6" a="1"/>
  <c r="F90" i="6" s="1"/>
  <c r="F96" i="6" a="1"/>
  <c r="F96" i="6" s="1"/>
  <c r="F99" i="6" a="1"/>
  <c r="F99" i="6" s="1"/>
  <c r="F89" i="6" a="1"/>
  <c r="F89" i="6" s="1"/>
  <c r="F95" i="6" a="1"/>
  <c r="F95" i="6" s="1"/>
  <c r="F97" i="6" a="1"/>
  <c r="F97" i="6" s="1"/>
  <c r="F91" i="6" a="1"/>
  <c r="F91" i="6" s="1"/>
  <c r="F88" i="6" a="1"/>
  <c r="F88" i="6" s="1"/>
  <c r="F94" i="6" a="1"/>
  <c r="F94" i="6" s="1"/>
  <c r="F87" i="6" a="1"/>
  <c r="F87" i="6" s="1"/>
  <c r="F77" i="6" a="1"/>
  <c r="F77" i="6" s="1"/>
  <c r="F75" i="6" a="1"/>
  <c r="F75" i="6" s="1"/>
  <c r="F73" i="6" a="1"/>
  <c r="F73" i="6" s="1"/>
  <c r="F74" i="6" a="1"/>
  <c r="F74" i="6" s="1"/>
  <c r="F51" i="6" a="1"/>
  <c r="F51" i="6" s="1"/>
  <c r="F66" i="6" a="1"/>
  <c r="F66" i="6" s="1"/>
  <c r="F56" i="6" a="1"/>
  <c r="F56" i="6" s="1"/>
  <c r="F80" i="6" a="1"/>
  <c r="F80" i="6" s="1"/>
  <c r="F58" i="6" a="1"/>
  <c r="F58" i="6" s="1"/>
  <c r="F70" i="6" a="1"/>
  <c r="F70" i="6" s="1"/>
  <c r="F76" i="6" a="1"/>
  <c r="F76" i="6" s="1"/>
  <c r="F78" i="6" a="1"/>
  <c r="F78" i="6" s="1"/>
  <c r="F52" i="6" a="1"/>
  <c r="F52" i="6" s="1"/>
  <c r="F84" i="6" a="1"/>
  <c r="F84" i="6" s="1"/>
  <c r="F68" i="6" a="1"/>
  <c r="F68" i="6" s="1"/>
  <c r="F62" i="6" a="1"/>
  <c r="F62" i="6" s="1"/>
  <c r="F57" i="6" a="1"/>
  <c r="F57" i="6" s="1"/>
  <c r="F69" i="6" a="1"/>
  <c r="F69" i="6" s="1"/>
  <c r="F82" i="6" a="1"/>
  <c r="F82" i="6" s="1"/>
  <c r="F71" i="6" a="1"/>
  <c r="F71" i="6" s="1"/>
  <c r="F83" i="6" a="1"/>
  <c r="F83" i="6" s="1"/>
  <c r="F50" i="6" a="1"/>
  <c r="F50" i="6" s="1"/>
  <c r="F85" i="6" a="1"/>
  <c r="F85" i="6" s="1"/>
  <c r="F54" i="6" a="1"/>
  <c r="F54" i="6" s="1"/>
  <c r="F64" i="6" a="1"/>
  <c r="F64" i="6" s="1"/>
  <c r="F81" i="6" a="1"/>
  <c r="F81" i="6" s="1"/>
  <c r="F49" i="6" a="1"/>
  <c r="F49" i="6" s="1"/>
  <c r="F59" i="6" a="1"/>
  <c r="F59" i="6" s="1"/>
  <c r="F72" i="6" a="1"/>
  <c r="F72" i="6" s="1"/>
  <c r="F53" i="6" a="1"/>
  <c r="F53" i="6" s="1"/>
  <c r="F67" i="6" a="1"/>
  <c r="F67" i="6" s="1"/>
  <c r="F65" i="6" a="1"/>
  <c r="F65" i="6" s="1"/>
  <c r="F79" i="6" a="1"/>
  <c r="F79" i="6" s="1"/>
  <c r="F86" i="6" a="1"/>
  <c r="F86" i="6" s="1"/>
  <c r="F60" i="6" a="1"/>
  <c r="F60" i="6" s="1"/>
  <c r="F55" i="6" a="1"/>
  <c r="F55" i="6" s="1"/>
  <c r="F63" i="6" a="1"/>
  <c r="F63" i="6" s="1"/>
  <c r="F61" i="6" a="1"/>
  <c r="F61" i="6" s="1"/>
  <c r="F48" i="6" a="1"/>
  <c r="F48" i="6" s="1"/>
  <c r="F46" i="6" a="1"/>
  <c r="F46" i="6" s="1"/>
  <c r="F45" i="6" a="1"/>
  <c r="F45" i="6" s="1"/>
  <c r="F43" i="6" a="1"/>
  <c r="F43" i="6" s="1"/>
  <c r="F44" i="6" a="1"/>
  <c r="F44" i="6" s="1"/>
  <c r="F47" i="6" a="1"/>
  <c r="F47" i="6" s="1"/>
  <c r="F40" i="6" a="1"/>
  <c r="F40" i="6" s="1"/>
  <c r="F41" i="6" a="1"/>
  <c r="F41" i="6" s="1"/>
  <c r="F42" i="6" a="1"/>
  <c r="F42" i="6" s="1"/>
  <c r="F33" i="6" a="1"/>
  <c r="F33" i="6" s="1"/>
  <c r="F28" i="6" a="1"/>
  <c r="F28" i="6" s="1"/>
  <c r="F39" i="6" a="1"/>
  <c r="F39" i="6" s="1"/>
  <c r="F38" i="6" a="1"/>
  <c r="F38" i="6" s="1"/>
  <c r="F31" i="6" a="1"/>
  <c r="F31" i="6" s="1"/>
  <c r="F34" i="6" a="1"/>
  <c r="F34" i="6" s="1"/>
  <c r="F37" i="6" a="1"/>
  <c r="F37" i="6" s="1"/>
  <c r="F36" i="6" a="1"/>
  <c r="F36" i="6" s="1"/>
  <c r="F29" i="6" a="1"/>
  <c r="F29" i="6" s="1"/>
  <c r="F32" i="6" a="1"/>
  <c r="F32" i="6" s="1"/>
  <c r="F35" i="6" a="1"/>
  <c r="F35" i="6" s="1"/>
  <c r="F30" i="6" a="1"/>
  <c r="F30" i="6" s="1"/>
  <c r="F26" i="6" a="1"/>
  <c r="F26" i="6" s="1"/>
  <c r="F27" i="6" a="1"/>
  <c r="F27" i="6" s="1"/>
  <c r="F21" i="6" a="1"/>
  <c r="F21" i="6" s="1"/>
  <c r="F23" i="6" a="1"/>
  <c r="F23" i="6" s="1"/>
  <c r="F19" i="6" a="1"/>
  <c r="F19" i="6" s="1"/>
  <c r="F25" i="6" a="1"/>
  <c r="F25" i="6" s="1"/>
  <c r="F24" i="6" a="1"/>
  <c r="F24" i="6" s="1"/>
  <c r="F17" i="6" a="1"/>
  <c r="F17" i="6" s="1"/>
  <c r="F22" i="6" a="1"/>
  <c r="F22" i="6" s="1"/>
  <c r="F20" i="6" a="1"/>
  <c r="F20" i="6" s="1"/>
  <c r="F13" i="6" a="1"/>
  <c r="F13" i="6" s="1"/>
  <c r="F12" i="6" a="1"/>
  <c r="F12" i="6" s="1"/>
  <c r="F10" i="6" a="1"/>
  <c r="F10" i="6" s="1"/>
  <c r="F11" i="6" a="1"/>
  <c r="F11" i="6" s="1"/>
  <c r="F18" i="6" a="1"/>
  <c r="F18" i="6" s="1"/>
  <c r="F15" i="6" a="1"/>
  <c r="F15" i="6" s="1"/>
  <c r="F14" i="6" a="1"/>
  <c r="F14" i="6" s="1"/>
  <c r="F16" i="6" a="1"/>
  <c r="F16" i="6" s="1"/>
  <c r="F8" i="6" a="1"/>
  <c r="F8" i="6" s="1"/>
  <c r="F6" i="6" a="1"/>
  <c r="F6" i="6" s="1"/>
  <c r="F7" i="6" a="1"/>
  <c r="F7" i="6" s="1"/>
  <c r="F9" i="6" a="1"/>
  <c r="F9" i="6" s="1"/>
  <c r="F5" i="6" a="1"/>
  <c r="F5" i="6" s="1"/>
  <c r="F4" i="6" a="1"/>
  <c r="F4" i="6" s="1"/>
  <c r="F3" i="6" a="1"/>
  <c r="F3" i="6" s="1"/>
  <c r="F2" i="6" a="1"/>
  <c r="F2" i="6" s="1"/>
  <c r="F15" i="17"/>
  <c r="F16" i="17"/>
  <c r="F17" i="17"/>
  <c r="F18" i="17"/>
  <c r="F19" i="17"/>
  <c r="F20" i="17"/>
  <c r="F21" i="17"/>
  <c r="F22" i="17"/>
  <c r="G22" i="17"/>
  <c r="J22" i="17"/>
  <c r="F23" i="17"/>
  <c r="G23" i="17"/>
  <c r="J23" i="17"/>
  <c r="F24" i="17"/>
  <c r="G24" i="17"/>
  <c r="J24" i="17"/>
  <c r="F12" i="17"/>
  <c r="G19" i="17"/>
  <c r="G15" i="17"/>
  <c r="G17" i="17"/>
  <c r="F14" i="17"/>
  <c r="E7" i="17" l="1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A23" i="17"/>
  <c r="C23" i="17"/>
  <c r="E23" i="17"/>
  <c r="B24" i="17"/>
  <c r="C24" i="17"/>
  <c r="E24" i="17"/>
  <c r="H16" i="17"/>
  <c r="A7" i="17"/>
  <c r="C13" i="17"/>
  <c r="B23" i="17"/>
  <c r="H2" i="17"/>
  <c r="D17" i="17"/>
  <c r="B12" i="17"/>
  <c r="C12" i="17"/>
  <c r="D24" i="17"/>
  <c r="E6" i="17"/>
  <c r="F13" i="17"/>
  <c r="I23" i="17"/>
  <c r="J4" i="17"/>
  <c r="A22" i="17"/>
  <c r="I24" i="17"/>
  <c r="B13" i="17"/>
  <c r="D19" i="17"/>
  <c r="J5" i="17"/>
  <c r="H6" i="17"/>
  <c r="E5" i="17"/>
  <c r="C5" i="17"/>
  <c r="X94" i="6" l="1"/>
  <c r="X306" i="6"/>
  <c r="X390" i="6"/>
  <c r="X503" i="6"/>
  <c r="X167" i="6"/>
  <c r="X263" i="6"/>
  <c r="X432" i="6"/>
  <c r="X712" i="6"/>
  <c r="X27" i="6"/>
  <c r="X110" i="6"/>
  <c r="X139" i="6"/>
  <c r="X237" i="6"/>
  <c r="X309" i="6"/>
  <c r="X391" i="6"/>
  <c r="X450" i="6"/>
  <c r="X502" i="6"/>
  <c r="X559" i="6"/>
  <c r="X137" i="6"/>
  <c r="X277" i="6"/>
  <c r="X446" i="6"/>
  <c r="X558" i="6"/>
  <c r="X82" i="6"/>
  <c r="X153" i="6"/>
  <c r="X223" i="6"/>
  <c r="X294" i="6"/>
  <c r="X365" i="6"/>
  <c r="X433" i="6"/>
  <c r="X516" i="6"/>
  <c r="X55" i="6"/>
  <c r="X127" i="6"/>
  <c r="X195" i="6"/>
  <c r="X265" i="6"/>
  <c r="X335" i="6"/>
  <c r="X403" i="6"/>
  <c r="X477" i="6"/>
  <c r="X43" i="6"/>
  <c r="X69" i="6"/>
  <c r="X182" i="6"/>
  <c r="X250" i="6"/>
  <c r="X321" i="6"/>
  <c r="X379" i="6"/>
  <c r="X462" i="6"/>
  <c r="X530" i="6"/>
  <c r="X152" i="6"/>
  <c r="X320" i="6"/>
  <c r="X378" i="6"/>
  <c r="X517" i="6"/>
  <c r="X12" i="6"/>
  <c r="X97" i="6"/>
  <c r="X166" i="6"/>
  <c r="X209" i="6"/>
  <c r="X279" i="6"/>
  <c r="X351" i="6"/>
  <c r="X418" i="6"/>
  <c r="X490" i="6"/>
  <c r="X545" i="6"/>
  <c r="X180" i="6"/>
  <c r="X292" i="6"/>
  <c r="X417" i="6"/>
  <c r="X531" i="6"/>
  <c r="X61" i="6"/>
  <c r="X144" i="6"/>
  <c r="X198" i="6"/>
  <c r="X269" i="6"/>
  <c r="X354" i="6"/>
  <c r="X438" i="6"/>
  <c r="X508" i="6"/>
  <c r="X26" i="6"/>
  <c r="X124" i="6"/>
  <c r="X334" i="6"/>
  <c r="X460" i="6"/>
  <c r="X544" i="6"/>
  <c r="X5" i="6"/>
  <c r="X77" i="6"/>
  <c r="X157" i="6"/>
  <c r="X242" i="6"/>
  <c r="X329" i="6"/>
  <c r="X410" i="6"/>
  <c r="X619" i="6"/>
  <c r="X40" i="6"/>
  <c r="X111" i="6"/>
  <c r="X210" i="6"/>
  <c r="X360" i="6"/>
  <c r="X488" i="6"/>
  <c r="X18" i="6"/>
  <c r="X130" i="6"/>
  <c r="X227" i="6"/>
  <c r="X299" i="6"/>
  <c r="X380" i="6"/>
  <c r="X480" i="6"/>
  <c r="X348" i="6"/>
  <c r="X46" i="6"/>
  <c r="X115" i="6"/>
  <c r="X213" i="6"/>
  <c r="X312" i="6"/>
  <c r="X395" i="6"/>
  <c r="X466" i="6"/>
  <c r="X536" i="6"/>
  <c r="X52" i="6"/>
  <c r="X67" i="6"/>
  <c r="X222" i="6"/>
  <c r="X236" i="6"/>
  <c r="X406" i="6"/>
  <c r="X88" i="6"/>
  <c r="X173" i="6"/>
  <c r="X256" i="6"/>
  <c r="X341" i="6"/>
  <c r="X424" i="6"/>
  <c r="X494" i="6"/>
  <c r="X552" i="6"/>
  <c r="X661" i="6"/>
  <c r="X13" i="6"/>
  <c r="X84" i="6"/>
  <c r="X249" i="6"/>
  <c r="X472" i="6"/>
  <c r="X787" i="6"/>
  <c r="X32" i="6"/>
  <c r="X104" i="6"/>
  <c r="X186" i="6"/>
  <c r="X284" i="6"/>
  <c r="X363" i="6"/>
  <c r="X452" i="6"/>
  <c r="X524" i="6"/>
  <c r="X563" i="6"/>
  <c r="X48" i="6"/>
  <c r="X103" i="6"/>
  <c r="X189" i="6"/>
  <c r="X272" i="6"/>
  <c r="X356" i="6"/>
  <c r="X426" i="6"/>
  <c r="X495" i="6"/>
  <c r="X567" i="6"/>
  <c r="X11" i="6"/>
  <c r="X38" i="6"/>
  <c r="X51" i="6"/>
  <c r="X96" i="6"/>
  <c r="X122" i="6"/>
  <c r="X136" i="6"/>
  <c r="X164" i="6"/>
  <c r="X192" i="6"/>
  <c r="X220" i="6"/>
  <c r="X248" i="6"/>
  <c r="X278" i="6"/>
  <c r="X304" i="6"/>
  <c r="X332" i="6"/>
  <c r="X359" i="6"/>
  <c r="X388" i="6"/>
  <c r="X416" i="6"/>
  <c r="X444" i="6"/>
  <c r="X10" i="6"/>
  <c r="X25" i="6"/>
  <c r="X39" i="6"/>
  <c r="X54" i="6"/>
  <c r="X68" i="6"/>
  <c r="X81" i="6"/>
  <c r="X95" i="6"/>
  <c r="X109" i="6"/>
  <c r="X123" i="6"/>
  <c r="X138" i="6"/>
  <c r="X151" i="6"/>
  <c r="X165" i="6"/>
  <c r="X179" i="6"/>
  <c r="X193" i="6"/>
  <c r="X208" i="6"/>
  <c r="X221" i="6"/>
  <c r="X235" i="6"/>
  <c r="X251" i="6"/>
  <c r="X266" i="6"/>
  <c r="X276" i="6"/>
  <c r="X291" i="6"/>
  <c r="X305" i="6"/>
  <c r="X319" i="6"/>
  <c r="X333" i="6"/>
  <c r="X346" i="6"/>
  <c r="X361" i="6"/>
  <c r="X376" i="6"/>
  <c r="X389" i="6"/>
  <c r="X405" i="6"/>
  <c r="X419" i="6"/>
  <c r="X431" i="6"/>
  <c r="X445" i="6"/>
  <c r="X459" i="6"/>
  <c r="X473" i="6"/>
  <c r="X487" i="6"/>
  <c r="X501" i="6"/>
  <c r="X512" i="6"/>
  <c r="X529" i="6"/>
  <c r="X542" i="6"/>
  <c r="X557" i="6"/>
  <c r="X714" i="6"/>
  <c r="X738" i="6"/>
  <c r="X660" i="6"/>
  <c r="X711" i="6"/>
  <c r="X14" i="6"/>
  <c r="X28" i="6"/>
  <c r="X42" i="6"/>
  <c r="X56" i="6"/>
  <c r="X71" i="6"/>
  <c r="X83" i="6"/>
  <c r="X98" i="6"/>
  <c r="X112" i="6"/>
  <c r="X129" i="6"/>
  <c r="X142" i="6"/>
  <c r="X154" i="6"/>
  <c r="X168" i="6"/>
  <c r="X181" i="6"/>
  <c r="X196" i="6"/>
  <c r="X207" i="6"/>
  <c r="X224" i="6"/>
  <c r="X238" i="6"/>
  <c r="X252" i="6"/>
  <c r="X267" i="6"/>
  <c r="X280" i="6"/>
  <c r="X296" i="6"/>
  <c r="X307" i="6"/>
  <c r="X322" i="6"/>
  <c r="X336" i="6"/>
  <c r="X349" i="6"/>
  <c r="X367" i="6"/>
  <c r="X375" i="6"/>
  <c r="X392" i="6"/>
  <c r="X404" i="6"/>
  <c r="X420" i="6"/>
  <c r="X434" i="6"/>
  <c r="X448" i="6"/>
  <c r="X461" i="6"/>
  <c r="X475" i="6"/>
  <c r="X492" i="6"/>
  <c r="X504" i="6"/>
  <c r="X518" i="6"/>
  <c r="X534" i="6"/>
  <c r="X546" i="6"/>
  <c r="X560" i="6"/>
  <c r="X713" i="6"/>
  <c r="X29" i="6"/>
  <c r="X44" i="6"/>
  <c r="X85" i="6"/>
  <c r="X125" i="6"/>
  <c r="X169" i="6"/>
  <c r="X211" i="6"/>
  <c r="X253" i="6"/>
  <c r="X293" i="6"/>
  <c r="X308" i="6"/>
  <c r="X324" i="6"/>
  <c r="X337" i="6"/>
  <c r="X350" i="6"/>
  <c r="X364" i="6"/>
  <c r="X377" i="6"/>
  <c r="X393" i="6"/>
  <c r="X407" i="6"/>
  <c r="X435" i="6"/>
  <c r="X447" i="6"/>
  <c r="X463" i="6"/>
  <c r="X476" i="6"/>
  <c r="X489" i="6"/>
  <c r="X505" i="6"/>
  <c r="X519" i="6"/>
  <c r="X533" i="6"/>
  <c r="X547" i="6"/>
  <c r="X561" i="6"/>
  <c r="X657" i="6"/>
  <c r="X58" i="6"/>
  <c r="X113" i="6"/>
  <c r="X158" i="6"/>
  <c r="X197" i="6"/>
  <c r="X225" i="6"/>
  <c r="X281" i="6"/>
  <c r="X16" i="6"/>
  <c r="X57" i="6"/>
  <c r="X72" i="6"/>
  <c r="X141" i="6"/>
  <c r="X170" i="6"/>
  <c r="X199" i="6"/>
  <c r="X226" i="6"/>
  <c r="X255" i="6"/>
  <c r="X268" i="6"/>
  <c r="X282" i="6"/>
  <c r="X295" i="6"/>
  <c r="X310" i="6"/>
  <c r="X323" i="6"/>
  <c r="X338" i="6"/>
  <c r="X352" i="6"/>
  <c r="X366" i="6"/>
  <c r="X383" i="6"/>
  <c r="X394" i="6"/>
  <c r="X408" i="6"/>
  <c r="X436" i="6"/>
  <c r="X449" i="6"/>
  <c r="X464" i="6"/>
  <c r="X478" i="6"/>
  <c r="X491" i="6"/>
  <c r="X506" i="6"/>
  <c r="X520" i="6"/>
  <c r="X532" i="6"/>
  <c r="X548" i="6"/>
  <c r="X562" i="6"/>
  <c r="X658" i="6"/>
  <c r="X816" i="6"/>
  <c r="X15" i="6"/>
  <c r="X70" i="6"/>
  <c r="X99" i="6"/>
  <c r="X140" i="6"/>
  <c r="X183" i="6"/>
  <c r="X239" i="6"/>
  <c r="X264" i="6"/>
  <c r="X3" i="6"/>
  <c r="X30" i="6"/>
  <c r="X41" i="6"/>
  <c r="X86" i="6"/>
  <c r="X101" i="6"/>
  <c r="X126" i="6"/>
  <c r="X155" i="6"/>
  <c r="X184" i="6"/>
  <c r="X214" i="6"/>
  <c r="X240" i="6"/>
  <c r="X2" i="6"/>
  <c r="X17" i="6"/>
  <c r="X31" i="6"/>
  <c r="X45" i="6"/>
  <c r="X59" i="6"/>
  <c r="X73" i="6"/>
  <c r="X87" i="6"/>
  <c r="X100" i="6"/>
  <c r="X116" i="6"/>
  <c r="X128" i="6"/>
  <c r="X143" i="6"/>
  <c r="X156" i="6"/>
  <c r="X171" i="6"/>
  <c r="X185" i="6"/>
  <c r="X201" i="6"/>
  <c r="X212" i="6"/>
  <c r="X228" i="6"/>
  <c r="X241" i="6"/>
  <c r="X254" i="6"/>
  <c r="X270" i="6"/>
  <c r="X283" i="6"/>
  <c r="X297" i="6"/>
  <c r="X311" i="6"/>
  <c r="X325" i="6"/>
  <c r="X339" i="6"/>
  <c r="X353" i="6"/>
  <c r="X368" i="6"/>
  <c r="X381" i="6"/>
  <c r="X396" i="6"/>
  <c r="X409" i="6"/>
  <c r="X423" i="6"/>
  <c r="X437" i="6"/>
  <c r="X451" i="6"/>
  <c r="X465" i="6"/>
  <c r="X479" i="6"/>
  <c r="X493" i="6"/>
  <c r="X507" i="6"/>
  <c r="X521" i="6"/>
  <c r="X535" i="6"/>
  <c r="X550" i="6"/>
  <c r="X564" i="6"/>
  <c r="X659" i="6"/>
  <c r="X703" i="6"/>
  <c r="X817" i="6"/>
  <c r="X873" i="6"/>
  <c r="X4" i="6"/>
  <c r="X19" i="6"/>
  <c r="X33" i="6"/>
  <c r="X47" i="6"/>
  <c r="X60" i="6"/>
  <c r="X74" i="6"/>
  <c r="X89" i="6"/>
  <c r="X105" i="6"/>
  <c r="X117" i="6"/>
  <c r="X131" i="6"/>
  <c r="X145" i="6"/>
  <c r="X159" i="6"/>
  <c r="X172" i="6"/>
  <c r="X187" i="6"/>
  <c r="X200" i="6"/>
  <c r="X215" i="6"/>
  <c r="X229" i="6"/>
  <c r="X243" i="6"/>
  <c r="X257" i="6"/>
  <c r="X271" i="6"/>
  <c r="X285" i="6"/>
  <c r="X298" i="6"/>
  <c r="X313" i="6"/>
  <c r="X327" i="6"/>
  <c r="X340" i="6"/>
  <c r="X355" i="6"/>
  <c r="X369" i="6"/>
  <c r="X382" i="6"/>
  <c r="X397" i="6"/>
  <c r="X411" i="6"/>
  <c r="X428" i="6"/>
  <c r="X439" i="6"/>
  <c r="X453" i="6"/>
  <c r="X481" i="6"/>
  <c r="X496" i="6"/>
  <c r="X509" i="6"/>
  <c r="X522" i="6"/>
  <c r="X537" i="6"/>
  <c r="X549" i="6"/>
  <c r="X565" i="6"/>
  <c r="X620" i="6"/>
  <c r="X704" i="6"/>
  <c r="X786" i="6"/>
  <c r="X819" i="6"/>
  <c r="X918" i="6"/>
  <c r="X34" i="6"/>
  <c r="X76" i="6"/>
  <c r="X119" i="6"/>
  <c r="X160" i="6"/>
  <c r="X217" i="6"/>
  <c r="X258" i="6"/>
  <c r="X314" i="6"/>
  <c r="X342" i="6"/>
  <c r="X384" i="6"/>
  <c r="X412" i="6"/>
  <c r="X454" i="6"/>
  <c r="X510" i="6"/>
  <c r="X538" i="6"/>
  <c r="X8" i="6"/>
  <c r="X49" i="6"/>
  <c r="X63" i="6"/>
  <c r="X102" i="6"/>
  <c r="X118" i="6"/>
  <c r="X161" i="6"/>
  <c r="X188" i="6"/>
  <c r="X219" i="6"/>
  <c r="X245" i="6"/>
  <c r="X273" i="6"/>
  <c r="X301" i="6"/>
  <c r="X328" i="6"/>
  <c r="X343" i="6"/>
  <c r="X357" i="6"/>
  <c r="X385" i="6"/>
  <c r="X413" i="6"/>
  <c r="X441" i="6"/>
  <c r="X469" i="6"/>
  <c r="X497" i="6"/>
  <c r="X525" i="6"/>
  <c r="X555" i="6"/>
  <c r="X566" i="6"/>
  <c r="X917" i="6"/>
  <c r="X7" i="6"/>
  <c r="X22" i="6"/>
  <c r="X36" i="6"/>
  <c r="X50" i="6"/>
  <c r="X64" i="6"/>
  <c r="X78" i="6"/>
  <c r="X93" i="6"/>
  <c r="X107" i="6"/>
  <c r="X120" i="6"/>
  <c r="X134" i="6"/>
  <c r="X146" i="6"/>
  <c r="X162" i="6"/>
  <c r="X177" i="6"/>
  <c r="X190" i="6"/>
  <c r="X204" i="6"/>
  <c r="X216" i="6"/>
  <c r="X230" i="6"/>
  <c r="X246" i="6"/>
  <c r="X274" i="6"/>
  <c r="X288" i="6"/>
  <c r="X302" i="6"/>
  <c r="X316" i="6"/>
  <c r="X330" i="6"/>
  <c r="X344" i="6"/>
  <c r="X358" i="6"/>
  <c r="X372" i="6"/>
  <c r="X386" i="6"/>
  <c r="X400" i="6"/>
  <c r="X414" i="6"/>
  <c r="X427" i="6"/>
  <c r="X443" i="6"/>
  <c r="X455" i="6"/>
  <c r="X470" i="6"/>
  <c r="X484" i="6"/>
  <c r="X499" i="6"/>
  <c r="X511" i="6"/>
  <c r="X526" i="6"/>
  <c r="X541" i="6"/>
  <c r="X554" i="6"/>
  <c r="X568" i="6"/>
  <c r="X735" i="6"/>
  <c r="X919" i="6"/>
  <c r="X874" i="6"/>
  <c r="X916" i="6"/>
  <c r="X9" i="6"/>
  <c r="X20" i="6"/>
  <c r="X62" i="6"/>
  <c r="X132" i="6"/>
  <c r="X174" i="6"/>
  <c r="X202" i="6"/>
  <c r="X244" i="6"/>
  <c r="X286" i="6"/>
  <c r="X326" i="6"/>
  <c r="X370" i="6"/>
  <c r="X440" i="6"/>
  <c r="X483" i="6"/>
  <c r="X523" i="6"/>
  <c r="X21" i="6"/>
  <c r="X35" i="6"/>
  <c r="X75" i="6"/>
  <c r="X90" i="6"/>
  <c r="X133" i="6"/>
  <c r="X148" i="6"/>
  <c r="X175" i="6"/>
  <c r="X203" i="6"/>
  <c r="X231" i="6"/>
  <c r="X259" i="6"/>
  <c r="X287" i="6"/>
  <c r="X315" i="6"/>
  <c r="X371" i="6"/>
  <c r="X399" i="6"/>
  <c r="X425" i="6"/>
  <c r="X456" i="6"/>
  <c r="X482" i="6"/>
  <c r="X514" i="6"/>
  <c r="X539" i="6"/>
  <c r="X737" i="6"/>
  <c r="X820" i="6"/>
  <c r="X6" i="6"/>
  <c r="X23" i="6"/>
  <c r="X37" i="6"/>
  <c r="X53" i="6"/>
  <c r="X65" i="6"/>
  <c r="X79" i="6"/>
  <c r="X91" i="6"/>
  <c r="X106" i="6"/>
  <c r="X121" i="6"/>
  <c r="X135" i="6"/>
  <c r="X149" i="6"/>
  <c r="X163" i="6"/>
  <c r="X176" i="6"/>
  <c r="X191" i="6"/>
  <c r="X205" i="6"/>
  <c r="X218" i="6"/>
  <c r="X232" i="6"/>
  <c r="X247" i="6"/>
  <c r="X262" i="6"/>
  <c r="X275" i="6"/>
  <c r="X289" i="6"/>
  <c r="X303" i="6"/>
  <c r="X317" i="6"/>
  <c r="X331" i="6"/>
  <c r="X345" i="6"/>
  <c r="X362" i="6"/>
  <c r="X373" i="6"/>
  <c r="X387" i="6"/>
  <c r="X401" i="6"/>
  <c r="X415" i="6"/>
  <c r="X429" i="6"/>
  <c r="X442" i="6"/>
  <c r="X457" i="6"/>
  <c r="X474" i="6"/>
  <c r="X485" i="6"/>
  <c r="X498" i="6"/>
  <c r="X513" i="6"/>
  <c r="X527" i="6"/>
  <c r="X543" i="6"/>
  <c r="X556" i="6"/>
  <c r="X569" i="6"/>
  <c r="X893" i="6"/>
  <c r="X92" i="6"/>
  <c r="X147" i="6"/>
  <c r="X233" i="6"/>
  <c r="X300" i="6"/>
  <c r="X551" i="6"/>
  <c r="X24" i="6"/>
  <c r="X66" i="6"/>
  <c r="X80" i="6"/>
  <c r="X108" i="6"/>
  <c r="X150" i="6"/>
  <c r="X178" i="6"/>
  <c r="X206" i="6"/>
  <c r="X234" i="6"/>
  <c r="X261" i="6"/>
  <c r="X290" i="6"/>
  <c r="X318" i="6"/>
  <c r="X347" i="6"/>
  <c r="X374" i="6"/>
  <c r="X402" i="6"/>
  <c r="X430" i="6"/>
  <c r="X458" i="6"/>
  <c r="X471" i="6"/>
  <c r="X500" i="6"/>
  <c r="X515" i="6"/>
  <c r="X528" i="6"/>
  <c r="X540" i="6"/>
  <c r="X553" i="6"/>
  <c r="X570" i="6"/>
  <c r="X736" i="6"/>
  <c r="X1019" i="6"/>
  <c r="X1020" i="6"/>
  <c r="X1017" i="6"/>
  <c r="X1018" i="6"/>
  <c r="X1015" i="6"/>
  <c r="X1016" i="6"/>
  <c r="X1013" i="6"/>
  <c r="X1014" i="6"/>
  <c r="X1011" i="6"/>
  <c r="X1012" i="6"/>
  <c r="X1008" i="6"/>
  <c r="X1009" i="6"/>
  <c r="X1010" i="6"/>
  <c r="X1007" i="6"/>
  <c r="X1005" i="6"/>
  <c r="X1006" i="6"/>
  <c r="X1003" i="6"/>
  <c r="X1001" i="6"/>
  <c r="X1000" i="6"/>
  <c r="X1002" i="6"/>
  <c r="X1004" i="6"/>
  <c r="X998" i="6"/>
  <c r="X999" i="6"/>
  <c r="X996" i="6"/>
  <c r="X997" i="6"/>
  <c r="X994" i="6"/>
  <c r="X995" i="6"/>
  <c r="X992" i="6"/>
  <c r="X993" i="6"/>
  <c r="X990" i="6"/>
  <c r="X991" i="6"/>
  <c r="X988" i="6"/>
  <c r="X989" i="6"/>
  <c r="X986" i="6"/>
  <c r="X987" i="6"/>
  <c r="X982" i="6"/>
  <c r="X984" i="6"/>
  <c r="X981" i="6"/>
  <c r="X983" i="6"/>
  <c r="X985" i="6"/>
  <c r="X979" i="6"/>
  <c r="X980" i="6"/>
  <c r="X977" i="6"/>
  <c r="X978" i="6"/>
  <c r="X976" i="6"/>
  <c r="X975" i="6"/>
  <c r="X974" i="6"/>
  <c r="X972" i="6"/>
  <c r="X970" i="6"/>
  <c r="X971" i="6"/>
  <c r="X973" i="6"/>
  <c r="X968" i="6"/>
  <c r="X966" i="6"/>
  <c r="X967" i="6"/>
  <c r="X969" i="6"/>
  <c r="X964" i="6"/>
  <c r="X965" i="6"/>
  <c r="X960" i="6"/>
  <c r="X962" i="6"/>
  <c r="X961" i="6"/>
  <c r="X963" i="6"/>
  <c r="X958" i="6"/>
  <c r="X959" i="6"/>
  <c r="X956" i="6"/>
  <c r="X957" i="6"/>
  <c r="X954" i="6"/>
  <c r="X955" i="6"/>
  <c r="X950" i="6"/>
  <c r="X952" i="6"/>
  <c r="X951" i="6"/>
  <c r="X953" i="6"/>
  <c r="X946" i="6"/>
  <c r="X948" i="6"/>
  <c r="X947" i="6"/>
  <c r="X949" i="6"/>
  <c r="X945" i="6"/>
  <c r="X943" i="6"/>
  <c r="X944" i="6"/>
  <c r="X942" i="6"/>
  <c r="X941" i="6"/>
  <c r="X939" i="6"/>
  <c r="X937" i="6"/>
  <c r="X936" i="6"/>
  <c r="X938" i="6"/>
  <c r="X940" i="6"/>
  <c r="X934" i="6"/>
  <c r="X935" i="6"/>
  <c r="X932" i="6"/>
  <c r="X933" i="6"/>
  <c r="X930" i="6"/>
  <c r="X931" i="6"/>
  <c r="X929" i="6"/>
  <c r="X928" i="6"/>
  <c r="X927" i="6"/>
  <c r="X925" i="6"/>
  <c r="X926" i="6"/>
  <c r="X921" i="6"/>
  <c r="X923" i="6"/>
  <c r="X922" i="6"/>
  <c r="X924" i="6"/>
  <c r="X920" i="6"/>
  <c r="X912" i="6"/>
  <c r="X914" i="6"/>
  <c r="X911" i="6"/>
  <c r="X910" i="6"/>
  <c r="X913" i="6"/>
  <c r="X915" i="6"/>
  <c r="X908" i="6"/>
  <c r="X909" i="6"/>
  <c r="X906" i="6"/>
  <c r="X904" i="6"/>
  <c r="X905" i="6"/>
  <c r="X907" i="6"/>
  <c r="X902" i="6"/>
  <c r="X903" i="6"/>
  <c r="X900" i="6"/>
  <c r="X901" i="6"/>
  <c r="X896" i="6"/>
  <c r="X897" i="6"/>
  <c r="X898" i="6"/>
  <c r="X899" i="6"/>
  <c r="X894" i="6"/>
  <c r="X895" i="6"/>
  <c r="X892" i="6"/>
  <c r="X890" i="6"/>
  <c r="X891" i="6"/>
  <c r="X888" i="6"/>
  <c r="X889" i="6"/>
  <c r="X886" i="6"/>
  <c r="X887" i="6"/>
  <c r="X885" i="6"/>
  <c r="X884" i="6"/>
  <c r="X882" i="6"/>
  <c r="X883" i="6"/>
  <c r="X880" i="6"/>
  <c r="X881" i="6"/>
  <c r="X876" i="6"/>
  <c r="X875" i="6"/>
  <c r="X878" i="6"/>
  <c r="X877" i="6"/>
  <c r="X879" i="6"/>
  <c r="X869" i="6"/>
  <c r="X870" i="6"/>
  <c r="X871" i="6"/>
  <c r="X872" i="6"/>
  <c r="X868" i="6"/>
  <c r="X867" i="6"/>
  <c r="X865" i="6"/>
  <c r="X863" i="6"/>
  <c r="X864" i="6"/>
  <c r="X866" i="6"/>
  <c r="X861" i="6"/>
  <c r="X862" i="6"/>
  <c r="X860" i="6"/>
  <c r="X859" i="6"/>
  <c r="X857" i="6"/>
  <c r="X858" i="6"/>
  <c r="X855" i="6"/>
  <c r="X856" i="6"/>
  <c r="X853" i="6"/>
  <c r="X851" i="6"/>
  <c r="X852" i="6"/>
  <c r="X854" i="6"/>
  <c r="X847" i="6"/>
  <c r="X849" i="6"/>
  <c r="X848" i="6"/>
  <c r="X850" i="6"/>
  <c r="X846" i="6"/>
  <c r="X844" i="6"/>
  <c r="X845" i="6"/>
  <c r="X842" i="6"/>
  <c r="X843" i="6"/>
  <c r="X840" i="6"/>
  <c r="X841" i="6"/>
  <c r="X838" i="6"/>
  <c r="X839" i="6"/>
  <c r="X836" i="6"/>
  <c r="X837" i="6"/>
  <c r="X834" i="6"/>
  <c r="X832" i="6"/>
  <c r="X835" i="6"/>
  <c r="X833" i="6"/>
  <c r="X830" i="6"/>
  <c r="X831" i="6"/>
  <c r="X828" i="6"/>
  <c r="X826" i="6"/>
  <c r="X827" i="6"/>
  <c r="X825" i="6"/>
  <c r="X829" i="6"/>
  <c r="X823" i="6"/>
  <c r="X824" i="6"/>
  <c r="X821" i="6"/>
  <c r="X822" i="6"/>
  <c r="X818" i="6"/>
  <c r="X814" i="6"/>
  <c r="X815" i="6"/>
  <c r="X812" i="6"/>
  <c r="X813" i="6"/>
  <c r="X810" i="6"/>
  <c r="X811" i="6"/>
  <c r="X807" i="6"/>
  <c r="X806" i="6"/>
  <c r="X808" i="6"/>
  <c r="X805" i="6"/>
  <c r="X809" i="6"/>
  <c r="X803" i="6"/>
  <c r="X801" i="6"/>
  <c r="X800" i="6"/>
  <c r="X802" i="6"/>
  <c r="X804" i="6"/>
  <c r="X798" i="6"/>
  <c r="X799" i="6"/>
  <c r="X796" i="6"/>
  <c r="X797" i="6"/>
  <c r="X421" i="6"/>
  <c r="X794" i="6"/>
  <c r="X795" i="6"/>
  <c r="X790" i="6"/>
  <c r="X791" i="6"/>
  <c r="X785" i="6"/>
  <c r="X782" i="6"/>
  <c r="X789" i="6"/>
  <c r="X784" i="6"/>
  <c r="X783" i="6"/>
  <c r="X788" i="6"/>
  <c r="X780" i="6"/>
  <c r="X781" i="6"/>
  <c r="X779" i="6"/>
  <c r="X778" i="6"/>
  <c r="X777" i="6"/>
  <c r="X776" i="6"/>
  <c r="X772" i="6"/>
  <c r="X773" i="6"/>
  <c r="X774" i="6"/>
  <c r="X775" i="6"/>
  <c r="X768" i="6"/>
  <c r="X767" i="6"/>
  <c r="X770" i="6"/>
  <c r="X769" i="6"/>
  <c r="X771" i="6"/>
  <c r="X765" i="6"/>
  <c r="X766" i="6"/>
  <c r="X763" i="6"/>
  <c r="X764" i="6"/>
  <c r="X761" i="6"/>
  <c r="X762" i="6"/>
  <c r="X759" i="6"/>
  <c r="X760" i="6"/>
  <c r="X758" i="6"/>
  <c r="X756" i="6"/>
  <c r="X757" i="6"/>
  <c r="X755" i="6"/>
  <c r="X752" i="6"/>
  <c r="X754" i="6"/>
  <c r="X751" i="6"/>
  <c r="X753" i="6"/>
  <c r="X749" i="6"/>
  <c r="X750" i="6"/>
  <c r="X747" i="6"/>
  <c r="X748" i="6"/>
  <c r="X746" i="6"/>
  <c r="X744" i="6"/>
  <c r="X745" i="6"/>
  <c r="X742" i="6"/>
  <c r="X741" i="6"/>
  <c r="X740" i="6"/>
  <c r="X743" i="6"/>
  <c r="X739" i="6"/>
  <c r="X733" i="6"/>
  <c r="X734" i="6"/>
  <c r="X731" i="6"/>
  <c r="X732" i="6"/>
  <c r="X729" i="6"/>
  <c r="X730" i="6"/>
  <c r="X727" i="6"/>
  <c r="X728" i="6"/>
  <c r="X725" i="6"/>
  <c r="X726" i="6"/>
  <c r="X721" i="6"/>
  <c r="X723" i="6"/>
  <c r="X720" i="6"/>
  <c r="X724" i="6"/>
  <c r="X722" i="6"/>
  <c r="X718" i="6"/>
  <c r="X719" i="6"/>
  <c r="X716" i="6"/>
  <c r="X717" i="6"/>
  <c r="X715" i="6"/>
  <c r="X707" i="6"/>
  <c r="X709" i="6"/>
  <c r="X708" i="6"/>
  <c r="X710" i="6"/>
  <c r="X705" i="6"/>
  <c r="X706" i="6"/>
  <c r="X572" i="6"/>
  <c r="X571" i="6"/>
  <c r="X702" i="6"/>
  <c r="X701" i="6"/>
  <c r="X699" i="6"/>
  <c r="X700" i="6"/>
  <c r="X697" i="6"/>
  <c r="X698" i="6"/>
  <c r="X695" i="6"/>
  <c r="X696" i="6"/>
  <c r="X694" i="6"/>
  <c r="X693" i="6"/>
  <c r="X689" i="6"/>
  <c r="X691" i="6"/>
  <c r="X690" i="6"/>
  <c r="X692" i="6"/>
  <c r="X687" i="6"/>
  <c r="X688" i="6"/>
  <c r="X685" i="6"/>
  <c r="X683" i="6"/>
  <c r="X684" i="6"/>
  <c r="X682" i="6"/>
  <c r="X686" i="6"/>
  <c r="X678" i="6"/>
  <c r="X680" i="6"/>
  <c r="X679" i="6"/>
  <c r="X681" i="6"/>
  <c r="X677" i="6"/>
  <c r="X676" i="6"/>
  <c r="X675" i="6"/>
  <c r="X674" i="6"/>
  <c r="X670" i="6"/>
  <c r="X672" i="6"/>
  <c r="X671" i="6"/>
  <c r="X673" i="6"/>
  <c r="X668" i="6"/>
  <c r="X669" i="6"/>
  <c r="X666" i="6"/>
  <c r="X667" i="6"/>
  <c r="X664" i="6"/>
  <c r="X665" i="6"/>
  <c r="X662" i="6"/>
  <c r="X663" i="6"/>
  <c r="X653" i="6"/>
  <c r="X655" i="6"/>
  <c r="X654" i="6"/>
  <c r="X656" i="6"/>
  <c r="X649" i="6"/>
  <c r="X651" i="6"/>
  <c r="X652" i="6"/>
  <c r="X650" i="6"/>
  <c r="X648" i="6"/>
  <c r="X647" i="6"/>
  <c r="X645" i="6"/>
  <c r="X646" i="6"/>
  <c r="X643" i="6"/>
  <c r="X644" i="6"/>
  <c r="X641" i="6"/>
  <c r="X642" i="6"/>
  <c r="X639" i="6"/>
  <c r="X640" i="6"/>
  <c r="X638" i="6"/>
  <c r="X637" i="6"/>
  <c r="X635" i="6"/>
  <c r="X636" i="6"/>
  <c r="X634" i="6"/>
  <c r="X633" i="6"/>
  <c r="X631" i="6"/>
  <c r="X629" i="6"/>
  <c r="X628" i="6"/>
  <c r="X630" i="6"/>
  <c r="X632" i="6"/>
  <c r="X627" i="6"/>
  <c r="X625" i="6"/>
  <c r="X624" i="6"/>
  <c r="X626" i="6"/>
  <c r="X623" i="6"/>
  <c r="X621" i="6"/>
  <c r="X622" i="6"/>
  <c r="X467" i="6"/>
  <c r="X468" i="6"/>
  <c r="X615" i="6"/>
  <c r="X617" i="6"/>
  <c r="X614" i="6"/>
  <c r="X616" i="6"/>
  <c r="X618" i="6"/>
  <c r="X612" i="6"/>
  <c r="X613" i="6"/>
  <c r="X610" i="6"/>
  <c r="X611" i="6"/>
  <c r="X609" i="6"/>
  <c r="X607" i="6"/>
  <c r="X604" i="6"/>
  <c r="X606" i="6"/>
  <c r="X608" i="6"/>
  <c r="X605" i="6"/>
  <c r="X602" i="6"/>
  <c r="X603" i="6"/>
  <c r="X601" i="6"/>
  <c r="X600" i="6"/>
  <c r="X599" i="6"/>
  <c r="X597" i="6"/>
  <c r="X598" i="6"/>
  <c r="X595" i="6"/>
  <c r="X596" i="6"/>
  <c r="X594" i="6"/>
  <c r="X593" i="6"/>
  <c r="X591" i="6"/>
  <c r="X592" i="6"/>
  <c r="X587" i="6"/>
  <c r="X589" i="6"/>
  <c r="X586" i="6"/>
  <c r="X588" i="6"/>
  <c r="X590" i="6"/>
  <c r="X584" i="6"/>
  <c r="X585" i="6"/>
  <c r="X582" i="6"/>
  <c r="X580" i="6"/>
  <c r="X581" i="6"/>
  <c r="X583" i="6"/>
  <c r="X578" i="6"/>
  <c r="X576" i="6"/>
  <c r="X575" i="6"/>
  <c r="X577" i="6"/>
  <c r="X579" i="6"/>
  <c r="X574" i="6"/>
  <c r="X573" i="6"/>
  <c r="X194" i="6"/>
  <c r="X398" i="6"/>
  <c r="X422" i="6"/>
  <c r="X114" i="6"/>
  <c r="X486" i="6"/>
  <c r="X260" i="6"/>
  <c r="C4" i="17"/>
  <c r="F9" i="17"/>
  <c r="G18" i="17"/>
  <c r="B6" i="17"/>
  <c r="J2" i="17"/>
  <c r="A12" i="17"/>
  <c r="E3" i="17"/>
  <c r="C20" i="17"/>
  <c r="D2" i="17"/>
  <c r="C2" i="17"/>
  <c r="G2" i="17"/>
  <c r="C17" i="17"/>
  <c r="B5" i="17"/>
  <c r="I6" i="17"/>
  <c r="G20" i="17"/>
  <c r="I17" i="17"/>
  <c r="B17" i="17"/>
  <c r="F197" i="13" l="1" a="1"/>
  <c r="F197" i="13" s="1"/>
  <c r="X197" i="13" s="1"/>
  <c r="F196" i="13" a="1"/>
  <c r="F196" i="13" s="1"/>
  <c r="F191" i="13" a="1"/>
  <c r="F191" i="13" s="1"/>
  <c r="F189" i="13" a="1"/>
  <c r="F189" i="13" s="1"/>
  <c r="F190" i="13" a="1"/>
  <c r="F190" i="13" s="1"/>
  <c r="F194" i="13" a="1"/>
  <c r="F194" i="13" s="1"/>
  <c r="F195" i="13" a="1"/>
  <c r="F195" i="13" s="1"/>
  <c r="F192" i="13" a="1"/>
  <c r="F192" i="13" s="1"/>
  <c r="F193" i="13" a="1"/>
  <c r="F193" i="13" s="1"/>
  <c r="F188" i="13" a="1"/>
  <c r="F188" i="13" s="1"/>
  <c r="F187" i="13" a="1"/>
  <c r="F187" i="13" s="1"/>
  <c r="F183" i="13" a="1"/>
  <c r="F183" i="13" s="1"/>
  <c r="F185" i="13" a="1"/>
  <c r="F185" i="13" s="1"/>
  <c r="F186" i="13" a="1"/>
  <c r="F186" i="13" s="1"/>
  <c r="F184" i="13" a="1"/>
  <c r="F184" i="13" s="1"/>
  <c r="F182" i="13" a="1"/>
  <c r="F182" i="13" s="1"/>
  <c r="F180" i="13" a="1"/>
  <c r="F180" i="13" s="1"/>
  <c r="F181" i="13" a="1"/>
  <c r="F181" i="13" s="1"/>
  <c r="F179" i="13" a="1"/>
  <c r="F179" i="13" s="1"/>
  <c r="F178" i="13" a="1"/>
  <c r="F178" i="13" s="1"/>
  <c r="F177" i="13" a="1"/>
  <c r="F177" i="13" s="1"/>
  <c r="F176" i="13" a="1"/>
  <c r="F176" i="13" s="1"/>
  <c r="F175" i="13" a="1"/>
  <c r="F175" i="13" s="1"/>
  <c r="F173" i="13" a="1"/>
  <c r="F173" i="13" s="1"/>
  <c r="F174" i="13" a="1"/>
  <c r="F174" i="13" s="1"/>
  <c r="F172" i="13" a="1"/>
  <c r="F172" i="13" s="1"/>
  <c r="F171" i="13" a="1"/>
  <c r="F171" i="13" s="1"/>
  <c r="F170" i="13" a="1"/>
  <c r="F170" i="13" s="1"/>
  <c r="F169" i="13" a="1"/>
  <c r="F169" i="13" s="1"/>
  <c r="F167" i="13" a="1"/>
  <c r="F167" i="13" s="1"/>
  <c r="F168" i="13" a="1"/>
  <c r="F168" i="13" s="1"/>
  <c r="F165" i="13" a="1"/>
  <c r="F165" i="13" s="1"/>
  <c r="F166" i="13" a="1"/>
  <c r="F166" i="13" s="1"/>
  <c r="F164" i="13" a="1"/>
  <c r="F164" i="13" s="1"/>
  <c r="F163" i="13" a="1"/>
  <c r="F163" i="13" s="1"/>
  <c r="F162" i="13" a="1"/>
  <c r="F162" i="13" s="1"/>
  <c r="F161" i="13" a="1"/>
  <c r="F161" i="13" s="1"/>
  <c r="F159" i="13" a="1"/>
  <c r="F159" i="13" s="1"/>
  <c r="F160" i="13" a="1"/>
  <c r="F160" i="13" s="1"/>
  <c r="F157" i="13" a="1"/>
  <c r="F157" i="13" s="1"/>
  <c r="F158" i="13" a="1"/>
  <c r="F158" i="13" s="1"/>
  <c r="F156" i="13" a="1"/>
  <c r="F156" i="13" s="1"/>
  <c r="F155" i="13" a="1"/>
  <c r="F155" i="13" s="1"/>
  <c r="F154" i="13" a="1"/>
  <c r="F154" i="13" s="1"/>
  <c r="F153" i="13" a="1"/>
  <c r="F153" i="13" s="1"/>
  <c r="F148" i="13" a="1"/>
  <c r="F148" i="13" s="1"/>
  <c r="F150" i="13" a="1"/>
  <c r="F150" i="13" s="1"/>
  <c r="F152" i="13" a="1"/>
  <c r="F152" i="13" s="1"/>
  <c r="F151" i="13" a="1"/>
  <c r="F151" i="13" s="1"/>
  <c r="F149" i="13" a="1"/>
  <c r="F149" i="13" s="1"/>
  <c r="F147" i="13" a="1"/>
  <c r="F147" i="13" s="1"/>
  <c r="F146" i="13" a="1"/>
  <c r="F146" i="13" s="1"/>
  <c r="F145" i="13" a="1"/>
  <c r="F145" i="13" s="1"/>
  <c r="F144" i="13" a="1"/>
  <c r="F144" i="13" s="1"/>
  <c r="F143" i="13" a="1"/>
  <c r="F143" i="13" s="1"/>
  <c r="F139" i="13" a="1"/>
  <c r="F139" i="13" s="1"/>
  <c r="F140" i="13" a="1"/>
  <c r="F140" i="13" s="1"/>
  <c r="F142" i="13" a="1"/>
  <c r="F142" i="13" s="1"/>
  <c r="F141" i="13" a="1"/>
  <c r="F141" i="13" s="1"/>
  <c r="F138" i="13" a="1"/>
  <c r="F138" i="13" s="1"/>
  <c r="F135" i="13" a="1"/>
  <c r="F135" i="13" s="1"/>
  <c r="F137" i="13" a="1"/>
  <c r="F137" i="13" s="1"/>
  <c r="F136" i="13" a="1"/>
  <c r="F136" i="13" s="1"/>
  <c r="F134" i="13" a="1"/>
  <c r="F134" i="13" s="1"/>
  <c r="F133" i="13" a="1"/>
  <c r="F133" i="13" s="1"/>
  <c r="F132" i="13" a="1"/>
  <c r="F132" i="13" s="1"/>
  <c r="F130" i="13" a="1"/>
  <c r="F130" i="13" s="1"/>
  <c r="F131" i="13" a="1"/>
  <c r="F131" i="13" s="1"/>
  <c r="F126" i="13" a="1"/>
  <c r="F126" i="13" s="1"/>
  <c r="F127" i="13" a="1"/>
  <c r="F127" i="13" s="1"/>
  <c r="F128" i="13" a="1"/>
  <c r="F128" i="13" s="1"/>
  <c r="F129" i="13" a="1"/>
  <c r="F129" i="13" s="1"/>
  <c r="F125" i="13" a="1"/>
  <c r="F125" i="13" s="1"/>
  <c r="F124" i="13" a="1"/>
  <c r="F124" i="13" s="1"/>
  <c r="F123" i="13" a="1"/>
  <c r="F123" i="13" s="1"/>
  <c r="F122" i="13" a="1"/>
  <c r="F122" i="13" s="1"/>
  <c r="F121" i="13" a="1"/>
  <c r="F121" i="13" s="1"/>
  <c r="F120" i="13" a="1"/>
  <c r="F120" i="13" s="1"/>
  <c r="F118" i="13" a="1"/>
  <c r="F118" i="13" s="1"/>
  <c r="F119" i="13" a="1"/>
  <c r="F119" i="13" s="1"/>
  <c r="F114" i="13" a="1"/>
  <c r="F114" i="13" s="1"/>
  <c r="F116" i="13" a="1"/>
  <c r="F116" i="13" s="1"/>
  <c r="F115" i="13" a="1"/>
  <c r="F115" i="13" s="1"/>
  <c r="F117" i="13" a="1"/>
  <c r="F117" i="13" s="1"/>
  <c r="F113" i="13" a="1"/>
  <c r="F113" i="13" s="1"/>
  <c r="F111" i="13" a="1"/>
  <c r="F111" i="13" s="1"/>
  <c r="F112" i="13" a="1"/>
  <c r="F112" i="13" s="1"/>
  <c r="F110" i="13" a="1"/>
  <c r="F110" i="13" s="1"/>
  <c r="F109" i="13" a="1"/>
  <c r="F109" i="13" s="1"/>
  <c r="F108" i="13" a="1"/>
  <c r="F108" i="13" s="1"/>
  <c r="F106" i="13" a="1"/>
  <c r="F106" i="13" s="1"/>
  <c r="F107" i="13" a="1"/>
  <c r="F107" i="13" s="1"/>
  <c r="F105" i="13" a="1"/>
  <c r="F105" i="13" s="1"/>
  <c r="F103" i="13" a="1"/>
  <c r="F103" i="13" s="1"/>
  <c r="F104" i="13" a="1"/>
  <c r="F104" i="13" s="1"/>
  <c r="F101" i="13" a="1"/>
  <c r="F101" i="13" s="1"/>
  <c r="F102" i="13" a="1"/>
  <c r="F102" i="13" s="1"/>
  <c r="F100" i="13" a="1"/>
  <c r="F100" i="13" s="1"/>
  <c r="F98" i="13" a="1"/>
  <c r="F98" i="13" s="1"/>
  <c r="F99" i="13" a="1"/>
  <c r="F99" i="13" s="1"/>
  <c r="F94" i="13" a="1"/>
  <c r="F94" i="13" s="1"/>
  <c r="F96" i="13" a="1"/>
  <c r="F96" i="13" s="1"/>
  <c r="F97" i="13" a="1"/>
  <c r="F97" i="13" s="1"/>
  <c r="F95" i="13" a="1"/>
  <c r="F95" i="13" s="1"/>
  <c r="F92" i="13" a="1"/>
  <c r="F92" i="13" s="1"/>
  <c r="F93" i="13" a="1"/>
  <c r="F93" i="13" s="1"/>
  <c r="F91" i="13" a="1"/>
  <c r="F91" i="13" s="1"/>
  <c r="F90" i="13" a="1"/>
  <c r="F90" i="13" s="1"/>
  <c r="F89" i="13" a="1"/>
  <c r="F89" i="13" s="1"/>
  <c r="F88" i="13" a="1"/>
  <c r="F88" i="13" s="1"/>
  <c r="F87" i="13" a="1"/>
  <c r="F87" i="13" s="1"/>
  <c r="F85" i="13" a="1"/>
  <c r="F85" i="13" s="1"/>
  <c r="F86" i="13" a="1"/>
  <c r="F86" i="13" s="1"/>
  <c r="F82" i="13" a="1"/>
  <c r="F82" i="13" s="1"/>
  <c r="F84" i="13" a="1"/>
  <c r="F84" i="13" s="1"/>
  <c r="F83" i="13" a="1"/>
  <c r="F83" i="13" s="1"/>
  <c r="F81" i="13" a="1"/>
  <c r="F81" i="13" s="1"/>
  <c r="F80" i="13" a="1"/>
  <c r="F80" i="13" s="1"/>
  <c r="F74" i="13" a="1"/>
  <c r="F74" i="13" s="1"/>
  <c r="F77" i="13" a="1"/>
  <c r="F77" i="13" s="1"/>
  <c r="F79" i="13" a="1"/>
  <c r="F79" i="13" s="1"/>
  <c r="F73" i="13" a="1"/>
  <c r="F73" i="13" s="1"/>
  <c r="F78" i="13" a="1"/>
  <c r="F78" i="13" s="1"/>
  <c r="F75" i="13" a="1"/>
  <c r="F75" i="13" s="1"/>
  <c r="F72" i="13" a="1"/>
  <c r="F72" i="13" s="1"/>
  <c r="F70" i="13" a="1"/>
  <c r="F70" i="13" s="1"/>
  <c r="F76" i="13" a="1"/>
  <c r="F76" i="13" s="1"/>
  <c r="F71" i="13" a="1"/>
  <c r="F71" i="13" s="1"/>
  <c r="F69" i="13" a="1"/>
  <c r="F69" i="13" s="1"/>
  <c r="F66" i="13" a="1"/>
  <c r="F66" i="13" s="1"/>
  <c r="F64" i="13" a="1"/>
  <c r="F64" i="13" s="1"/>
  <c r="F61" i="13" a="1"/>
  <c r="F61" i="13" s="1"/>
  <c r="F59" i="13" a="1"/>
  <c r="F59" i="13" s="1"/>
  <c r="F65" i="13" a="1"/>
  <c r="F65" i="13" s="1"/>
  <c r="F62" i="13" a="1"/>
  <c r="F62" i="13" s="1"/>
  <c r="F67" i="13" a="1"/>
  <c r="F67" i="13" s="1"/>
  <c r="F63" i="13" a="1"/>
  <c r="F63" i="13" s="1"/>
  <c r="F58" i="13" a="1"/>
  <c r="F58" i="13" s="1"/>
  <c r="F60" i="13" a="1"/>
  <c r="F60" i="13" s="1"/>
  <c r="F57" i="13" a="1"/>
  <c r="F57" i="13" s="1"/>
  <c r="F68" i="13" a="1"/>
  <c r="F68" i="13" s="1"/>
  <c r="F46" i="13" a="1"/>
  <c r="F46" i="13" s="1"/>
  <c r="F48" i="13" a="1"/>
  <c r="F48" i="13" s="1"/>
  <c r="F50" i="13" a="1"/>
  <c r="F50" i="13" s="1"/>
  <c r="F49" i="13" a="1"/>
  <c r="F49" i="13" s="1"/>
  <c r="F47" i="13" a="1"/>
  <c r="F47" i="13" s="1"/>
  <c r="F45" i="13" a="1"/>
  <c r="F45" i="13" s="1"/>
  <c r="F54" i="13" a="1"/>
  <c r="F54" i="13" s="1"/>
  <c r="F53" i="13" a="1"/>
  <c r="F53" i="13" s="1"/>
  <c r="F43" i="13" a="1"/>
  <c r="F43" i="13" s="1"/>
  <c r="F56" i="13" a="1"/>
  <c r="F56" i="13" s="1"/>
  <c r="F44" i="13" a="1"/>
  <c r="F44" i="13" s="1"/>
  <c r="F52" i="13" a="1"/>
  <c r="F52" i="13" s="1"/>
  <c r="F42" i="13" a="1"/>
  <c r="F42" i="13" s="1"/>
  <c r="F51" i="13" a="1"/>
  <c r="F51" i="13" s="1"/>
  <c r="F55" i="13" a="1"/>
  <c r="F55" i="13" s="1"/>
  <c r="F41" i="13" a="1"/>
  <c r="F41" i="13" s="1"/>
  <c r="F40" i="13" a="1"/>
  <c r="F40" i="13" s="1"/>
  <c r="F37" i="13" a="1"/>
  <c r="F37" i="13" s="1"/>
  <c r="F34" i="13" a="1"/>
  <c r="F34" i="13" s="1"/>
  <c r="F38" i="13" a="1"/>
  <c r="F38" i="13" s="1"/>
  <c r="F35" i="13" a="1"/>
  <c r="F35" i="13" s="1"/>
  <c r="F36" i="13" a="1"/>
  <c r="F36" i="13" s="1"/>
  <c r="F39" i="13" a="1"/>
  <c r="F39" i="13" s="1"/>
  <c r="F33" i="13" a="1"/>
  <c r="F33" i="13" s="1"/>
  <c r="F31" i="13" a="1"/>
  <c r="F31" i="13" s="1"/>
  <c r="F32" i="13" a="1"/>
  <c r="F32" i="13" s="1"/>
  <c r="F30" i="13" a="1"/>
  <c r="F30" i="13" s="1"/>
  <c r="F24" i="13" a="1"/>
  <c r="F24" i="13" s="1"/>
  <c r="F25" i="13" a="1"/>
  <c r="F25" i="13" s="1"/>
  <c r="F27" i="13" a="1"/>
  <c r="F27" i="13" s="1"/>
  <c r="F28" i="13" a="1"/>
  <c r="F28" i="13" s="1"/>
  <c r="F29" i="13" a="1"/>
  <c r="F29" i="13" s="1"/>
  <c r="F26" i="13" a="1"/>
  <c r="F26" i="13" s="1"/>
  <c r="F23" i="13" a="1"/>
  <c r="F23" i="13" s="1"/>
  <c r="F19" i="13" a="1"/>
  <c r="F19" i="13" s="1"/>
  <c r="F20" i="13" a="1"/>
  <c r="F20" i="13" s="1"/>
  <c r="F21" i="13" a="1"/>
  <c r="F21" i="13" s="1"/>
  <c r="F18" i="13" a="1"/>
  <c r="F18" i="13" s="1"/>
  <c r="F22" i="13" a="1"/>
  <c r="F22" i="13" s="1"/>
  <c r="F11" i="13" a="1"/>
  <c r="F11" i="13" s="1"/>
  <c r="F12" i="13" a="1"/>
  <c r="F12" i="13" s="1"/>
  <c r="F14" i="13" a="1"/>
  <c r="F14" i="13" s="1"/>
  <c r="F15" i="13" a="1"/>
  <c r="F15" i="13" s="1"/>
  <c r="F13" i="13" a="1"/>
  <c r="F13" i="13" s="1"/>
  <c r="F17" i="13" a="1"/>
  <c r="F17" i="13" s="1"/>
  <c r="F16" i="13" a="1"/>
  <c r="F16" i="13" s="1"/>
  <c r="F9" i="13" a="1"/>
  <c r="F9" i="13" s="1"/>
  <c r="F10" i="13" a="1"/>
  <c r="F10" i="13" s="1"/>
  <c r="F5" i="13" a="1"/>
  <c r="F5" i="13" s="1"/>
  <c r="F4" i="13" a="1"/>
  <c r="F4" i="13" s="1"/>
  <c r="F8" i="13" a="1"/>
  <c r="F8" i="13" s="1"/>
  <c r="F2" i="13" a="1"/>
  <c r="F2" i="13" s="1"/>
  <c r="F7" i="13" a="1"/>
  <c r="F7" i="13" s="1"/>
  <c r="F3" i="13" a="1"/>
  <c r="F3" i="13" s="1"/>
  <c r="F6" i="13" a="1"/>
  <c r="F6" i="13" s="1"/>
  <c r="J8" i="17"/>
  <c r="F7" i="17"/>
  <c r="F2" i="17"/>
  <c r="C21" i="17"/>
  <c r="D20" i="17"/>
  <c r="D22" i="17"/>
  <c r="J18" i="17"/>
  <c r="F10" i="17"/>
  <c r="F5" i="17"/>
  <c r="H11" i="17"/>
  <c r="G11" i="17"/>
  <c r="J10" i="17"/>
  <c r="B4" i="17"/>
  <c r="C14" i="17"/>
  <c r="D9" i="17"/>
  <c r="D15" i="17"/>
  <c r="C6" i="17"/>
  <c r="J11" i="17"/>
  <c r="F11" i="17"/>
  <c r="G10" i="17"/>
  <c r="B15" i="17"/>
  <c r="D21" i="17"/>
  <c r="D23" i="17"/>
  <c r="B8" i="17"/>
  <c r="C22" i="17"/>
  <c r="A15" i="17"/>
  <c r="G8" i="17"/>
  <c r="H7" i="17"/>
  <c r="B16" i="17"/>
  <c r="B7" i="17"/>
  <c r="J12" i="17"/>
  <c r="H13" i="17"/>
  <c r="B2" i="17"/>
  <c r="H14" i="17"/>
  <c r="F8" i="17"/>
  <c r="J9" i="17"/>
  <c r="G6" i="17"/>
  <c r="A3" i="17"/>
  <c r="D10" i="17"/>
  <c r="C16" i="17"/>
  <c r="D16" i="17"/>
  <c r="J14" i="17"/>
  <c r="J19" i="17"/>
  <c r="I18" i="17"/>
  <c r="G3" i="17"/>
  <c r="B18" i="17"/>
  <c r="G4" i="17"/>
  <c r="A18" i="17"/>
  <c r="F3" i="17"/>
  <c r="G14" i="17"/>
  <c r="C10" i="17"/>
  <c r="B21" i="17"/>
  <c r="I22" i="17"/>
  <c r="I15" i="17"/>
  <c r="G7" i="17"/>
  <c r="C18" i="17"/>
  <c r="J17" i="17"/>
  <c r="A11" i="17"/>
  <c r="A9" i="17"/>
  <c r="I14" i="17"/>
  <c r="E2" i="17"/>
  <c r="H9" i="17"/>
  <c r="B20" i="17"/>
  <c r="C3" i="17"/>
  <c r="A13" i="17"/>
  <c r="A5" i="17"/>
  <c r="I9" i="17"/>
  <c r="H5" i="17"/>
  <c r="J13" i="17"/>
  <c r="H10" i="17"/>
  <c r="D7" i="17"/>
  <c r="D13" i="17"/>
  <c r="E4" i="17"/>
  <c r="F6" i="17"/>
  <c r="B9" i="17"/>
  <c r="J21" i="17"/>
  <c r="C8" i="17"/>
  <c r="D3" i="17"/>
  <c r="D11" i="17"/>
  <c r="J20" i="17"/>
  <c r="C11" i="17"/>
  <c r="I8" i="17"/>
  <c r="B14" i="17"/>
  <c r="B11" i="17"/>
  <c r="D14" i="17"/>
  <c r="H15" i="17"/>
  <c r="D6" i="17"/>
  <c r="B10" i="17"/>
  <c r="A4" i="17"/>
  <c r="I16" i="17"/>
  <c r="H8" i="17"/>
  <c r="F4" i="17"/>
  <c r="C7" i="17"/>
  <c r="A17" i="17"/>
  <c r="B3" i="17"/>
  <c r="D8" i="17"/>
  <c r="I4" i="17"/>
  <c r="A8" i="17"/>
  <c r="I21" i="17"/>
  <c r="D18" i="17"/>
  <c r="G12" i="17"/>
  <c r="B19" i="17"/>
  <c r="I5" i="17"/>
  <c r="I12" i="17"/>
  <c r="C9" i="17"/>
  <c r="H12" i="17"/>
  <c r="G13" i="17"/>
  <c r="D4" i="17"/>
  <c r="J15" i="17"/>
  <c r="H4" i="17"/>
  <c r="A2" i="17"/>
  <c r="J7" i="17"/>
  <c r="I11" i="17"/>
  <c r="D5" i="17"/>
  <c r="J6" i="17"/>
  <c r="I10" i="17"/>
  <c r="G5" i="17"/>
  <c r="G16" i="17"/>
  <c r="I2" i="17"/>
  <c r="A20" i="17"/>
  <c r="J3" i="17"/>
  <c r="C19" i="17"/>
  <c r="A10" i="17"/>
  <c r="B22" i="17"/>
  <c r="G9" i="17"/>
  <c r="G21" i="17"/>
  <c r="D12" i="17"/>
  <c r="A21" i="17"/>
  <c r="I3" i="17"/>
  <c r="I13" i="17"/>
  <c r="H3" i="17"/>
  <c r="A6" i="17"/>
  <c r="C15" i="17"/>
  <c r="A19" i="17"/>
  <c r="I20" i="17"/>
  <c r="A16" i="17"/>
  <c r="J16" i="17"/>
  <c r="I19" i="17"/>
  <c r="A14" i="17"/>
  <c r="X196" i="13" l="1"/>
  <c r="X188" i="13"/>
  <c r="X193" i="13"/>
  <c r="X192" i="13"/>
  <c r="X195" i="13"/>
  <c r="X194" i="13"/>
  <c r="X190" i="13"/>
  <c r="X189" i="13"/>
  <c r="X191" i="13"/>
  <c r="X187" i="13"/>
  <c r="X182" i="13"/>
  <c r="X184" i="13"/>
  <c r="X186" i="13"/>
  <c r="X185" i="13"/>
  <c r="X183" i="13"/>
  <c r="X177" i="13"/>
  <c r="X178" i="13"/>
  <c r="X179" i="13"/>
  <c r="X181" i="13"/>
  <c r="X180" i="13"/>
  <c r="X176" i="13"/>
  <c r="X175" i="13"/>
  <c r="X174" i="13"/>
  <c r="X173" i="13"/>
  <c r="X172" i="13"/>
  <c r="X171" i="13"/>
  <c r="X169" i="13"/>
  <c r="X170" i="13"/>
  <c r="X167" i="13"/>
  <c r="X168" i="13"/>
  <c r="X165" i="13"/>
  <c r="X166" i="13"/>
  <c r="X163" i="13"/>
  <c r="X164" i="13"/>
  <c r="X162" i="13"/>
  <c r="X161" i="13"/>
  <c r="X157" i="13"/>
  <c r="X160" i="13"/>
  <c r="X159" i="13"/>
  <c r="X158" i="13"/>
  <c r="X156" i="13"/>
  <c r="X153" i="13"/>
  <c r="X154" i="13"/>
  <c r="X155" i="13"/>
  <c r="X148" i="13"/>
  <c r="X149" i="13"/>
  <c r="X151" i="13"/>
  <c r="X152" i="13"/>
  <c r="X150" i="13"/>
  <c r="X147" i="13"/>
  <c r="X143" i="13"/>
  <c r="X144" i="13"/>
  <c r="X145" i="13"/>
  <c r="X146" i="13"/>
  <c r="X138" i="13"/>
  <c r="X141" i="13"/>
  <c r="X142" i="13"/>
  <c r="X140" i="13"/>
  <c r="X139" i="13"/>
  <c r="X135" i="13"/>
  <c r="X136" i="13"/>
  <c r="X137" i="13"/>
  <c r="X134" i="13"/>
  <c r="X133" i="13"/>
  <c r="X130" i="13"/>
  <c r="X132" i="13"/>
  <c r="X131" i="13"/>
  <c r="X54" i="13"/>
  <c r="X12" i="13"/>
  <c r="X28" i="13"/>
  <c r="X34" i="13"/>
  <c r="X56" i="13"/>
  <c r="X95" i="13"/>
  <c r="X107" i="13"/>
  <c r="X5" i="13"/>
  <c r="X11" i="13"/>
  <c r="X27" i="13"/>
  <c r="X37" i="13"/>
  <c r="X48" i="13"/>
  <c r="X64" i="13"/>
  <c r="X97" i="13"/>
  <c r="X106" i="13"/>
  <c r="X25" i="13"/>
  <c r="X43" i="13"/>
  <c r="X46" i="13"/>
  <c r="X73" i="13"/>
  <c r="X96" i="13"/>
  <c r="X108" i="13"/>
  <c r="X10" i="13"/>
  <c r="X22" i="13"/>
  <c r="X24" i="13"/>
  <c r="X40" i="13"/>
  <c r="X53" i="13"/>
  <c r="X68" i="13"/>
  <c r="X79" i="13"/>
  <c r="X121" i="13"/>
  <c r="X9" i="13"/>
  <c r="X18" i="13"/>
  <c r="X30" i="13"/>
  <c r="X41" i="13"/>
  <c r="X57" i="13"/>
  <c r="X77" i="13"/>
  <c r="X85" i="13"/>
  <c r="X99" i="13"/>
  <c r="X122" i="13"/>
  <c r="X6" i="13"/>
  <c r="X21" i="13"/>
  <c r="X32" i="13"/>
  <c r="X66" i="13"/>
  <c r="X74" i="13"/>
  <c r="X87" i="13"/>
  <c r="X112" i="13"/>
  <c r="X123" i="13"/>
  <c r="X20" i="13"/>
  <c r="X31" i="13"/>
  <c r="X55" i="13"/>
  <c r="X45" i="13"/>
  <c r="X58" i="13"/>
  <c r="X69" i="13"/>
  <c r="X100" i="13"/>
  <c r="X111" i="13"/>
  <c r="X124" i="13"/>
  <c r="X3" i="13"/>
  <c r="X16" i="13"/>
  <c r="X19" i="13"/>
  <c r="X33" i="13"/>
  <c r="X51" i="13"/>
  <c r="X47" i="13"/>
  <c r="X71" i="13"/>
  <c r="X89" i="13"/>
  <c r="X102" i="13"/>
  <c r="X113" i="13"/>
  <c r="X125" i="13"/>
  <c r="X8" i="13"/>
  <c r="X17" i="13"/>
  <c r="X39" i="13"/>
  <c r="X42" i="13"/>
  <c r="X49" i="13"/>
  <c r="X67" i="13"/>
  <c r="X76" i="13"/>
  <c r="X90" i="13"/>
  <c r="X101" i="13"/>
  <c r="X117" i="13"/>
  <c r="X129" i="13"/>
  <c r="X7" i="13"/>
  <c r="X4" i="13"/>
  <c r="X13" i="13"/>
  <c r="X23" i="13"/>
  <c r="X36" i="13"/>
  <c r="X70" i="13"/>
  <c r="X91" i="13"/>
  <c r="X104" i="13"/>
  <c r="X115" i="13"/>
  <c r="X128" i="13"/>
  <c r="X2" i="13"/>
  <c r="X15" i="13"/>
  <c r="X26" i="13"/>
  <c r="X35" i="13"/>
  <c r="X52" i="13"/>
  <c r="X50" i="13"/>
  <c r="X65" i="13"/>
  <c r="X72" i="13"/>
  <c r="X80" i="13"/>
  <c r="X103" i="13"/>
  <c r="X116" i="13"/>
  <c r="X127" i="13"/>
  <c r="X14" i="13"/>
  <c r="X29" i="13"/>
  <c r="X38" i="13"/>
  <c r="X44" i="13"/>
  <c r="X59" i="13"/>
  <c r="X75" i="13"/>
  <c r="X81" i="13"/>
  <c r="X105" i="13"/>
  <c r="X114" i="13"/>
  <c r="X126" i="13"/>
  <c r="X62" i="13"/>
  <c r="X93" i="13"/>
  <c r="X92" i="13"/>
  <c r="X61" i="13"/>
  <c r="X78" i="13"/>
  <c r="X83" i="13"/>
  <c r="X119" i="13"/>
  <c r="X84" i="13"/>
  <c r="X118" i="13"/>
  <c r="X82" i="13"/>
  <c r="X120" i="13"/>
  <c r="X86" i="13"/>
  <c r="X94" i="13"/>
  <c r="X109" i="13"/>
  <c r="X110" i="13"/>
  <c r="X60" i="13"/>
  <c r="X98" i="13"/>
  <c r="X88" i="13"/>
  <c r="X6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<sst xmlns="http://schemas.openxmlformats.org/spreadsheetml/2006/main" count="5755" uniqueCount="367">
  <si>
    <t>Column1</t>
  </si>
  <si>
    <t>FPSO</t>
  </si>
  <si>
    <t>Tag Ponto</t>
  </si>
  <si>
    <t>Tipo de Coleta</t>
  </si>
  <si>
    <t>Números - Coletas</t>
  </si>
  <si>
    <t>Coleta - Prevista</t>
  </si>
  <si>
    <t>Coleta - Realizado</t>
  </si>
  <si>
    <t>Desembarque - Previsto</t>
  </si>
  <si>
    <t>Desembarque - Realizado</t>
  </si>
  <si>
    <t>Identificação OSM</t>
  </si>
  <si>
    <t>Laboratório - Previsto</t>
  </si>
  <si>
    <t>Laboratório - Realizado</t>
  </si>
  <si>
    <t>Laudo - Previsto</t>
  </si>
  <si>
    <t>Laudo - Realizado</t>
  </si>
  <si>
    <t>CV - Previsto</t>
  </si>
  <si>
    <t>CV - Realizado</t>
  </si>
  <si>
    <t>Status Coleta</t>
  </si>
  <si>
    <t>Laudo Nº</t>
  </si>
  <si>
    <t>Observações</t>
  </si>
  <si>
    <t>Cor</t>
  </si>
  <si>
    <t>Mitigado?</t>
  </si>
  <si>
    <t>Forçar Data Prevista</t>
  </si>
  <si>
    <t>LOOKUP</t>
  </si>
  <si>
    <t>DueToday</t>
  </si>
  <si>
    <t>CDA</t>
  </si>
  <si>
    <t>Poço 7-BAZ-03</t>
  </si>
  <si>
    <t>Poço CG</t>
  </si>
  <si>
    <t>Poço fechado</t>
  </si>
  <si>
    <t>Não</t>
  </si>
  <si>
    <t>Poço PVT</t>
  </si>
  <si>
    <t>Poço 7-JUB-34</t>
  </si>
  <si>
    <t>CDI</t>
  </si>
  <si>
    <t>Poço SPH-15 (P-1)</t>
  </si>
  <si>
    <t>Poço 6-BAZ-01</t>
  </si>
  <si>
    <t>CDS</t>
  </si>
  <si>
    <t>Poço LL-07 (P-03)</t>
  </si>
  <si>
    <t>005/24</t>
  </si>
  <si>
    <t>Aprovado</t>
  </si>
  <si>
    <t>CDP</t>
  </si>
  <si>
    <t>Poço LL-119 (P-02)</t>
  </si>
  <si>
    <t>002/25</t>
  </si>
  <si>
    <t>Poço LL-15 (P-3)</t>
  </si>
  <si>
    <t>008/25</t>
  </si>
  <si>
    <t>Poço LL-59 (P-10)</t>
  </si>
  <si>
    <t>020/25</t>
  </si>
  <si>
    <t>Não tinha container a bordo.</t>
  </si>
  <si>
    <t>CDM</t>
  </si>
  <si>
    <t>Poço LL-87 (P-14)</t>
  </si>
  <si>
    <t>Poço LL-66 (P-09)</t>
  </si>
  <si>
    <t>017/25</t>
  </si>
  <si>
    <t>Poço LL-28 (P-1)</t>
  </si>
  <si>
    <t>010/25</t>
  </si>
  <si>
    <t>SEP</t>
  </si>
  <si>
    <t>Poço MRO-27  P-8</t>
  </si>
  <si>
    <t>006/25</t>
  </si>
  <si>
    <t>Poço TUP-128 (P-06)</t>
  </si>
  <si>
    <t>047/25</t>
  </si>
  <si>
    <t>Poço MRO-18D P-5</t>
  </si>
  <si>
    <t>007/25</t>
  </si>
  <si>
    <t>Poço LL-11 (P-5)</t>
  </si>
  <si>
    <t>024/25</t>
  </si>
  <si>
    <t>Poço LL-91 (P-02)</t>
  </si>
  <si>
    <t>030/25</t>
  </si>
  <si>
    <t>Poço LL-48 (P-01)</t>
  </si>
  <si>
    <t>062/25</t>
  </si>
  <si>
    <t>Poço LL-22 (P-8)</t>
  </si>
  <si>
    <t>032/25</t>
  </si>
  <si>
    <t>Poço LL-81 (P-09)</t>
  </si>
  <si>
    <t>031/25</t>
  </si>
  <si>
    <t>T73-AP-0001 (Gas Lift)</t>
  </si>
  <si>
    <t>Gas Lift</t>
  </si>
  <si>
    <t>T77-FT-0103 (Fuel Gas)</t>
  </si>
  <si>
    <t>Fiscal</t>
  </si>
  <si>
    <t>T74-AX-6911 (Export Gas)</t>
  </si>
  <si>
    <t>T76-FT-0014 (HP Flare)</t>
  </si>
  <si>
    <t>T76-FT-0034 (LP Flare)</t>
  </si>
  <si>
    <t>M74-FT-005 (Export gas)</t>
  </si>
  <si>
    <t>001/25</t>
  </si>
  <si>
    <t>T77-FT-001 (Fuel Gas)</t>
  </si>
  <si>
    <t>Poço SPH-14 (P-6)</t>
  </si>
  <si>
    <t>022/25</t>
  </si>
  <si>
    <t>Reprovado</t>
  </si>
  <si>
    <t>Excesso de contaminação com ar atmosférico que resultou em teor de oxigênio acima de 0,5%. Além disso, diferença relativa do fator composicional acima de 2% em comparação as duas últimas amostras aprovadas.</t>
  </si>
  <si>
    <t>Poço MRO-16 P-2</t>
  </si>
  <si>
    <t>015/25</t>
  </si>
  <si>
    <t>Poço SPH-17 (P-9)</t>
  </si>
  <si>
    <t>Excesso de contaminação com ar atmosférico que resultou em teor de oxigênio acima de 0,5%.</t>
  </si>
  <si>
    <t>Poço SPH-8 (P-4)</t>
  </si>
  <si>
    <t>027/25</t>
  </si>
  <si>
    <t>Poço LL-46 (P-01)</t>
  </si>
  <si>
    <t>033/25</t>
  </si>
  <si>
    <t>Poço LL-80 (P-08)</t>
  </si>
  <si>
    <t>Poço LL-12 (P-05)</t>
  </si>
  <si>
    <t>Poço LL-61 (P-16)</t>
  </si>
  <si>
    <t>073/25</t>
  </si>
  <si>
    <t>Poço SPH-20 (P-5)</t>
  </si>
  <si>
    <t>Poço TUP-120 (P-7)</t>
  </si>
  <si>
    <t>035/25</t>
  </si>
  <si>
    <t>T74-FT-6701 (Export Gas)</t>
  </si>
  <si>
    <t>T73-AP-0016 (Gas Lift)</t>
  </si>
  <si>
    <t>Poço JUB-63</t>
  </si>
  <si>
    <t>Poço 7-BAZ-04</t>
  </si>
  <si>
    <t>Poço BAZ-09</t>
  </si>
  <si>
    <t>014/25</t>
  </si>
  <si>
    <t>Poço MRO-17 P-3</t>
  </si>
  <si>
    <t>Poço SPH-16 (P-7)</t>
  </si>
  <si>
    <t>028/25</t>
  </si>
  <si>
    <t>Poço SPH-7 (P-3)</t>
  </si>
  <si>
    <t>Poço SPH-6 (P-10)</t>
  </si>
  <si>
    <t>Poço LL-106 (P-16)</t>
  </si>
  <si>
    <t>025/25</t>
  </si>
  <si>
    <t>Poço 3-RJS-739A P-6</t>
  </si>
  <si>
    <t>776-AP-0006 (HP Flare)</t>
  </si>
  <si>
    <t>776-AP-0030 (LP Flare)</t>
  </si>
  <si>
    <t>777-AP-1104 (Fuel Gas)</t>
  </si>
  <si>
    <t>771-AP-0221 (Flare Assist)</t>
  </si>
  <si>
    <t>Poço LL-58 (P-03)</t>
  </si>
  <si>
    <t>Atraso de um dia devido a falta de disponibilidade de motoristas na GT.</t>
  </si>
  <si>
    <t>083/25</t>
  </si>
  <si>
    <t>046/25</t>
  </si>
  <si>
    <t>051/25</t>
  </si>
  <si>
    <t>773-AP-0011 (Gas Lift Total)</t>
  </si>
  <si>
    <t>T77-FT-6911 (Export gas)</t>
  </si>
  <si>
    <t>Poço P-10</t>
  </si>
  <si>
    <t>054/25</t>
  </si>
  <si>
    <t>T74-FT-6901 (Export Gas)</t>
  </si>
  <si>
    <t>050/25</t>
  </si>
  <si>
    <t>Carta Falha.</t>
  </si>
  <si>
    <t>103/25</t>
  </si>
  <si>
    <t>090/25</t>
  </si>
  <si>
    <t>052/25</t>
  </si>
  <si>
    <t>Quantidade de amostra insuficiente.</t>
  </si>
  <si>
    <t>034/25</t>
  </si>
  <si>
    <t>Invalidado por alto teor de N2.</t>
  </si>
  <si>
    <t>011/25</t>
  </si>
  <si>
    <t>Invalidada por alto teor de N2.</t>
  </si>
  <si>
    <t>029/25</t>
  </si>
  <si>
    <t>070/25</t>
  </si>
  <si>
    <t>130/25</t>
  </si>
  <si>
    <t>Variação significativa do teor de N2 com relação às amostras anteriores e ao valor médio.</t>
  </si>
  <si>
    <t>132/25</t>
  </si>
  <si>
    <t>042/25</t>
  </si>
  <si>
    <t>064/25</t>
  </si>
  <si>
    <t>Amostra Insuficiente</t>
  </si>
  <si>
    <t>162/25</t>
  </si>
  <si>
    <t>ATD</t>
  </si>
  <si>
    <t>777-AP-1403 (Fuel Gas to Flare Stack)</t>
  </si>
  <si>
    <t>777-AP-1506 (Fuel Gas)</t>
  </si>
  <si>
    <t>776-AP-0018-2 (HP Flare)</t>
  </si>
  <si>
    <t>776-AP-0036-2 (LP Flare)</t>
  </si>
  <si>
    <t>Contaminação por ar atmosférico.</t>
  </si>
  <si>
    <t>776-AP-7001 (Flare Assist)</t>
  </si>
  <si>
    <t>Amostra INVALIDADA por percentual elevado de N2.</t>
  </si>
  <si>
    <t>Amostra INVALIDADA por densidade fora do critério.</t>
  </si>
  <si>
    <t>075/25</t>
  </si>
  <si>
    <t>142/25</t>
  </si>
  <si>
    <t>018/25</t>
  </si>
  <si>
    <t>045/25</t>
  </si>
  <si>
    <t>048/25</t>
  </si>
  <si>
    <t>053/25</t>
  </si>
  <si>
    <t>Reabertura de poço.</t>
  </si>
  <si>
    <t>155/25</t>
  </si>
  <si>
    <t>Densidade Relativa 20°C/1 atm (Real, Seca) fora dos limites máximos e mímimos</t>
  </si>
  <si>
    <t>044/25</t>
  </si>
  <si>
    <t>Amostra reprovada conforme os requisitos do RL-3A00.00-6250-850-PMF-001 com base nos valores de FE (item 3.4) e RS (item 3.4) e em comparação com os últimos seis resultados válidos. Abertura recente do poço com um BS&amp;W de chegada significativamente maior e óleo com viscosidade bastante elevada.</t>
  </si>
  <si>
    <t>176/25</t>
  </si>
  <si>
    <t>Poço 7-BUZ-74D-RJS (P-5)</t>
  </si>
  <si>
    <t>067/25</t>
  </si>
  <si>
    <t>078/25</t>
  </si>
  <si>
    <t>085/25</t>
  </si>
  <si>
    <t>077/25</t>
  </si>
  <si>
    <t>186/25</t>
  </si>
  <si>
    <t>091/25</t>
  </si>
  <si>
    <t>057/25</t>
  </si>
  <si>
    <t>Sistema SAP Petrobras estava impedindo a criação de novas RTs</t>
  </si>
  <si>
    <t>093/25</t>
  </si>
  <si>
    <t>063/25</t>
  </si>
  <si>
    <t>Amostra invalidada devido a indícios de contaminação de ar.</t>
  </si>
  <si>
    <t>208/25</t>
  </si>
  <si>
    <t>099/25</t>
  </si>
  <si>
    <t>Amostra reprovada devido contaminação com ar atmosférico.</t>
  </si>
  <si>
    <t>222/25</t>
  </si>
  <si>
    <t>O gasoduto está fora de operação devido a indisponibilidade da ESDV submarina.</t>
  </si>
  <si>
    <t>055/25</t>
  </si>
  <si>
    <t>Apesar dos Parâmetros atenderem aos requisitos do PE-3UBS-01258, a avaliação das condições de processo indica que o poço teve abertura de zona (situação transiente), com a expectativa de voltar a condição anterior com brevidade</t>
  </si>
  <si>
    <t>100/25</t>
  </si>
  <si>
    <t>101/25</t>
  </si>
  <si>
    <t>038/25</t>
  </si>
  <si>
    <t>110/25</t>
  </si>
  <si>
    <t>Poço 7-BUZ-70D-RJS (P-1)</t>
  </si>
  <si>
    <t>Razão de Solubilidade fora dos limites máximos e mínimos calculados</t>
  </si>
  <si>
    <t>105/25</t>
  </si>
  <si>
    <t>ADG</t>
  </si>
  <si>
    <t>776-AP-0026 (LP Flare)</t>
  </si>
  <si>
    <t>777-AP-1212 (Fuel Gas)</t>
  </si>
  <si>
    <t>771-AP-0225 (Flare Assist)</t>
  </si>
  <si>
    <t>Poço MRO-24 (P-06)</t>
  </si>
  <si>
    <t>089/25</t>
  </si>
  <si>
    <t>066/25</t>
  </si>
  <si>
    <t>242/25</t>
  </si>
  <si>
    <t>124/25</t>
  </si>
  <si>
    <t>Invalidado por alto teor de N2</t>
  </si>
  <si>
    <t>Poço 7-BUZ-87D-RJS (P-4)</t>
  </si>
  <si>
    <t>117/25</t>
  </si>
  <si>
    <t>134/25</t>
  </si>
  <si>
    <t>087/25</t>
  </si>
  <si>
    <t>060/25</t>
  </si>
  <si>
    <t>259/25</t>
  </si>
  <si>
    <t>061/25</t>
  </si>
  <si>
    <t>126/25</t>
  </si>
  <si>
    <t>227/25</t>
  </si>
  <si>
    <t>Invadidada por alto teor de N2.</t>
  </si>
  <si>
    <t>Poço 7-BUZ-85D-RJS (P-7)</t>
  </si>
  <si>
    <t>123/25</t>
  </si>
  <si>
    <t>121/25</t>
  </si>
  <si>
    <t>098/25</t>
  </si>
  <si>
    <t>094/25</t>
  </si>
  <si>
    <t>113/25</t>
  </si>
  <si>
    <t>056/25</t>
  </si>
  <si>
    <t>129/25</t>
  </si>
  <si>
    <t>773-AP-0014 (Gas Lift)</t>
  </si>
  <si>
    <t>Poço 9-RJS-716 (P-6)</t>
  </si>
  <si>
    <t>146/25</t>
  </si>
  <si>
    <t>141/25</t>
  </si>
  <si>
    <t>289/25</t>
  </si>
  <si>
    <t>108/25</t>
  </si>
  <si>
    <t>Poço RJS-677 (P-04)</t>
  </si>
  <si>
    <t>140/25</t>
  </si>
  <si>
    <t>303/25</t>
  </si>
  <si>
    <t>156/25</t>
  </si>
  <si>
    <t>Poço TUP-132 (P-08)</t>
  </si>
  <si>
    <t>266/25</t>
  </si>
  <si>
    <t>Condições de mar não permitiram o desembarque imediato.</t>
  </si>
  <si>
    <t>148/25</t>
  </si>
  <si>
    <t>163/25</t>
  </si>
  <si>
    <t>307/25</t>
  </si>
  <si>
    <t>349/25</t>
  </si>
  <si>
    <t>006/26</t>
  </si>
  <si>
    <t>Pendente</t>
  </si>
  <si>
    <t>112/25</t>
  </si>
  <si>
    <t>072/25</t>
  </si>
  <si>
    <t>336/25</t>
  </si>
  <si>
    <t>138/25</t>
  </si>
  <si>
    <t>144/25</t>
  </si>
  <si>
    <t>340/25</t>
  </si>
  <si>
    <t>118/25</t>
  </si>
  <si>
    <t>008/26</t>
  </si>
  <si>
    <t>170/25</t>
  </si>
  <si>
    <t>147/25</t>
  </si>
  <si>
    <t>Poço 7-BUZ-41D-RJS (PWAG1)</t>
  </si>
  <si>
    <t>152/25</t>
  </si>
  <si>
    <t>007/26</t>
  </si>
  <si>
    <t>004/26</t>
  </si>
  <si>
    <t>002/26</t>
  </si>
  <si>
    <t>011/26</t>
  </si>
  <si>
    <t>122/25</t>
  </si>
  <si>
    <t>Embarque previsto 26 - 29</t>
  </si>
  <si>
    <t>114/25</t>
  </si>
  <si>
    <t>Embarque previsto 13/12 a 16/12</t>
  </si>
  <si>
    <t>Embarque previsto 15/12 a 18/12</t>
  </si>
  <si>
    <t>Embarque previsto 20/12 a 23/12</t>
  </si>
  <si>
    <t>Poço TUP-127 (P-05)</t>
  </si>
  <si>
    <t>Poço MRO-37 (P-10)</t>
  </si>
  <si>
    <t>001/26</t>
  </si>
  <si>
    <t>Números - Coleta</t>
  </si>
  <si>
    <t>Laudo nº2</t>
  </si>
  <si>
    <t>771-AP-0102 (HP Separator)</t>
  </si>
  <si>
    <t>Operacional</t>
  </si>
  <si>
    <t>771-AP-0123 (FWKO Drum)</t>
  </si>
  <si>
    <t>771-AP-0202 (IP Flash Vessel)</t>
  </si>
  <si>
    <t>771-AP-0213 (LP Degasser)</t>
  </si>
  <si>
    <t>T71-AP-0173 (LP Degasser)</t>
  </si>
  <si>
    <t>T71-AP-0176 (HP Separator)</t>
  </si>
  <si>
    <t>T71-AP-0163 (IP Flash Vessel)</t>
  </si>
  <si>
    <t>T75-AP-3109 (CO2 to Flare)</t>
  </si>
  <si>
    <t>T75-AP-1109 (Injection Gas)</t>
  </si>
  <si>
    <t>T71-SP-372 HP-A (CG)</t>
  </si>
  <si>
    <t>T62-SP-159 HP-A (PVT)</t>
  </si>
  <si>
    <t>T71-SP-376 HP-B (CG)</t>
  </si>
  <si>
    <t>T62-SP-149 HP-B (PVT)</t>
  </si>
  <si>
    <t>PST-223 2º SEP</t>
  </si>
  <si>
    <t>775-AP-6008 (Gas de Injeção)</t>
  </si>
  <si>
    <t>F64-AT-002A - Offloading</t>
  </si>
  <si>
    <t>016/25</t>
  </si>
  <si>
    <t>T75-AX-1139 (Injection Gas)</t>
  </si>
  <si>
    <t>T71-AX-0102 (HP Separator)</t>
  </si>
  <si>
    <t>T71-AX-0202 (IP Flash Vessel)</t>
  </si>
  <si>
    <t>T71-AX-0204 (LP Degasser)</t>
  </si>
  <si>
    <t>772-AP-1710 (Gas Dehydration)</t>
  </si>
  <si>
    <t>777-AP-1211 (Flare Pilot)</t>
  </si>
  <si>
    <t>T71-AX-0402 (LP Degasser)</t>
  </si>
  <si>
    <t>T75-AP-1139 (Injection Gas)</t>
  </si>
  <si>
    <t>Não houve situações anormais que justifiquem a alteração.</t>
  </si>
  <si>
    <t>Variação do Fator Composicional (FC) fora dos limites de aceitação de +-2,00%</t>
  </si>
  <si>
    <t>Teor de nitrogênio acima da média.</t>
  </si>
  <si>
    <t>Reprovada de de acordo com o procedimento PE-3UBS-01258 e planta de processo estável.</t>
  </si>
  <si>
    <t>Cargo Tank</t>
  </si>
  <si>
    <t>Óleo - Enxofre</t>
  </si>
  <si>
    <t>T62-AP-1111 (Oil Fiscal)</t>
  </si>
  <si>
    <t>Oil Fiscal</t>
  </si>
  <si>
    <t>102/2025</t>
  </si>
  <si>
    <t>662-AP-1005 (Oil Fiscal)</t>
  </si>
  <si>
    <t>662-AP-0162 (FWKO Drum)</t>
  </si>
  <si>
    <t>Óleo - Densidade</t>
  </si>
  <si>
    <t>Composição significativamente diferente em comparação ao histórico das últimas amostras aprovadas.</t>
  </si>
  <si>
    <t>771-AP-0202A (IP Degasser A)</t>
  </si>
  <si>
    <t>771-AP-0253A (LP Degasser A)</t>
  </si>
  <si>
    <t>T62-AP-0124 (Operational Oil)</t>
  </si>
  <si>
    <t>771-AP-0712A (FWKO Drum A)</t>
  </si>
  <si>
    <t>772-AP-1710-1 (Gas Dehydration)</t>
  </si>
  <si>
    <t>771-AP-0712B (FWKO Drum B)</t>
  </si>
  <si>
    <t>771-AP-0202B (IP Degasser B)</t>
  </si>
  <si>
    <t>771-AP-0253B (LP Degasser B)</t>
  </si>
  <si>
    <t>775-AP-6008 (Gas Injection)</t>
  </si>
  <si>
    <t>662-AP-0106 (FWKO Drum)</t>
  </si>
  <si>
    <t>667-AP-2297 (FWKO Drum)</t>
  </si>
  <si>
    <t>775-AP-6014 (Gas Injection)</t>
  </si>
  <si>
    <t>ESS</t>
  </si>
  <si>
    <t>CPX</t>
  </si>
  <si>
    <t>Atualizado em 09/12/2021</t>
  </si>
  <si>
    <t>Poços fechados</t>
  </si>
  <si>
    <t>Poço LL-85 (P-05)</t>
  </si>
  <si>
    <t>Poço LL-84 (P-06)</t>
  </si>
  <si>
    <t>Poço LL-17 (P-04)</t>
  </si>
  <si>
    <t>Poço BFR-03</t>
  </si>
  <si>
    <t>Poço BAZ-06</t>
  </si>
  <si>
    <t>Poço LL-63 (P-02)</t>
  </si>
  <si>
    <t>Poço SPS-69 (P-2)</t>
  </si>
  <si>
    <t>Poço RJS-674 (P-6)</t>
  </si>
  <si>
    <t>Poço BAZ-10</t>
  </si>
  <si>
    <t>Poço 7-PRB-01</t>
  </si>
  <si>
    <t>Poço LL-19 (P-02)</t>
  </si>
  <si>
    <t>T74-FX-061(Export Gas)</t>
  </si>
  <si>
    <t xml:space="preserve">T77-FX-041 (Fuel Gas) </t>
  </si>
  <si>
    <t>T76-FT-001 (HP Flare)</t>
  </si>
  <si>
    <t>T76-FT-002 (HP Flare)</t>
  </si>
  <si>
    <t>T76-FX-010 (HP Flare)</t>
  </si>
  <si>
    <t>T76-FT-011 (LP Flare)</t>
  </si>
  <si>
    <t>T76-FT-012 (LP Flare)</t>
  </si>
  <si>
    <t>T77-FT-6951 (Import gas)</t>
  </si>
  <si>
    <t>T76-FX-020 (LP Flare)</t>
  </si>
  <si>
    <t>M74-FT-100 (Export Gas)</t>
  </si>
  <si>
    <t>T74-AX-6951 (Import Gas)</t>
  </si>
  <si>
    <t>T77-FT-6951 (Import Gas)</t>
  </si>
  <si>
    <t>T74-FT-6751 (Import Gas)</t>
  </si>
  <si>
    <t>T74-FX-072 (Import Gas)</t>
  </si>
  <si>
    <t>T71-SP-067 LP-Separator</t>
  </si>
  <si>
    <t>T71-SP-232 HP-Separator</t>
  </si>
  <si>
    <t>Poço CHT-05</t>
  </si>
  <si>
    <t>Poço CHT-07</t>
  </si>
  <si>
    <t>Poço CHT-9H</t>
  </si>
  <si>
    <t/>
  </si>
  <si>
    <t>Poço BFR-01</t>
  </si>
  <si>
    <t>Poço JUB-45</t>
  </si>
  <si>
    <t>Sunday</t>
  </si>
  <si>
    <t>Thursday</t>
  </si>
  <si>
    <t>Monday</t>
  </si>
  <si>
    <t>Tuesday</t>
  </si>
  <si>
    <t>Wednesday</t>
  </si>
  <si>
    <t>Friday</t>
  </si>
  <si>
    <t>Saturday</t>
  </si>
  <si>
    <t>x</t>
  </si>
  <si>
    <t>Inserir os feriados antes do "X"</t>
  </si>
  <si>
    <t xml:space="preserve"> </t>
  </si>
  <si>
    <t>015/26</t>
  </si>
  <si>
    <t>Relatório teve que ser revisado.</t>
  </si>
  <si>
    <t>014/26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</si>
</sst>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name val="Arial"/>
      <family val="2"/>
    </font>
    <font>
      <sz val="10"/>
      <name val="Segoe UI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14" fontId="0" fillId="0" borderId="2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2" fillId="0" borderId="0" xfId="0" applyFont="1" applyAlignment="1">
      <alignment vertical="center" wrapText="1"/>
    </xf>
    <xf numFmtId="14" fontId="2" fillId="0" borderId="0" xfId="0" applyNumberFormat="1" applyFont="1" applyAlignment="1">
      <alignment vertical="center" wrapText="1"/>
    </xf>
    <xf numFmtId="0" fontId="0" fillId="0" borderId="5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4" fontId="0" fillId="4" borderId="5" xfId="0" applyNumberForma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1" fillId="0" borderId="2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center"/>
    </xf>
    <xf numFmtId="14" fontId="1" fillId="0" borderId="5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3" borderId="3" xfId="0" applyFill="1" applyBorder="1" applyProtection="1">
      <protection locked="0"/>
    </xf>
    <xf numFmtId="14" fontId="2" fillId="2" borderId="0" xfId="0" applyNumberFormat="1" applyFont="1" applyFill="1" applyAlignment="1">
      <alignment vertical="center" wrapText="1"/>
    </xf>
    <xf numFmtId="14" fontId="0" fillId="0" borderId="3" xfId="0" applyNumberForma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3" borderId="2" xfId="0" applyFill="1" applyBorder="1" applyProtection="1">
      <protection locked="0"/>
    </xf>
    <xf numFmtId="0" fontId="1" fillId="3" borderId="2" xfId="0" applyFont="1" applyFill="1" applyBorder="1" applyProtection="1">
      <protection locked="0"/>
    </xf>
    <xf numFmtId="14" fontId="0" fillId="0" borderId="4" xfId="0" applyNumberFormat="1" applyBorder="1" applyAlignment="1">
      <alignment horizontal="center"/>
    </xf>
    <xf numFmtId="0" fontId="0" fillId="3" borderId="5" xfId="0" applyFill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4" fontId="1" fillId="0" borderId="7" xfId="0" applyNumberFormat="1" applyFont="1" applyBorder="1" applyAlignment="1">
      <alignment horizontal="center"/>
    </xf>
    <xf numFmtId="0" fontId="1" fillId="3" borderId="5" xfId="0" applyFont="1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1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" fontId="0" fillId="0" borderId="0" xfId="0" applyNumberFormat="1"/>
    <xf numFmtId="0" fontId="3" fillId="6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1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3" borderId="5" xfId="0" applyFont="1" applyFill="1" applyBorder="1" applyAlignment="1" applyProtection="1">
      <alignment wrapText="1"/>
      <protection locked="0"/>
    </xf>
    <xf numFmtId="0" fontId="1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/>
    </xf>
  </cellXfs>
  <cellStyles count="1"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fgColor theme="0"/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</font>
      <fill>
        <patternFill>
          <bgColor rgb="FFFFFF99"/>
        </patternFill>
      </fill>
    </dxf>
    <dxf>
      <font>
        <b/>
        <i val="0"/>
        <color rgb="FFFF0000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1"/>
      </font>
      <fill>
        <patternFill>
          <bgColor theme="0" tint="-0.24994659260841701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theme="1" tint="0.499984740745262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C00000"/>
      </font>
    </dxf>
    <dxf>
      <font>
        <b val="0"/>
        <i val="0"/>
      </font>
      <fill>
        <patternFill>
          <bgColor rgb="FFFFFF99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D1"/>
      <color rgb="FFF3FC9E"/>
      <color rgb="FFF584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76200</xdr:rowOff>
        </xdr:from>
        <xdr:to>
          <xdr:col>1</xdr:col>
          <xdr:colOff>622300</xdr:colOff>
          <xdr:row>0</xdr:row>
          <xdr:rowOff>342900</xdr:rowOff>
        </xdr:to>
        <xdr:sp macro="" textlink="">
          <xdr:nvSpPr>
            <xdr:cNvPr id="845838" name="CDA" hidden="1">
              <a:extLst>
                <a:ext uri="{63B3BB69-23CF-44E3-9099-C40C66FF867C}">
                  <a14:compatExt spid="_x0000_s845838"/>
                </a:ext>
                <a:ext uri="{FF2B5EF4-FFF2-40B4-BE49-F238E27FC236}">
                  <a16:creationId xmlns:a16="http://schemas.microsoft.com/office/drawing/2014/main" id="{00000000-0008-0000-0000-00000E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660400</xdr:colOff>
          <xdr:row>0</xdr:row>
          <xdr:rowOff>69850</xdr:rowOff>
        </xdr:from>
        <xdr:to>
          <xdr:col>2</xdr:col>
          <xdr:colOff>381000</xdr:colOff>
          <xdr:row>0</xdr:row>
          <xdr:rowOff>355600</xdr:rowOff>
        </xdr:to>
        <xdr:sp macro="" textlink="">
          <xdr:nvSpPr>
            <xdr:cNvPr id="845839" name="CDP" hidden="1">
              <a:extLst>
                <a:ext uri="{63B3BB69-23CF-44E3-9099-C40C66FF867C}">
                  <a14:compatExt spid="_x0000_s845839"/>
                </a:ext>
                <a:ext uri="{FF2B5EF4-FFF2-40B4-BE49-F238E27FC236}">
                  <a16:creationId xmlns:a16="http://schemas.microsoft.com/office/drawing/2014/main" id="{00000000-0008-0000-0000-00000F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69850</xdr:rowOff>
        </xdr:from>
        <xdr:to>
          <xdr:col>2</xdr:col>
          <xdr:colOff>965200</xdr:colOff>
          <xdr:row>0</xdr:row>
          <xdr:rowOff>355600</xdr:rowOff>
        </xdr:to>
        <xdr:sp macro="" textlink="">
          <xdr:nvSpPr>
            <xdr:cNvPr id="845840" name="CDI" hidden="1">
              <a:extLst>
                <a:ext uri="{63B3BB69-23CF-44E3-9099-C40C66FF867C}">
                  <a14:compatExt spid="_x0000_s845840"/>
                </a:ext>
                <a:ext uri="{FF2B5EF4-FFF2-40B4-BE49-F238E27FC236}">
                  <a16:creationId xmlns:a16="http://schemas.microsoft.com/office/drawing/2014/main" id="{00000000-0008-0000-0000-000010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0</xdr:row>
          <xdr:rowOff>69850</xdr:rowOff>
        </xdr:from>
        <xdr:to>
          <xdr:col>3</xdr:col>
          <xdr:colOff>12700</xdr:colOff>
          <xdr:row>0</xdr:row>
          <xdr:rowOff>355600</xdr:rowOff>
        </xdr:to>
        <xdr:sp macro="" textlink="">
          <xdr:nvSpPr>
            <xdr:cNvPr id="845841" name="CDM" hidden="1">
              <a:extLst>
                <a:ext uri="{63B3BB69-23CF-44E3-9099-C40C66FF867C}">
                  <a14:compatExt spid="_x0000_s845841"/>
                </a:ext>
                <a:ext uri="{FF2B5EF4-FFF2-40B4-BE49-F238E27FC236}">
                  <a16:creationId xmlns:a16="http://schemas.microsoft.com/office/drawing/2014/main" id="{00000000-0008-0000-0000-000011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69850</xdr:rowOff>
        </xdr:from>
        <xdr:to>
          <xdr:col>3</xdr:col>
          <xdr:colOff>603250</xdr:colOff>
          <xdr:row>0</xdr:row>
          <xdr:rowOff>355600</xdr:rowOff>
        </xdr:to>
        <xdr:sp macro="" textlink="">
          <xdr:nvSpPr>
            <xdr:cNvPr id="845842" name="CDS" hidden="1">
              <a:extLst>
                <a:ext uri="{63B3BB69-23CF-44E3-9099-C40C66FF867C}">
                  <a14:compatExt spid="_x0000_s845842"/>
                </a:ext>
                <a:ext uri="{FF2B5EF4-FFF2-40B4-BE49-F238E27FC236}">
                  <a16:creationId xmlns:a16="http://schemas.microsoft.com/office/drawing/2014/main" id="{00000000-0008-0000-0000-000012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69850</xdr:rowOff>
        </xdr:from>
        <xdr:to>
          <xdr:col>4</xdr:col>
          <xdr:colOff>704850</xdr:colOff>
          <xdr:row>0</xdr:row>
          <xdr:rowOff>355600</xdr:rowOff>
        </xdr:to>
        <xdr:sp macro="" textlink="">
          <xdr:nvSpPr>
            <xdr:cNvPr id="845845" name="Limpar" hidden="1">
              <a:extLst>
                <a:ext uri="{63B3BB69-23CF-44E3-9099-C40C66FF867C}">
                  <a14:compatExt spid="_x0000_s845845"/>
                </a:ext>
                <a:ext uri="{FF2B5EF4-FFF2-40B4-BE49-F238E27FC236}">
                  <a16:creationId xmlns:a16="http://schemas.microsoft.com/office/drawing/2014/main" id="{00000000-0008-0000-0000-000015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6</xdr:col>
          <xdr:colOff>781050</xdr:colOff>
          <xdr:row>0</xdr:row>
          <xdr:rowOff>342900</xdr:rowOff>
        </xdr:to>
        <xdr:sp macro="" textlink="">
          <xdr:nvSpPr>
            <xdr:cNvPr id="845854" name="btnPendente1" hidden="1">
              <a:extLst>
                <a:ext uri="{63B3BB69-23CF-44E3-9099-C40C66FF867C}">
                  <a14:compatExt spid="_x0000_s845854"/>
                </a:ext>
                <a:ext uri="{FF2B5EF4-FFF2-40B4-BE49-F238E27FC236}">
                  <a16:creationId xmlns:a16="http://schemas.microsoft.com/office/drawing/2014/main" id="{00000000-0008-0000-0000-00001E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76200</xdr:rowOff>
        </xdr:from>
        <xdr:to>
          <xdr:col>6</xdr:col>
          <xdr:colOff>1447800</xdr:colOff>
          <xdr:row>0</xdr:row>
          <xdr:rowOff>342900</xdr:rowOff>
        </xdr:to>
        <xdr:sp macro="" textlink="">
          <xdr:nvSpPr>
            <xdr:cNvPr id="845863" name="btnAtraso1" hidden="1">
              <a:extLst>
                <a:ext uri="{63B3BB69-23CF-44E3-9099-C40C66FF867C}">
                  <a14:compatExt spid="_x0000_s845863"/>
                </a:ext>
                <a:ext uri="{FF2B5EF4-FFF2-40B4-BE49-F238E27FC236}">
                  <a16:creationId xmlns:a16="http://schemas.microsoft.com/office/drawing/2014/main" id="{00000000-0008-0000-0000-000027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0</xdr:row>
          <xdr:rowOff>76200</xdr:rowOff>
        </xdr:from>
        <xdr:to>
          <xdr:col>13</xdr:col>
          <xdr:colOff>990600</xdr:colOff>
          <xdr:row>0</xdr:row>
          <xdr:rowOff>342900</xdr:rowOff>
        </xdr:to>
        <xdr:sp macro="" textlink="">
          <xdr:nvSpPr>
            <xdr:cNvPr id="845864" name="btnPendente2" hidden="1">
              <a:extLst>
                <a:ext uri="{63B3BB69-23CF-44E3-9099-C40C66FF867C}">
                  <a14:compatExt spid="_x0000_s845864"/>
                </a:ext>
                <a:ext uri="{FF2B5EF4-FFF2-40B4-BE49-F238E27FC236}">
                  <a16:creationId xmlns:a16="http://schemas.microsoft.com/office/drawing/2014/main" id="{00000000-0008-0000-0000-000028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1028700</xdr:colOff>
          <xdr:row>0</xdr:row>
          <xdr:rowOff>76200</xdr:rowOff>
        </xdr:from>
        <xdr:to>
          <xdr:col>13</xdr:col>
          <xdr:colOff>1657350</xdr:colOff>
          <xdr:row>0</xdr:row>
          <xdr:rowOff>342900</xdr:rowOff>
        </xdr:to>
        <xdr:sp macro="" textlink="">
          <xdr:nvSpPr>
            <xdr:cNvPr id="845865" name="btnAtraso2" hidden="1">
              <a:extLst>
                <a:ext uri="{63B3BB69-23CF-44E3-9099-C40C66FF867C}">
                  <a14:compatExt spid="_x0000_s845865"/>
                </a:ext>
                <a:ext uri="{FF2B5EF4-FFF2-40B4-BE49-F238E27FC236}">
                  <a16:creationId xmlns:a16="http://schemas.microsoft.com/office/drawing/2014/main" id="{00000000-0008-0000-0000-000029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15</xdr:col>
          <xdr:colOff>876300</xdr:colOff>
          <xdr:row>0</xdr:row>
          <xdr:rowOff>361950</xdr:rowOff>
        </xdr:to>
        <xdr:sp macro="" textlink="">
          <xdr:nvSpPr>
            <xdr:cNvPr id="845866" name="btnPendente3" hidden="1">
              <a:extLst>
                <a:ext uri="{63B3BB69-23CF-44E3-9099-C40C66FF867C}">
                  <a14:compatExt spid="_x0000_s845866"/>
                </a:ext>
                <a:ext uri="{FF2B5EF4-FFF2-40B4-BE49-F238E27FC236}">
                  <a16:creationId xmlns:a16="http://schemas.microsoft.com/office/drawing/2014/main" id="{00000000-0008-0000-0000-00002A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914400</xdr:colOff>
          <xdr:row>0</xdr:row>
          <xdr:rowOff>76200</xdr:rowOff>
        </xdr:from>
        <xdr:to>
          <xdr:col>15</xdr:col>
          <xdr:colOff>1543050</xdr:colOff>
          <xdr:row>0</xdr:row>
          <xdr:rowOff>361950</xdr:rowOff>
        </xdr:to>
        <xdr:sp macro="" textlink="">
          <xdr:nvSpPr>
            <xdr:cNvPr id="845867" name="btnAtraso3" hidden="1">
              <a:extLst>
                <a:ext uri="{63B3BB69-23CF-44E3-9099-C40C66FF867C}">
                  <a14:compatExt spid="_x0000_s845867"/>
                </a:ext>
                <a:ext uri="{FF2B5EF4-FFF2-40B4-BE49-F238E27FC236}">
                  <a16:creationId xmlns:a16="http://schemas.microsoft.com/office/drawing/2014/main" id="{00000000-0008-0000-0000-00002B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0</xdr:row>
          <xdr:rowOff>76200</xdr:rowOff>
        </xdr:from>
        <xdr:to>
          <xdr:col>16</xdr:col>
          <xdr:colOff>990600</xdr:colOff>
          <xdr:row>0</xdr:row>
          <xdr:rowOff>361950</xdr:rowOff>
        </xdr:to>
        <xdr:sp macro="" textlink="">
          <xdr:nvSpPr>
            <xdr:cNvPr id="845887" name="btnPendente4" hidden="1">
              <a:extLst>
                <a:ext uri="{63B3BB69-23CF-44E3-9099-C40C66FF867C}">
                  <a14:compatExt spid="_x0000_s845887"/>
                </a:ext>
                <a:ext uri="{FF2B5EF4-FFF2-40B4-BE49-F238E27FC236}">
                  <a16:creationId xmlns:a16="http://schemas.microsoft.com/office/drawing/2014/main" id="{00000000-0008-0000-0000-00003F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641350</xdr:colOff>
          <xdr:row>0</xdr:row>
          <xdr:rowOff>76200</xdr:rowOff>
        </xdr:from>
        <xdr:to>
          <xdr:col>3</xdr:col>
          <xdr:colOff>1181100</xdr:colOff>
          <xdr:row>0</xdr:row>
          <xdr:rowOff>342900</xdr:rowOff>
        </xdr:to>
        <xdr:sp macro="" textlink="">
          <xdr:nvSpPr>
            <xdr:cNvPr id="845889" name="SEP" hidden="1">
              <a:extLst>
                <a:ext uri="{63B3BB69-23CF-44E3-9099-C40C66FF867C}">
                  <a14:compatExt spid="_x0000_s845889"/>
                </a:ext>
                <a:ext uri="{FF2B5EF4-FFF2-40B4-BE49-F238E27FC236}">
                  <a16:creationId xmlns:a16="http://schemas.microsoft.com/office/drawing/2014/main" id="{00000000-0008-0000-0000-000041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SEP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1809750</xdr:colOff>
          <xdr:row>0</xdr:row>
          <xdr:rowOff>76200</xdr:rowOff>
        </xdr:from>
        <xdr:to>
          <xdr:col>3</xdr:col>
          <xdr:colOff>2355850</xdr:colOff>
          <xdr:row>0</xdr:row>
          <xdr:rowOff>342900</xdr:rowOff>
        </xdr:to>
        <xdr:sp macro="" textlink="">
          <xdr:nvSpPr>
            <xdr:cNvPr id="845891" name="SEP" hidden="1">
              <a:extLst>
                <a:ext uri="{63B3BB69-23CF-44E3-9099-C40C66FF867C}">
                  <a14:compatExt spid="_x0000_s845891"/>
                </a:ext>
                <a:ext uri="{FF2B5EF4-FFF2-40B4-BE49-F238E27FC236}">
                  <a16:creationId xmlns:a16="http://schemas.microsoft.com/office/drawing/2014/main" id="{00000000-0008-0000-0000-000043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ADG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1219200</xdr:colOff>
          <xdr:row>0</xdr:row>
          <xdr:rowOff>76200</xdr:rowOff>
        </xdr:from>
        <xdr:to>
          <xdr:col>3</xdr:col>
          <xdr:colOff>1765300</xdr:colOff>
          <xdr:row>0</xdr:row>
          <xdr:rowOff>342900</xdr:rowOff>
        </xdr:to>
        <xdr:sp macro="" textlink="">
          <xdr:nvSpPr>
            <xdr:cNvPr id="845892" name="SEP" hidden="1">
              <a:extLst>
                <a:ext uri="{63B3BB69-23CF-44E3-9099-C40C66FF867C}">
                  <a14:compatExt spid="_x0000_s845892"/>
                </a:ext>
                <a:ext uri="{FF2B5EF4-FFF2-40B4-BE49-F238E27FC236}">
                  <a16:creationId xmlns:a16="http://schemas.microsoft.com/office/drawing/2014/main" id="{00000000-0008-0000-0000-000044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ATD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0</xdr:row>
          <xdr:rowOff>69850</xdr:rowOff>
        </xdr:from>
        <xdr:to>
          <xdr:col>2</xdr:col>
          <xdr:colOff>76200</xdr:colOff>
          <xdr:row>0</xdr:row>
          <xdr:rowOff>355600</xdr:rowOff>
        </xdr:to>
        <xdr:sp macro="" textlink="">
          <xdr:nvSpPr>
            <xdr:cNvPr id="1198084" name="CDA" hidden="1">
              <a:extLst>
                <a:ext uri="{63B3BB69-23CF-44E3-9099-C40C66FF867C}">
                  <a14:compatExt spid="_x0000_s1198084"/>
                </a:ext>
                <a:ext uri="{FF2B5EF4-FFF2-40B4-BE49-F238E27FC236}">
                  <a16:creationId xmlns:a16="http://schemas.microsoft.com/office/drawing/2014/main" id="{00000000-0008-0000-0100-000004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69850</xdr:rowOff>
        </xdr:from>
        <xdr:to>
          <xdr:col>2</xdr:col>
          <xdr:colOff>723900</xdr:colOff>
          <xdr:row>0</xdr:row>
          <xdr:rowOff>355600</xdr:rowOff>
        </xdr:to>
        <xdr:sp macro="" textlink="">
          <xdr:nvSpPr>
            <xdr:cNvPr id="1198085" name="CDP" hidden="1">
              <a:extLst>
                <a:ext uri="{63B3BB69-23CF-44E3-9099-C40C66FF867C}">
                  <a14:compatExt spid="_x0000_s1198085"/>
                </a:ext>
                <a:ext uri="{FF2B5EF4-FFF2-40B4-BE49-F238E27FC236}">
                  <a16:creationId xmlns:a16="http://schemas.microsoft.com/office/drawing/2014/main" id="{00000000-0008-0000-0100-000005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0</xdr:row>
          <xdr:rowOff>69850</xdr:rowOff>
        </xdr:from>
        <xdr:to>
          <xdr:col>2</xdr:col>
          <xdr:colOff>1384300</xdr:colOff>
          <xdr:row>0</xdr:row>
          <xdr:rowOff>355600</xdr:rowOff>
        </xdr:to>
        <xdr:sp macro="" textlink="">
          <xdr:nvSpPr>
            <xdr:cNvPr id="1198086" name="CDI" hidden="1">
              <a:extLst>
                <a:ext uri="{63B3BB69-23CF-44E3-9099-C40C66FF867C}">
                  <a14:compatExt spid="_x0000_s1198086"/>
                </a:ext>
                <a:ext uri="{FF2B5EF4-FFF2-40B4-BE49-F238E27FC236}">
                  <a16:creationId xmlns:a16="http://schemas.microsoft.com/office/drawing/2014/main" id="{00000000-0008-0000-0100-000006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1498600</xdr:colOff>
          <xdr:row>0</xdr:row>
          <xdr:rowOff>69850</xdr:rowOff>
        </xdr:from>
        <xdr:to>
          <xdr:col>3</xdr:col>
          <xdr:colOff>495300</xdr:colOff>
          <xdr:row>0</xdr:row>
          <xdr:rowOff>355600</xdr:rowOff>
        </xdr:to>
        <xdr:sp macro="" textlink="">
          <xdr:nvSpPr>
            <xdr:cNvPr id="1198087" name="CDM" hidden="1">
              <a:extLst>
                <a:ext uri="{63B3BB69-23CF-44E3-9099-C40C66FF867C}">
                  <a14:compatExt spid="_x0000_s1198087"/>
                </a:ext>
                <a:ext uri="{FF2B5EF4-FFF2-40B4-BE49-F238E27FC236}">
                  <a16:creationId xmlns:a16="http://schemas.microsoft.com/office/drawing/2014/main" id="{00000000-0008-0000-0100-000007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0</xdr:row>
          <xdr:rowOff>69850</xdr:rowOff>
        </xdr:from>
        <xdr:to>
          <xdr:col>3</xdr:col>
          <xdr:colOff>1155700</xdr:colOff>
          <xdr:row>0</xdr:row>
          <xdr:rowOff>355600</xdr:rowOff>
        </xdr:to>
        <xdr:sp macro="" textlink="">
          <xdr:nvSpPr>
            <xdr:cNvPr id="1198088" name="CDS" hidden="1">
              <a:extLst>
                <a:ext uri="{63B3BB69-23CF-44E3-9099-C40C66FF867C}">
                  <a14:compatExt spid="_x0000_s1198088"/>
                </a:ext>
                <a:ext uri="{FF2B5EF4-FFF2-40B4-BE49-F238E27FC236}">
                  <a16:creationId xmlns:a16="http://schemas.microsoft.com/office/drawing/2014/main" id="{00000000-0008-0000-0100-000008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57150</xdr:rowOff>
        </xdr:from>
        <xdr:to>
          <xdr:col>5</xdr:col>
          <xdr:colOff>628650</xdr:colOff>
          <xdr:row>0</xdr:row>
          <xdr:rowOff>342900</xdr:rowOff>
        </xdr:to>
        <xdr:sp macro="" textlink="">
          <xdr:nvSpPr>
            <xdr:cNvPr id="1198089" name="Limpar" hidden="1">
              <a:extLst>
                <a:ext uri="{63B3BB69-23CF-44E3-9099-C40C66FF867C}">
                  <a14:compatExt spid="_x0000_s1198089"/>
                </a:ext>
                <a:ext uri="{FF2B5EF4-FFF2-40B4-BE49-F238E27FC236}">
                  <a16:creationId xmlns:a16="http://schemas.microsoft.com/office/drawing/2014/main" id="{00000000-0008-0000-0100-000009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6</xdr:col>
          <xdr:colOff>819150</xdr:colOff>
          <xdr:row>0</xdr:row>
          <xdr:rowOff>323850</xdr:rowOff>
        </xdr:to>
        <xdr:sp macro="" textlink="">
          <xdr:nvSpPr>
            <xdr:cNvPr id="1198090" name="btnPendente1" hidden="1">
              <a:extLst>
                <a:ext uri="{63B3BB69-23CF-44E3-9099-C40C66FF867C}">
                  <a14:compatExt spid="_x0000_s1198090"/>
                </a:ext>
                <a:ext uri="{FF2B5EF4-FFF2-40B4-BE49-F238E27FC236}">
                  <a16:creationId xmlns:a16="http://schemas.microsoft.com/office/drawing/2014/main" id="{00000000-0008-0000-0100-00000A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857250</xdr:colOff>
          <xdr:row>0</xdr:row>
          <xdr:rowOff>38100</xdr:rowOff>
        </xdr:from>
        <xdr:to>
          <xdr:col>12</xdr:col>
          <xdr:colOff>19050</xdr:colOff>
          <xdr:row>0</xdr:row>
          <xdr:rowOff>323850</xdr:rowOff>
        </xdr:to>
        <xdr:sp macro="" textlink="">
          <xdr:nvSpPr>
            <xdr:cNvPr id="1198091" name="btnAtraso1" hidden="1">
              <a:extLst>
                <a:ext uri="{63B3BB69-23CF-44E3-9099-C40C66FF867C}">
                  <a14:compatExt spid="_x0000_s1198091"/>
                </a:ext>
                <a:ext uri="{FF2B5EF4-FFF2-40B4-BE49-F238E27FC236}">
                  <a16:creationId xmlns:a16="http://schemas.microsoft.com/office/drawing/2014/main" id="{00000000-0008-0000-0100-00000B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76200</xdr:rowOff>
        </xdr:from>
        <xdr:to>
          <xdr:col>13</xdr:col>
          <xdr:colOff>876300</xdr:colOff>
          <xdr:row>0</xdr:row>
          <xdr:rowOff>342900</xdr:rowOff>
        </xdr:to>
        <xdr:sp macro="" textlink="">
          <xdr:nvSpPr>
            <xdr:cNvPr id="1198092" name="btnPendente2" hidden="1">
              <a:extLst>
                <a:ext uri="{63B3BB69-23CF-44E3-9099-C40C66FF867C}">
                  <a14:compatExt spid="_x0000_s1198092"/>
                </a:ext>
                <a:ext uri="{FF2B5EF4-FFF2-40B4-BE49-F238E27FC236}">
                  <a16:creationId xmlns:a16="http://schemas.microsoft.com/office/drawing/2014/main" id="{00000000-0008-0000-0100-00000C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914400</xdr:colOff>
          <xdr:row>0</xdr:row>
          <xdr:rowOff>76200</xdr:rowOff>
        </xdr:from>
        <xdr:to>
          <xdr:col>13</xdr:col>
          <xdr:colOff>1543050</xdr:colOff>
          <xdr:row>0</xdr:row>
          <xdr:rowOff>342900</xdr:rowOff>
        </xdr:to>
        <xdr:sp macro="" textlink="">
          <xdr:nvSpPr>
            <xdr:cNvPr id="1198093" name="btnAtraso2" hidden="1">
              <a:extLst>
                <a:ext uri="{63B3BB69-23CF-44E3-9099-C40C66FF867C}">
                  <a14:compatExt spid="_x0000_s1198093"/>
                </a:ext>
                <a:ext uri="{FF2B5EF4-FFF2-40B4-BE49-F238E27FC236}">
                  <a16:creationId xmlns:a16="http://schemas.microsoft.com/office/drawing/2014/main" id="{00000000-0008-0000-0100-00000D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0</xdr:row>
          <xdr:rowOff>76200</xdr:rowOff>
        </xdr:from>
        <xdr:to>
          <xdr:col>15</xdr:col>
          <xdr:colOff>819150</xdr:colOff>
          <xdr:row>0</xdr:row>
          <xdr:rowOff>361950</xdr:rowOff>
        </xdr:to>
        <xdr:sp macro="" textlink="">
          <xdr:nvSpPr>
            <xdr:cNvPr id="1198094" name="btnPendente3" hidden="1">
              <a:extLst>
                <a:ext uri="{63B3BB69-23CF-44E3-9099-C40C66FF867C}">
                  <a14:compatExt spid="_x0000_s1198094"/>
                </a:ext>
                <a:ext uri="{FF2B5EF4-FFF2-40B4-BE49-F238E27FC236}">
                  <a16:creationId xmlns:a16="http://schemas.microsoft.com/office/drawing/2014/main" id="{00000000-0008-0000-0100-00000E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857250</xdr:colOff>
          <xdr:row>0</xdr:row>
          <xdr:rowOff>76200</xdr:rowOff>
        </xdr:from>
        <xdr:to>
          <xdr:col>15</xdr:col>
          <xdr:colOff>1485900</xdr:colOff>
          <xdr:row>0</xdr:row>
          <xdr:rowOff>361950</xdr:rowOff>
        </xdr:to>
        <xdr:sp macro="" textlink="">
          <xdr:nvSpPr>
            <xdr:cNvPr id="1198095" name="btnAtraso3" hidden="1">
              <a:extLst>
                <a:ext uri="{63B3BB69-23CF-44E3-9099-C40C66FF867C}">
                  <a14:compatExt spid="_x0000_s1198095"/>
                </a:ext>
                <a:ext uri="{FF2B5EF4-FFF2-40B4-BE49-F238E27FC236}">
                  <a16:creationId xmlns:a16="http://schemas.microsoft.com/office/drawing/2014/main" id="{00000000-0008-0000-0100-00000F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Urgente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0</xdr:row>
          <xdr:rowOff>76200</xdr:rowOff>
        </xdr:from>
        <xdr:to>
          <xdr:col>16</xdr:col>
          <xdr:colOff>1047750</xdr:colOff>
          <xdr:row>0</xdr:row>
          <xdr:rowOff>342900</xdr:rowOff>
        </xdr:to>
        <xdr:sp macro="" textlink="">
          <xdr:nvSpPr>
            <xdr:cNvPr id="1198096" name="btnPendente4" hidden="1">
              <a:extLst>
                <a:ext uri="{63B3BB69-23CF-44E3-9099-C40C66FF867C}">
                  <a14:compatExt spid="_x0000_s1198096"/>
                </a:ext>
                <a:ext uri="{FF2B5EF4-FFF2-40B4-BE49-F238E27FC236}">
                  <a16:creationId xmlns:a16="http://schemas.microsoft.com/office/drawing/2014/main" id="{00000000-0008-0000-0100-000010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Pendentes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1270000</xdr:colOff>
          <xdr:row>0</xdr:row>
          <xdr:rowOff>69850</xdr:rowOff>
        </xdr:from>
        <xdr:to>
          <xdr:col>3</xdr:col>
          <xdr:colOff>1803400</xdr:colOff>
          <xdr:row>0</xdr:row>
          <xdr:rowOff>355600</xdr:rowOff>
        </xdr:to>
        <xdr:sp macro="" textlink="">
          <xdr:nvSpPr>
            <xdr:cNvPr id="1198099" name="SEP" hidden="1">
              <a:extLst>
                <a:ext uri="{63B3BB69-23CF-44E3-9099-C40C66FF867C}">
                  <a14:compatExt spid="_x0000_s1198099"/>
                </a:ext>
                <a:ext uri="{FF2B5EF4-FFF2-40B4-BE49-F238E27FC236}">
                  <a16:creationId xmlns:a16="http://schemas.microsoft.com/office/drawing/2014/main" id="{00000000-0008-0000-0100-000013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SEP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69850</xdr:rowOff>
        </xdr:from>
        <xdr:to>
          <xdr:col>4</xdr:col>
          <xdr:colOff>552450</xdr:colOff>
          <xdr:row>0</xdr:row>
          <xdr:rowOff>355600</xdr:rowOff>
        </xdr:to>
        <xdr:sp macro="" textlink="">
          <xdr:nvSpPr>
            <xdr:cNvPr id="1198101" name="SEP" hidden="1">
              <a:extLst>
                <a:ext uri="{63B3BB69-23CF-44E3-9099-C40C66FF867C}">
                  <a14:compatExt spid="_x0000_s1198101"/>
                </a:ext>
                <a:ext uri="{FF2B5EF4-FFF2-40B4-BE49-F238E27FC236}">
                  <a16:creationId xmlns:a16="http://schemas.microsoft.com/office/drawing/2014/main" id="{00000000-0008-0000-0100-000015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0</xdr:row>
          <xdr:rowOff>69850</xdr:rowOff>
        </xdr:from>
        <xdr:to>
          <xdr:col>4</xdr:col>
          <xdr:colOff>1212850</xdr:colOff>
          <xdr:row>0</xdr:row>
          <xdr:rowOff>355600</xdr:rowOff>
        </xdr:to>
        <xdr:sp macro="" textlink="">
          <xdr:nvSpPr>
            <xdr:cNvPr id="1198102" name="SEP" hidden="1">
              <a:extLst>
                <a:ext uri="{63B3BB69-23CF-44E3-9099-C40C66FF867C}">
                  <a14:compatExt spid="_x0000_s1198102"/>
                </a:ext>
                <a:ext uri="{FF2B5EF4-FFF2-40B4-BE49-F238E27FC236}">
                  <a16:creationId xmlns:a16="http://schemas.microsoft.com/office/drawing/2014/main" id="{00000000-0008-0000-0100-000016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oletas" displayName="tblColetas" ref="A1:X1077" totalsRowShown="0" headerRowDxfId="73" headerRowBorderDxfId="72" tableBorderDxfId="71" totalsRowBorderDxfId="70">
  <autoFilter ref="A1:X1077" xr:uid="{00000000-0009-0000-0100-000001000000}"/>
  <tableColumns count="24">
    <tableColumn id="24" xr3:uid="{5452431E-4551-4FBB-B7D7-D54F18E3D345}" name="Column1" dataDxfId="69"/>
    <tableColumn id="1" xr3:uid="{00000000-0010-0000-0000-000001000000}" name="FPSO" dataDxfId="68"/>
    <tableColumn id="2" xr3:uid="{00000000-0010-0000-0000-000002000000}" name="Tag Ponto" dataDxfId="67"/>
    <tableColumn id="3" xr3:uid="{00000000-0010-0000-0000-000003000000}" name="Tipo de Coleta" dataDxfId="66"/>
    <tableColumn id="15" xr3:uid="{00000000-0010-0000-0000-00000F000000}" name="Números - Coletas" dataDxfId="65"/>
    <tableColumn id="4" xr3:uid="{00000000-0010-0000-0000-000004000000}" name="Coleta - Prevista" dataDxfId="64">
      <calculatedColumnFormula array="1">IF(V2 &lt;&gt; "", V2, IFERROR(_xlfn.SINGLE(INDEX($G$1:G1,SUMPRODUCT(MAX(($W$1:W1=W2)*(ROW($W$1:W1))))))+IF(D2="Fiscal",30,90),""))</calculatedColumnFormula>
    </tableColumn>
    <tableColumn id="5" xr3:uid="{00000000-0010-0000-0000-000005000000}" name="Coleta - Realizado" dataDxfId="63"/>
    <tableColumn id="20" xr3:uid="{A601231C-6C45-4249-9035-26153A6D126C}" name="Desembarque - Previsto" dataDxfId="62">
      <calculatedColumnFormula>IF(G2="","Erro", G2+10)</calculatedColumnFormula>
    </tableColumn>
    <tableColumn id="21" xr3:uid="{821FF3C3-2195-410F-B2BF-5A3838D30E6A}" name="Desembarque - Realizado" dataDxfId="61"/>
    <tableColumn id="18" xr3:uid="{DEC64715-1096-4CE2-AC87-B26698176A65}" name="Identificação OSM" dataDxfId="60"/>
    <tableColumn id="22" xr3:uid="{B0C09634-B1CA-48B6-88A7-E1CE535E9AA7}" name="Laboratório - Previsto" dataDxfId="59">
      <calculatedColumnFormula>IF(G2="","Erro",G2+20)</calculatedColumnFormula>
    </tableColumn>
    <tableColumn id="23" xr3:uid="{D101A6B6-09F4-41B0-9714-44727014C0C0}" name="Laboratório - Realizado" dataDxfId="58"/>
    <tableColumn id="6" xr3:uid="{00000000-0010-0000-0000-000006000000}" name="Laudo - Previsto" dataDxfId="57">
      <calculatedColumnFormula>IF(G2="","Erro",G2+IF(D2="Operacional",45,25))</calculatedColumnFormula>
    </tableColumn>
    <tableColumn id="7" xr3:uid="{00000000-0010-0000-0000-000007000000}" name="Laudo - Realizado" dataDxfId="56"/>
    <tableColumn id="8" xr3:uid="{00000000-0010-0000-0000-000008000000}" name="CV - Previsto" dataDxfId="55">
      <calculatedColumnFormula>IFERROR(IF(tblColetas[[#This Row],[Status Coleta]]="Reprovado","Reprovado",IF(ISERROR(SEARCH("Poço",D2)),IF(N2="","Erro",IF(Q2="Reprovado","",WORKDAY(N2,IF(D2="Operacional",10,3),FERIADOS!$A$3:$A$119))),"-")),"-")</calculatedColumnFormula>
    </tableColumn>
    <tableColumn id="9" xr3:uid="{00000000-0010-0000-0000-000009000000}" name="CV - Realizado" dataDxfId="54"/>
    <tableColumn id="12" xr3:uid="{00000000-0010-0000-0000-00000C000000}" name="Status Coleta" dataDxfId="53"/>
    <tableColumn id="16" xr3:uid="{00000000-0010-0000-0000-000010000000}" name="Laudo Nº" dataDxfId="52"/>
    <tableColumn id="10" xr3:uid="{00000000-0010-0000-0000-00000A000000}" name="Observações" dataDxfId="51"/>
    <tableColumn id="11" xr3:uid="{00000000-0010-0000-0000-00000B000000}" name="Cor" dataDxfId="50"/>
    <tableColumn id="14" xr3:uid="{F771F1AC-16E4-4638-818C-0FD878A064F1}" name="Mitigado?"/>
    <tableColumn id="17" xr3:uid="{58A370E2-34AA-4A65-AD19-2BAA15FB6BE9}" name="Forçar Data Prevista"/>
    <tableColumn id="13" xr3:uid="{00000000-0010-0000-0000-00000D000000}" name="LOOKUP" dataDxfId="49">
      <calculatedColumnFormula>B2&amp;C2&amp;D2</calculatedColumnFormula>
    </tableColumn>
    <tableColumn id="19" xr3:uid="{C52E8225-BB85-4898-86EC-BDD940629543}" name="DueToday" dataDxfId="48">
      <calculatedColumnFormula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Coletas4" displayName="tblColetas4" ref="A1:X204" totalsRowShown="0" headerRowDxfId="35" headerRowBorderDxfId="34" tableBorderDxfId="33" totalsRowBorderDxfId="32">
  <autoFilter ref="A1:X204" xr:uid="{00000000-0009-0000-0100-000003000000}"/>
  <tableColumns count="24">
    <tableColumn id="18" xr3:uid="{B36C73F3-2DA0-4003-818A-9AAB5C81BA90}" name="Column1" dataDxfId="31"/>
    <tableColumn id="1" xr3:uid="{00000000-0010-0000-0100-000001000000}" name="FPSO" dataDxfId="30"/>
    <tableColumn id="2" xr3:uid="{00000000-0010-0000-0100-000002000000}" name="Tag Ponto" dataDxfId="29"/>
    <tableColumn id="3" xr3:uid="{00000000-0010-0000-0100-000003000000}" name="Tipo de Coleta" dataDxfId="28"/>
    <tableColumn id="14" xr3:uid="{00000000-0010-0000-0100-00000E000000}" name="Números - Coleta" dataDxfId="27"/>
    <tableColumn id="4" xr3:uid="{00000000-0010-0000-0100-000004000000}" name="Coleta - Prevista" dataDxfId="26">
      <calculatedColumnFormula array="1">IF(V2 &lt;&gt; "", V2,
  IF(NOT(ISERROR(SEARCH("Poço", D2))),
    IF(G2 = "", "", G2),
    IFERROR(_xlfn.SINGLE(INDEX($G$1:G1, SUMPRODUCT(MAX(($W$1:W1 = W2) * ROW($W$1:W1))))) +
      IF(
      D2 = "Fiscal", 30,
        IF(D2 = "Óleo - Densidade", IF(OR(B2 = "SEP", B2 = "ATD", B2 = "ADG"), 90, 365),
          IF(D2 = "Óleo - Enxofre", 365, 180)
        )
      ),
      ""
    )
  )
)</calculatedColumnFormula>
    </tableColumn>
    <tableColumn id="5" xr3:uid="{00000000-0010-0000-0100-000005000000}" name="Coleta - Realizado" dataDxfId="25"/>
    <tableColumn id="31" xr3:uid="{8B77FDCC-FFD0-4F19-B0B8-08EA2AAEFCCF}" name="Desembarque - Previsto" dataDxfId="24">
      <calculatedColumnFormula>IF(G2="","Erro",IF(D2="Óleo - Densidade", "NA", G2+10))</calculatedColumnFormula>
    </tableColumn>
    <tableColumn id="33" xr3:uid="{A5AAADB9-B6B3-421E-A192-E387B76B5509}" name="Desembarque - Realizado" dataDxfId="23"/>
    <tableColumn id="34" xr3:uid="{87A6B5DB-634A-4D7F-9881-321FE840C2C3}" name="Identificação OSM" dataDxfId="22"/>
    <tableColumn id="32" xr3:uid="{09C4F377-8C17-4CE9-9F6F-A11AC1F09421}" name="Laboratório - Previsto" dataDxfId="21">
      <calculatedColumnFormula>IF(G2="","Erro",IF(D2="Óleo - Densidade", "NA", G2+20))</calculatedColumnFormula>
    </tableColumn>
    <tableColumn id="30" xr3:uid="{17F92963-D65D-4213-86FE-5D146AD72D6E}" name="Laboratório - Realizado" dataDxfId="20"/>
    <tableColumn id="6" xr3:uid="{00000000-0010-0000-0100-000006000000}" name="Laudo - Previsto" dataDxfId="19">
      <calculatedColumnFormula>IF(G2="","Erro",G2+IF(D2="Fiscal",25,IF(D2="Óleo - Densidade", 1, IF(D2="Óleo - Enxofre", 25, 45))))</calculatedColumnFormula>
    </tableColumn>
    <tableColumn id="7" xr3:uid="{00000000-0010-0000-0100-000007000000}" name="Laudo - Realizado" dataDxfId="18"/>
    <tableColumn id="8" xr3:uid="{00000000-0010-0000-0100-000008000000}" name="CV - Previsto" dataDxfId="17">
      <calculatedColumnFormula>IF(ISERROR(SEARCH("Poço",D2)),IF(N2="","Erro",IF(Q2="Reprovado","Reprovado",IF(D2="Operacional", WORKDAY(N2,10,FERIADOS!$A$3:$A$119),IF(D2="Óleo - Enxofre", "NA", G2+3)))),"")</calculatedColumnFormula>
    </tableColumn>
    <tableColumn id="9" xr3:uid="{00000000-0010-0000-0100-000009000000}" name="CV - Realizado" dataDxfId="16"/>
    <tableColumn id="12" xr3:uid="{00000000-0010-0000-0100-00000C000000}" name="Status Coleta" dataDxfId="15"/>
    <tableColumn id="16" xr3:uid="{00000000-0010-0000-0100-000010000000}" name="Laudo nº2" dataDxfId="14"/>
    <tableColumn id="10" xr3:uid="{00000000-0010-0000-0100-00000A000000}" name="Observações" dataDxfId="13"/>
    <tableColumn id="11" xr3:uid="{00000000-0010-0000-0100-00000B000000}" name="Cor" dataDxfId="12"/>
    <tableColumn id="15" xr3:uid="{0885D439-F51C-4468-80D8-A8B72660DF11}" name="Mitigado?"/>
    <tableColumn id="20" xr3:uid="{47B2E89C-0CD5-4087-BDBF-668B33BDB90C}" name="Forçar Data Prevista"/>
    <tableColumn id="13" xr3:uid="{00000000-0010-0000-0100-00000D000000}" name="LOOKUP" dataDxfId="11">
      <calculatedColumnFormula>B2&amp;C2</calculatedColumnFormula>
    </tableColumn>
    <tableColumn id="17" xr3:uid="{AB96AC62-66E4-48A1-A84C-70AB226C9CBD}" name="DueToday" dataDxfId="10">
      <calculatedColumnFormula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4DDDA3-2898-4931-92E2-61AD8CB055ED}" name="tblPocos" displayName="tblPocos" ref="A29:J35" totalsRowShown="0" headerRowDxfId="5">
  <autoFilter ref="A29:J35" xr:uid="{5B6CD000-DB89-4D55-A65D-459EC3F48FCC}"/>
  <tableColumns count="10">
    <tableColumn id="1" xr3:uid="{7020C333-9CB6-4F30-BE08-496DE6F977FC}" name="CDS"/>
    <tableColumn id="2" xr3:uid="{B3E22ECD-4AA3-42F3-9E2A-24904681449E}" name="CDM"/>
    <tableColumn id="3" xr3:uid="{1D7178FB-7186-47CE-8950-36176EC5EB4B}" name="CDI"/>
    <tableColumn id="4" xr3:uid="{BF679B53-637E-47B6-B237-A0E5446B1651}" name="CDP"/>
    <tableColumn id="5" xr3:uid="{9DA8FB2A-8E2E-47A1-8177-0F5007E03AF0}" name="ESS"/>
    <tableColumn id="6" xr3:uid="{B5E97377-CADE-4EA1-9C95-5B452802F706}" name="CPX" dataDxfId="4"/>
    <tableColumn id="8" xr3:uid="{FEF195DF-11A0-47C9-98A8-81B36AE7D8CE}" name="CDA" dataDxfId="3"/>
    <tableColumn id="10" xr3:uid="{B7BF7741-0ED1-4351-9089-CDD717A51BE4}" name="ADG" dataDxfId="2"/>
    <tableColumn id="9" xr3:uid="{A1FBFE75-0795-4154-BDAA-518EAF2FDC05}" name="ATD" dataDxfId="1"/>
    <tableColumn id="7" xr3:uid="{5CB2C2C0-4188-49A8-8204-928FED08611C}" name="SE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Pontos" displayName="tblPontos" ref="A1:J24" totalsRowShown="0" headerRowDxfId="0">
  <autoFilter ref="A1:J24" xr:uid="{00000000-0009-0000-0100-000002000000}"/>
  <tableColumns count="10">
    <tableColumn id="4" xr3:uid="{00000000-0010-0000-0200-000004000000}" name="CDS"/>
    <tableColumn id="5" xr3:uid="{00000000-0010-0000-0200-000005000000}" name="CDM"/>
    <tableColumn id="6" xr3:uid="{00000000-0010-0000-0200-000006000000}" name="CDI"/>
    <tableColumn id="7" xr3:uid="{00000000-0010-0000-0200-000007000000}" name="CDP"/>
    <tableColumn id="8" xr3:uid="{00000000-0010-0000-0200-000008000000}" name="ESS"/>
    <tableColumn id="9" xr3:uid="{00000000-0010-0000-0200-000009000000}" name="CPX"/>
    <tableColumn id="2" xr3:uid="{DD55C8F5-89A0-459D-B563-95AAD0ED173A}" name="CDA"/>
    <tableColumn id="3" xr3:uid="{5BFD20D3-4E29-48CD-94FB-1780B584EB85}" name="ADG"/>
    <tableColumn id="1" xr3:uid="{5B2FEFAB-E98A-46A0-AF79-C0C022CDB5BE}" name="ATD"/>
    <tableColumn id="10" xr3:uid="{00000000-0010-0000-0200-00000A000000}" name="SE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9.xml"/><Relationship Id="rId20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X1077"/>
  <sheetViews>
    <sheetView showGridLines="0" zoomScaleNormal="100" zoomScaleSheetLayoutView="89" workbookViewId="0">
      <selection activeCell="C1010" sqref="C1009:C1010"/>
    </sheetView>
  </sheetViews>
  <sheetFormatPr defaultColWidth="18.7265625" defaultRowHeight="12.75" customHeight="1" x14ac:dyDescent="0.25"/>
  <cols>
    <col min="1" max="1" width="1" customWidth="1"/>
    <col min="2" max="2" width="32.81640625" customWidth="1"/>
    <col min="3" max="3" width="35.54296875" bestFit="1" customWidth="1"/>
    <col min="4" max="4" width="38.453125" customWidth="1"/>
    <col min="5" max="5" width="23.54296875" customWidth="1"/>
    <col min="6" max="6" width="22.26953125" customWidth="1"/>
    <col min="7" max="7" width="22.1796875" customWidth="1"/>
    <col min="8" max="8" width="27.81640625" customWidth="1"/>
    <col min="9" max="10" width="28.7265625" customWidth="1"/>
    <col min="11" max="11" width="25.54296875" customWidth="1"/>
    <col min="12" max="12" width="26.54296875" customWidth="1"/>
    <col min="13" max="13" width="22.453125" customWidth="1"/>
    <col min="14" max="14" width="29" bestFit="1" customWidth="1"/>
    <col min="15" max="15" width="21.453125" customWidth="1"/>
    <col min="16" max="16" width="24" customWidth="1"/>
    <col min="17" max="18" width="17.7265625" customWidth="1"/>
    <col min="19" max="19" width="169.26953125" bestFit="1" customWidth="1"/>
    <col min="20" max="20" width="16" customWidth="1"/>
    <col min="21" max="21" width="15.54296875" bestFit="1" customWidth="1"/>
    <col min="22" max="22" width="43" bestFit="1" customWidth="1"/>
    <col min="23" max="23" width="16.81640625" customWidth="1"/>
    <col min="24" max="24" width="9.1796875" customWidth="1"/>
  </cols>
  <sheetData>
    <row r="1" spans="1:24" ht="45" customHeight="1" x14ac:dyDescent="0.25">
      <c r="A1" s="49" t="s">
        <v>0</v>
      </c>
      <c r="B1" s="48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41" t="s">
        <v>17</v>
      </c>
      <c r="S1" s="41" t="s">
        <v>18</v>
      </c>
      <c r="T1" s="26" t="s">
        <v>19</v>
      </c>
      <c r="U1" s="26" t="s">
        <v>20</v>
      </c>
      <c r="V1" s="26" t="s">
        <v>21</v>
      </c>
      <c r="W1" s="26" t="s">
        <v>22</v>
      </c>
      <c r="X1" s="26" t="s">
        <v>23</v>
      </c>
    </row>
    <row r="2" spans="1:24" ht="12.5" x14ac:dyDescent="0.25">
      <c r="A2" s="10"/>
      <c r="B2" s="19" t="s">
        <v>24</v>
      </c>
      <c r="C2" s="5" t="s">
        <v>25</v>
      </c>
      <c r="D2" s="20" t="s">
        <v>26</v>
      </c>
      <c r="E2" s="35"/>
      <c r="F2" s="29" t="str" cm="1">
        <f t="array" ref="F2">IF(V2 &lt;&gt; "", V2, IFERROR(_xlfn.SINGLE(INDEX($G$1:G1,SUMPRODUCT(MAX(($W$1:W1=W2)*(ROW($W$1:W1))))))+IF(D2="Fiscal",30,90),""))</f>
        <v/>
      </c>
      <c r="G2" s="21"/>
      <c r="H2" s="15" t="str">
        <f t="shared" ref="H2:H3" si="0">IF(G2="","Erro", G2+10)</f>
        <v>Erro</v>
      </c>
      <c r="I2" s="15"/>
      <c r="J2" s="32"/>
      <c r="K2" s="15" t="str">
        <f t="shared" ref="K2:K3" si="1">IF(G2="","Erro",G2+20)</f>
        <v>Erro</v>
      </c>
      <c r="L2" s="15"/>
      <c r="M2" s="15" t="str">
        <f t="shared" ref="M2:M3" si="2">IF(G2="","Erro",G2+IF(D2="Operacional",45,25))</f>
        <v>Erro</v>
      </c>
      <c r="N2" s="13"/>
      <c r="O2" s="2" t="str">
        <f>IFERROR(IF(tblColetas[[#This Row],[Status Coleta]]="Reprovado","Reprovado",IF(ISERROR(SEARCH("Poço",D2)),IF(N2="","Erro",IF(Q2="Reprovado","",WORKDAY(N2,IF(D2="Operacional",10,3),FERIADOS!$A$3:$A$119))),"-")),"-")</f>
        <v>-</v>
      </c>
      <c r="P2" s="21"/>
      <c r="Q2" s="7"/>
      <c r="R2" s="13"/>
      <c r="S2" s="30" t="s">
        <v>27</v>
      </c>
      <c r="T2" s="43"/>
      <c r="U2" s="22" t="s">
        <v>28</v>
      </c>
      <c r="W2" t="str">
        <f t="shared" ref="W2:W3" si="3">B2&amp;C2&amp;D2</f>
        <v>CDAPoço 7-BAZ-03Poço CG</v>
      </c>
      <c r="X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" spans="1:24" ht="12.5" x14ac:dyDescent="0.25">
      <c r="A3" s="10"/>
      <c r="B3" s="19" t="s">
        <v>24</v>
      </c>
      <c r="C3" s="5" t="s">
        <v>25</v>
      </c>
      <c r="D3" s="20" t="s">
        <v>29</v>
      </c>
      <c r="E3" s="35"/>
      <c r="F3" s="29" t="str" cm="1">
        <f t="array" ref="F3">IF(V3 &lt;&gt; "", V3, IFERROR(_xlfn.SINGLE(INDEX($G$1:G2,SUMPRODUCT(MAX(($W$1:W2=W3)*(ROW($W$1:W2))))))+IF(D3="Fiscal",30,90),""))</f>
        <v/>
      </c>
      <c r="G3" s="21"/>
      <c r="H3" s="15" t="str">
        <f t="shared" si="0"/>
        <v>Erro</v>
      </c>
      <c r="I3" s="15"/>
      <c r="J3" s="32"/>
      <c r="K3" s="15" t="str">
        <f t="shared" si="1"/>
        <v>Erro</v>
      </c>
      <c r="L3" s="15"/>
      <c r="M3" s="15" t="str">
        <f t="shared" si="2"/>
        <v>Erro</v>
      </c>
      <c r="N3" s="13"/>
      <c r="O3" s="2" t="str">
        <f>IFERROR(IF(tblColetas[[#This Row],[Status Coleta]]="Reprovado","Reprovado",IF(ISERROR(SEARCH("Poço",D3)),IF(N3="","Erro",IF(Q3="Reprovado","",WORKDAY(N3,IF(D3="Operacional",10,3),FERIADOS!$A$3:$A$119))),"-")),"-")</f>
        <v>-</v>
      </c>
      <c r="P3" s="21"/>
      <c r="Q3" s="7"/>
      <c r="R3" s="13"/>
      <c r="S3" s="30" t="s">
        <v>27</v>
      </c>
      <c r="T3" s="43"/>
      <c r="U3" s="22" t="s">
        <v>28</v>
      </c>
      <c r="W3" t="str">
        <f t="shared" si="3"/>
        <v>CDAPoço 7-BAZ-03Poço PVT</v>
      </c>
      <c r="X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" spans="1:24" ht="12.5" x14ac:dyDescent="0.25">
      <c r="A4" s="10"/>
      <c r="B4" s="19" t="s">
        <v>24</v>
      </c>
      <c r="C4" s="5" t="s">
        <v>30</v>
      </c>
      <c r="D4" s="20" t="s">
        <v>26</v>
      </c>
      <c r="E4" s="35"/>
      <c r="F4" s="29" t="str" cm="1">
        <f t="array" ref="F4">IF(V4 &lt;&gt; "", V4, IFERROR(_xlfn.SINGLE(INDEX($G$1:G3,SUMPRODUCT(MAX(($W$1:W3=W4)*(ROW($W$1:W3))))))+IF(D4="Fiscal",30,90),""))</f>
        <v/>
      </c>
      <c r="G4" s="21"/>
      <c r="H4" s="15" t="str">
        <f t="shared" ref="H4:H5" si="4">IF(G4="","Erro", G4+10)</f>
        <v>Erro</v>
      </c>
      <c r="I4" s="15"/>
      <c r="J4" s="32"/>
      <c r="K4" s="15" t="str">
        <f t="shared" ref="K4:K5" si="5">IF(G4="","Erro",G4+20)</f>
        <v>Erro</v>
      </c>
      <c r="L4" s="15"/>
      <c r="M4" s="15" t="str">
        <f t="shared" ref="M4:M5" si="6">IF(G4="","Erro",G4+IF(D4="Operacional",45,25))</f>
        <v>Erro</v>
      </c>
      <c r="N4" s="13"/>
      <c r="O4" s="2" t="str">
        <f>IFERROR(IF(tblColetas[[#This Row],[Status Coleta]]="Reprovado","Reprovado",IF(ISERROR(SEARCH("Poço",D4)),IF(N4="","Erro",IF(Q4="Reprovado","",WORKDAY(N4,IF(D4="Operacional",10,3),FERIADOS!$A$3:$A$119))),"-")),"-")</f>
        <v>-</v>
      </c>
      <c r="P4" s="21"/>
      <c r="Q4" s="7"/>
      <c r="R4" s="13"/>
      <c r="S4" s="30"/>
      <c r="T4" s="43"/>
      <c r="U4" s="22" t="s">
        <v>28</v>
      </c>
      <c r="W4" t="str">
        <f t="shared" ref="W4:W5" si="7">B4&amp;C4&amp;D4</f>
        <v>CDAPoço 7-JUB-34Poço CG</v>
      </c>
      <c r="X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" spans="1:24" ht="12.5" x14ac:dyDescent="0.25">
      <c r="A5" s="10"/>
      <c r="B5" s="19" t="s">
        <v>24</v>
      </c>
      <c r="C5" s="5" t="s">
        <v>30</v>
      </c>
      <c r="D5" s="20" t="s">
        <v>29</v>
      </c>
      <c r="E5" s="35"/>
      <c r="F5" s="29" t="str" cm="1">
        <f t="array" ref="F5">IF(V5 &lt;&gt; "", V5, IFERROR(_xlfn.SINGLE(INDEX($G$1:G4,SUMPRODUCT(MAX(($W$1:W4=W5)*(ROW($W$1:W4))))))+IF(D5="Fiscal",30,90),""))</f>
        <v/>
      </c>
      <c r="G5" s="21"/>
      <c r="H5" s="15" t="str">
        <f t="shared" si="4"/>
        <v>Erro</v>
      </c>
      <c r="I5" s="15"/>
      <c r="J5" s="32"/>
      <c r="K5" s="15" t="str">
        <f t="shared" si="5"/>
        <v>Erro</v>
      </c>
      <c r="L5" s="15"/>
      <c r="M5" s="15" t="str">
        <f t="shared" si="6"/>
        <v>Erro</v>
      </c>
      <c r="N5" s="13"/>
      <c r="O5" s="2" t="str">
        <f>IFERROR(IF(tblColetas[[#This Row],[Status Coleta]]="Reprovado","Reprovado",IF(ISERROR(SEARCH("Poço",D5)),IF(N5="","Erro",IF(Q5="Reprovado","",WORKDAY(N5,IF(D5="Operacional",10,3),FERIADOS!$A$3:$A$119))),"-")),"-")</f>
        <v>-</v>
      </c>
      <c r="P5" s="21"/>
      <c r="Q5" s="7"/>
      <c r="R5" s="13"/>
      <c r="S5" s="30"/>
      <c r="T5" s="43"/>
      <c r="U5" s="22" t="s">
        <v>28</v>
      </c>
      <c r="W5" t="str">
        <f t="shared" si="7"/>
        <v>CDAPoço 7-JUB-34Poço PVT</v>
      </c>
      <c r="X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" spans="1:24" ht="12.5" x14ac:dyDescent="0.25">
      <c r="A6" s="10"/>
      <c r="B6" s="19" t="s">
        <v>31</v>
      </c>
      <c r="C6" s="5" t="s">
        <v>32</v>
      </c>
      <c r="D6" s="20" t="s">
        <v>26</v>
      </c>
      <c r="E6" s="35"/>
      <c r="F6" s="29" t="str" cm="1">
        <f t="array" ref="F6">IF(V6 &lt;&gt; "", V6, IFERROR(_xlfn.SINGLE(INDEX($G$1:G5,SUMPRODUCT(MAX(($W$1:W5=W6)*(ROW($W$1:W5))))))+IF(D6="Fiscal",30,90),""))</f>
        <v/>
      </c>
      <c r="G6" s="21"/>
      <c r="H6" s="15" t="str">
        <f t="shared" ref="H6:H7" si="8">IF(G6="","Erro", G6+10)</f>
        <v>Erro</v>
      </c>
      <c r="I6" s="15"/>
      <c r="J6" s="32"/>
      <c r="K6" s="15" t="str">
        <f t="shared" ref="K6:K7" si="9">IF(G6="","Erro",G6+20)</f>
        <v>Erro</v>
      </c>
      <c r="L6" s="15"/>
      <c r="M6" s="15" t="str">
        <f t="shared" ref="M6:M7" si="10">IF(G6="","Erro",G6+IF(D6="Operacional",45,25))</f>
        <v>Erro</v>
      </c>
      <c r="N6" s="13"/>
      <c r="O6" s="2" t="str">
        <f>IFERROR(IF(tblColetas[[#This Row],[Status Coleta]]="Reprovado","Reprovado",IF(ISERROR(SEARCH("Poço",D6)),IF(N6="","Erro",IF(Q6="Reprovado","",WORKDAY(N6,IF(D6="Operacional",10,3),FERIADOS!$A$3:$A$119))),"-")),"-")</f>
        <v>-</v>
      </c>
      <c r="P6" s="21"/>
      <c r="Q6" s="7"/>
      <c r="R6" s="13"/>
      <c r="S6" s="30"/>
      <c r="T6" s="43"/>
      <c r="U6" s="22" t="s">
        <v>28</v>
      </c>
      <c r="W6" t="str">
        <f t="shared" ref="W6:W7" si="11">B6&amp;C6&amp;D6</f>
        <v>CDIPoço SPH-15 (P-1)Poço CG</v>
      </c>
      <c r="X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" spans="1:24" ht="12.5" x14ac:dyDescent="0.25">
      <c r="A7" s="10"/>
      <c r="B7" s="19" t="s">
        <v>31</v>
      </c>
      <c r="C7" s="5" t="s">
        <v>32</v>
      </c>
      <c r="D7" s="20" t="s">
        <v>29</v>
      </c>
      <c r="E7" s="35"/>
      <c r="F7" s="29" t="str" cm="1">
        <f t="array" ref="F7">IF(V7 &lt;&gt; "", V7, IFERROR(_xlfn.SINGLE(INDEX($G$1:G6,SUMPRODUCT(MAX(($W$1:W6=W7)*(ROW($W$1:W6))))))+IF(D7="Fiscal",30,90),""))</f>
        <v/>
      </c>
      <c r="G7" s="21"/>
      <c r="H7" s="15" t="str">
        <f t="shared" si="8"/>
        <v>Erro</v>
      </c>
      <c r="I7" s="15"/>
      <c r="J7" s="32"/>
      <c r="K7" s="15" t="str">
        <f t="shared" si="9"/>
        <v>Erro</v>
      </c>
      <c r="L7" s="15"/>
      <c r="M7" s="15" t="str">
        <f t="shared" si="10"/>
        <v>Erro</v>
      </c>
      <c r="N7" s="13"/>
      <c r="O7" s="2" t="str">
        <f>IFERROR(IF(tblColetas[[#This Row],[Status Coleta]]="Reprovado","Reprovado",IF(ISERROR(SEARCH("Poço",D7)),IF(N7="","Erro",IF(Q7="Reprovado","",WORKDAY(N7,IF(D7="Operacional",10,3),FERIADOS!$A$3:$A$119))),"-")),"-")</f>
        <v>-</v>
      </c>
      <c r="P7" s="21"/>
      <c r="Q7" s="7"/>
      <c r="R7" s="13"/>
      <c r="S7" s="30"/>
      <c r="T7" s="43"/>
      <c r="U7" s="22" t="s">
        <v>28</v>
      </c>
      <c r="W7" t="str">
        <f t="shared" si="11"/>
        <v>CDIPoço SPH-15 (P-1)Poço PVT</v>
      </c>
      <c r="X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" spans="1:24" ht="12.5" x14ac:dyDescent="0.25">
      <c r="A8" s="10"/>
      <c r="B8" s="19" t="s">
        <v>24</v>
      </c>
      <c r="C8" s="5" t="s">
        <v>33</v>
      </c>
      <c r="D8" s="20" t="s">
        <v>26</v>
      </c>
      <c r="E8" s="35"/>
      <c r="F8" s="29" t="str" cm="1">
        <f t="array" ref="F8">IF(V8 &lt;&gt; "", V8, IFERROR(_xlfn.SINGLE(INDEX($G$1:G7,SUMPRODUCT(MAX(($W$1:W7=W8)*(ROW($W$1:W7))))))+IF(D8="Fiscal",30,90),""))</f>
        <v/>
      </c>
      <c r="G8" s="21"/>
      <c r="H8" s="15" t="str">
        <f t="shared" ref="H8:H9" si="12">IF(G8="","Erro", G8+10)</f>
        <v>Erro</v>
      </c>
      <c r="I8" s="15"/>
      <c r="J8" s="32"/>
      <c r="K8" s="15" t="str">
        <f t="shared" ref="K8:K9" si="13">IF(G8="","Erro",G8+20)</f>
        <v>Erro</v>
      </c>
      <c r="L8" s="15"/>
      <c r="M8" s="15" t="str">
        <f t="shared" ref="M8:M9" si="14">IF(G8="","Erro",G8+IF(D8="Operacional",45,25))</f>
        <v>Erro</v>
      </c>
      <c r="N8" s="13"/>
      <c r="O8" s="2" t="str">
        <f>IFERROR(IF(tblColetas[[#This Row],[Status Coleta]]="Reprovado","Reprovado",IF(ISERROR(SEARCH("Poço",D8)),IF(N8="","Erro",IF(Q8="Reprovado","",WORKDAY(N8,IF(D8="Operacional",10,3),FERIADOS!$A$3:$A$119))),"-")),"-")</f>
        <v>-</v>
      </c>
      <c r="P8" s="21"/>
      <c r="Q8" s="7"/>
      <c r="R8" s="13"/>
      <c r="S8" s="30"/>
      <c r="T8" s="43"/>
      <c r="U8" s="22" t="s">
        <v>28</v>
      </c>
      <c r="W8" t="str">
        <f t="shared" ref="W8:W9" si="15">B8&amp;C8&amp;D8</f>
        <v>CDAPoço 6-BAZ-01Poço CG</v>
      </c>
      <c r="X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" spans="1:24" ht="12.5" x14ac:dyDescent="0.25">
      <c r="A9" s="10"/>
      <c r="B9" s="19" t="s">
        <v>24</v>
      </c>
      <c r="C9" s="5" t="s">
        <v>33</v>
      </c>
      <c r="D9" s="20" t="s">
        <v>29</v>
      </c>
      <c r="E9" s="35"/>
      <c r="F9" s="29" t="str" cm="1">
        <f t="array" ref="F9">IF(V9 &lt;&gt; "", V9, IFERROR(_xlfn.SINGLE(INDEX($G$1:G8,SUMPRODUCT(MAX(($W$1:W8=W9)*(ROW($W$1:W8))))))+IF(D9="Fiscal",30,90),""))</f>
        <v/>
      </c>
      <c r="G9" s="21"/>
      <c r="H9" s="15" t="str">
        <f t="shared" si="12"/>
        <v>Erro</v>
      </c>
      <c r="I9" s="15"/>
      <c r="J9" s="32"/>
      <c r="K9" s="15" t="str">
        <f t="shared" si="13"/>
        <v>Erro</v>
      </c>
      <c r="L9" s="15"/>
      <c r="M9" s="15" t="str">
        <f t="shared" si="14"/>
        <v>Erro</v>
      </c>
      <c r="N9" s="13"/>
      <c r="O9" s="2" t="str">
        <f>IFERROR(IF(tblColetas[[#This Row],[Status Coleta]]="Reprovado","Reprovado",IF(ISERROR(SEARCH("Poço",D9)),IF(N9="","Erro",IF(Q9="Reprovado","",WORKDAY(N9,IF(D9="Operacional",10,3),FERIADOS!$A$3:$A$119))),"-")),"-")</f>
        <v>-</v>
      </c>
      <c r="P9" s="21"/>
      <c r="Q9" s="7"/>
      <c r="R9" s="13"/>
      <c r="S9" s="30"/>
      <c r="T9" s="43"/>
      <c r="U9" s="22" t="s">
        <v>28</v>
      </c>
      <c r="W9" t="str">
        <f t="shared" si="15"/>
        <v>CDAPoço 6-BAZ-01Poço PVT</v>
      </c>
      <c r="X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" spans="1:24" ht="12.5" x14ac:dyDescent="0.25">
      <c r="A10" s="10"/>
      <c r="B10" s="19" t="s">
        <v>34</v>
      </c>
      <c r="C10" s="5" t="s">
        <v>35</v>
      </c>
      <c r="D10" s="20" t="s">
        <v>26</v>
      </c>
      <c r="E10" s="35"/>
      <c r="F10" s="29" t="str" cm="1">
        <f t="array" ref="F10">IF(V10 &lt;&gt; "", V10, IFERROR(_xlfn.SINGLE(INDEX($G$1:G9,SUMPRODUCT(MAX(($W$1:W9=W10)*(ROW($W$1:W9))))))+IF(D10="Fiscal",30,90),""))</f>
        <v/>
      </c>
      <c r="G10" s="21">
        <v>45660</v>
      </c>
      <c r="H10" s="15">
        <f t="shared" ref="H10:H13" si="16">IF(G10="","Erro", G10+10)</f>
        <v>45670</v>
      </c>
      <c r="I10" s="15">
        <v>45661</v>
      </c>
      <c r="J10" s="32" t="s">
        <v>36</v>
      </c>
      <c r="K10" s="15">
        <f t="shared" ref="K10:K13" si="17">IF(G10="","Erro",G10+20)</f>
        <v>45680</v>
      </c>
      <c r="L10" s="15">
        <v>45671</v>
      </c>
      <c r="M10" s="15">
        <f t="shared" ref="M10:M13" si="18">IF(G10="","Erro",G10+IF(D10="Operacional",45,25))</f>
        <v>45685</v>
      </c>
      <c r="N10" s="13">
        <v>45685</v>
      </c>
      <c r="O10" s="2" t="str">
        <f>IFERROR(IF(tblColetas[[#This Row],[Status Coleta]]="Reprovado","Reprovado",IF(ISERROR(SEARCH("Poço",D10)),IF(N10="","Erro",IF(Q10="Reprovado","",WORKDAY(N10,IF(D10="Operacional",10,3),FERIADOS!$A$3:$A$119))),"-")),"-")</f>
        <v>-</v>
      </c>
      <c r="P10" s="21"/>
      <c r="Q10" s="7" t="s">
        <v>37</v>
      </c>
      <c r="R10" s="13"/>
      <c r="S10" s="30"/>
      <c r="T10" s="43"/>
      <c r="W10" t="str">
        <f t="shared" ref="W10:W12" si="19">B10&amp;C10&amp;D10</f>
        <v>CDSPoço LL-07 (P-03)Poço CG</v>
      </c>
      <c r="X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" spans="1:24" ht="12.5" x14ac:dyDescent="0.25">
      <c r="A11" s="10"/>
      <c r="B11" s="19" t="s">
        <v>34</v>
      </c>
      <c r="C11" s="5" t="s">
        <v>35</v>
      </c>
      <c r="D11" s="20" t="s">
        <v>29</v>
      </c>
      <c r="E11" s="35"/>
      <c r="F11" s="29" t="str" cm="1">
        <f t="array" ref="F11">IF(V11 &lt;&gt; "", V11, IFERROR(_xlfn.SINGLE(INDEX($G$1:G10,SUMPRODUCT(MAX(($W$1:W10=W11)*(ROW($W$1:W10))))))+IF(D11="Fiscal",30,90),""))</f>
        <v/>
      </c>
      <c r="G11" s="21">
        <v>45660</v>
      </c>
      <c r="H11" s="15">
        <f t="shared" si="16"/>
        <v>45670</v>
      </c>
      <c r="I11" s="15">
        <v>45661</v>
      </c>
      <c r="J11" s="32" t="s">
        <v>36</v>
      </c>
      <c r="K11" s="15">
        <f t="shared" si="17"/>
        <v>45680</v>
      </c>
      <c r="L11" s="15">
        <v>45671</v>
      </c>
      <c r="M11" s="15">
        <f t="shared" si="18"/>
        <v>45685</v>
      </c>
      <c r="N11" s="13">
        <v>45685</v>
      </c>
      <c r="O11" s="2" t="str">
        <f>IFERROR(IF(tblColetas[[#This Row],[Status Coleta]]="Reprovado","Reprovado",IF(ISERROR(SEARCH("Poço",D11)),IF(N11="","Erro",IF(Q11="Reprovado","",WORKDAY(N11,IF(D11="Operacional",10,3),FERIADOS!$A$3:$A$119))),"-")),"-")</f>
        <v>-</v>
      </c>
      <c r="P11" s="21"/>
      <c r="Q11" s="7" t="s">
        <v>37</v>
      </c>
      <c r="R11" s="13"/>
      <c r="S11" s="30"/>
      <c r="T11" s="43"/>
      <c r="W11" t="str">
        <f t="shared" si="19"/>
        <v>CDSPoço LL-07 (P-03)Poço PVT</v>
      </c>
      <c r="X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" spans="1:24" ht="12.5" x14ac:dyDescent="0.25">
      <c r="A12" s="10"/>
      <c r="B12" s="19" t="s">
        <v>38</v>
      </c>
      <c r="C12" s="5" t="s">
        <v>39</v>
      </c>
      <c r="D12" s="20" t="s">
        <v>26</v>
      </c>
      <c r="E12" s="35"/>
      <c r="F12" s="29" t="str" cm="1">
        <f t="array" ref="F12">IF(V12 &lt;&gt; "", V12, IFERROR(_xlfn.SINGLE(INDEX($G$1:G11,SUMPRODUCT(MAX(($W$1:W11=W12)*(ROW($W$1:W11))))))+IF(D12="Fiscal",30,90),""))</f>
        <v/>
      </c>
      <c r="G12" s="21">
        <v>45661</v>
      </c>
      <c r="H12" s="15">
        <f t="shared" si="16"/>
        <v>45671</v>
      </c>
      <c r="I12" s="15">
        <v>45662</v>
      </c>
      <c r="J12" s="32" t="s">
        <v>40</v>
      </c>
      <c r="K12" s="15">
        <f t="shared" si="17"/>
        <v>45681</v>
      </c>
      <c r="L12" s="15">
        <v>45679</v>
      </c>
      <c r="M12" s="15">
        <f t="shared" si="18"/>
        <v>45686</v>
      </c>
      <c r="N12" s="13">
        <v>45686</v>
      </c>
      <c r="O12" s="2" t="str">
        <f>IFERROR(IF(tblColetas[[#This Row],[Status Coleta]]="Reprovado","Reprovado",IF(ISERROR(SEARCH("Poço",D12)),IF(N12="","Erro",IF(Q12="Reprovado","",WORKDAY(N12,IF(D12="Operacional",10,3),FERIADOS!$A$3:$A$119))),"-")),"-")</f>
        <v>-</v>
      </c>
      <c r="P12" s="21"/>
      <c r="Q12" s="7" t="s">
        <v>37</v>
      </c>
      <c r="R12" s="13"/>
      <c r="S12" s="30"/>
      <c r="T12" s="43"/>
      <c r="W12" t="str">
        <f t="shared" si="19"/>
        <v>CDPPoço LL-119 (P-02)Poço CG</v>
      </c>
      <c r="X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" spans="1:24" ht="12.5" x14ac:dyDescent="0.25">
      <c r="A13" s="10"/>
      <c r="B13" s="19" t="s">
        <v>38</v>
      </c>
      <c r="C13" s="5" t="s">
        <v>39</v>
      </c>
      <c r="D13" s="20" t="s">
        <v>29</v>
      </c>
      <c r="E13" s="35"/>
      <c r="F13" s="29" t="str" cm="1">
        <f t="array" ref="F13">IF(V13 &lt;&gt; "", V13, IFERROR(_xlfn.SINGLE(INDEX($G$1:G12,SUMPRODUCT(MAX(($W$1:W12=W13)*(ROW($W$1:W12))))))+IF(D13="Fiscal",30,90),""))</f>
        <v/>
      </c>
      <c r="G13" s="21">
        <v>45661</v>
      </c>
      <c r="H13" s="15">
        <f t="shared" si="16"/>
        <v>45671</v>
      </c>
      <c r="I13" s="15">
        <v>45662</v>
      </c>
      <c r="J13" s="32" t="s">
        <v>40</v>
      </c>
      <c r="K13" s="15">
        <f t="shared" si="17"/>
        <v>45681</v>
      </c>
      <c r="L13" s="15">
        <v>45679</v>
      </c>
      <c r="M13" s="15">
        <f t="shared" si="18"/>
        <v>45686</v>
      </c>
      <c r="N13" s="13">
        <v>45686</v>
      </c>
      <c r="O13" s="2" t="str">
        <f>IFERROR(IF(tblColetas[[#This Row],[Status Coleta]]="Reprovado","Reprovado",IF(ISERROR(SEARCH("Poço",D13)),IF(N13="","Erro",IF(Q13="Reprovado","",WORKDAY(N13,IF(D13="Operacional",10,3),FERIADOS!$A$3:$A$119))),"-")),"-")</f>
        <v>-</v>
      </c>
      <c r="P13" s="21"/>
      <c r="Q13" s="7" t="s">
        <v>37</v>
      </c>
      <c r="R13" s="13"/>
      <c r="S13" s="30"/>
      <c r="T13" s="43"/>
      <c r="W13" t="str">
        <f t="shared" ref="W13:W39" si="20">B13&amp;C13&amp;D13</f>
        <v>CDPPoço LL-119 (P-02)Poço PVT</v>
      </c>
      <c r="X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" spans="1:24" ht="12.5" x14ac:dyDescent="0.25">
      <c r="A14" s="10"/>
      <c r="B14" s="19" t="s">
        <v>38</v>
      </c>
      <c r="C14" s="5" t="s">
        <v>41</v>
      </c>
      <c r="D14" s="20" t="s">
        <v>26</v>
      </c>
      <c r="E14" s="35"/>
      <c r="F14" s="29" t="str" cm="1">
        <f t="array" ref="F14">IF(V14 &lt;&gt; "", V14, IFERROR(_xlfn.SINGLE(INDEX($G$1:G13,SUMPRODUCT(MAX(($W$1:W13=W14)*(ROW($W$1:W13))))))+IF(D14="Fiscal",30,90),""))</f>
        <v/>
      </c>
      <c r="G14" s="21">
        <v>45664</v>
      </c>
      <c r="H14" s="15">
        <f t="shared" ref="H14:H15" si="21">IF(G14="","Erro", G14+10)</f>
        <v>45674</v>
      </c>
      <c r="I14" s="15">
        <v>45670</v>
      </c>
      <c r="J14" s="32" t="s">
        <v>42</v>
      </c>
      <c r="K14" s="15">
        <f t="shared" ref="K14:K15" si="22">IF(G14="","Erro",G14+20)</f>
        <v>45684</v>
      </c>
      <c r="L14" s="15">
        <v>45674</v>
      </c>
      <c r="M14" s="15">
        <f t="shared" ref="M14:M15" si="23">IF(G14="","Erro",G14+IF(D14="Operacional",45,25))</f>
        <v>45689</v>
      </c>
      <c r="N14" s="13">
        <v>45688</v>
      </c>
      <c r="O14" s="2" t="str">
        <f>IFERROR(IF(tblColetas[[#This Row],[Status Coleta]]="Reprovado","Reprovado",IF(ISERROR(SEARCH("Poço",D14)),IF(N14="","Erro",IF(Q14="Reprovado","",WORKDAY(N14,IF(D14="Operacional",10,3),FERIADOS!$A$3:$A$119))),"-")),"-")</f>
        <v>-</v>
      </c>
      <c r="P14" s="21"/>
      <c r="Q14" s="7" t="s">
        <v>37</v>
      </c>
      <c r="R14" s="13"/>
      <c r="S14" s="30"/>
      <c r="T14" s="43"/>
      <c r="W14" t="str">
        <f t="shared" si="20"/>
        <v>CDPPoço LL-15 (P-3)Poço CG</v>
      </c>
      <c r="X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" spans="1:24" ht="12.5" x14ac:dyDescent="0.25">
      <c r="A15" s="10"/>
      <c r="B15" s="19" t="s">
        <v>38</v>
      </c>
      <c r="C15" s="5" t="s">
        <v>41</v>
      </c>
      <c r="D15" s="20" t="s">
        <v>29</v>
      </c>
      <c r="E15" s="35"/>
      <c r="F15" s="29" t="str" cm="1">
        <f t="array" ref="F15">IF(V15 &lt;&gt; "", V15, IFERROR(_xlfn.SINGLE(INDEX($G$1:G14,SUMPRODUCT(MAX(($W$1:W14=W15)*(ROW($W$1:W14))))))+IF(D15="Fiscal",30,90),""))</f>
        <v/>
      </c>
      <c r="G15" s="21">
        <v>45664</v>
      </c>
      <c r="H15" s="15">
        <f t="shared" si="21"/>
        <v>45674</v>
      </c>
      <c r="I15" s="15">
        <v>45670</v>
      </c>
      <c r="J15" s="32" t="s">
        <v>42</v>
      </c>
      <c r="K15" s="15">
        <f t="shared" si="22"/>
        <v>45684</v>
      </c>
      <c r="L15" s="15">
        <v>45674</v>
      </c>
      <c r="M15" s="15">
        <f t="shared" si="23"/>
        <v>45689</v>
      </c>
      <c r="N15" s="13">
        <v>45688</v>
      </c>
      <c r="O15" s="2" t="str">
        <f>IFERROR(IF(tblColetas[[#This Row],[Status Coleta]]="Reprovado","Reprovado",IF(ISERROR(SEARCH("Poço",D15)),IF(N15="","Erro",IF(Q15="Reprovado","",WORKDAY(N15,IF(D15="Operacional",10,3),FERIADOS!$A$3:$A$119))),"-")),"-")</f>
        <v>-</v>
      </c>
      <c r="P15" s="21"/>
      <c r="Q15" s="7" t="s">
        <v>37</v>
      </c>
      <c r="R15" s="13"/>
      <c r="S15" s="30"/>
      <c r="T15" s="43"/>
      <c r="W15" t="str">
        <f t="shared" si="20"/>
        <v>CDPPoço LL-15 (P-3)Poço PVT</v>
      </c>
      <c r="X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" spans="1:24" ht="12.5" x14ac:dyDescent="0.25">
      <c r="A16" s="10"/>
      <c r="B16" s="19" t="s">
        <v>34</v>
      </c>
      <c r="C16" s="5" t="s">
        <v>43</v>
      </c>
      <c r="D16" s="20" t="s">
        <v>26</v>
      </c>
      <c r="E16" s="35"/>
      <c r="F16" s="29" t="str" cm="1">
        <f t="array" ref="F16">IF(V16 &lt;&gt; "", V16, IFERROR(_xlfn.SINGLE(INDEX($G$1:G15,SUMPRODUCT(MAX(($W$1:W15=W16)*(ROW($W$1:W15))))))+IF(D16="Fiscal",30,90),""))</f>
        <v/>
      </c>
      <c r="G16" s="21">
        <v>45669</v>
      </c>
      <c r="H16" s="15">
        <f t="shared" ref="H16:H17" si="24">IF(G16="","Erro", G16+10)</f>
        <v>45679</v>
      </c>
      <c r="I16" s="15">
        <v>45682</v>
      </c>
      <c r="J16" s="32" t="s">
        <v>44</v>
      </c>
      <c r="K16" s="15">
        <f t="shared" ref="K16:K17" si="25">IF(G16="","Erro",G16+20)</f>
        <v>45689</v>
      </c>
      <c r="L16" s="15">
        <v>45691</v>
      </c>
      <c r="M16" s="15">
        <f t="shared" ref="M16:M17" si="26">IF(G16="","Erro",G16+IF(D16="Operacional",45,25))</f>
        <v>45694</v>
      </c>
      <c r="N16" s="13">
        <v>45694</v>
      </c>
      <c r="O16" s="2" t="str">
        <f>IFERROR(IF(tblColetas[[#This Row],[Status Coleta]]="Reprovado","Reprovado",IF(ISERROR(SEARCH("Poço",D16)),IF(N16="","Erro",IF(Q16="Reprovado","",WORKDAY(N16,IF(D16="Operacional",10,3),FERIADOS!$A$3:$A$119))),"-")),"-")</f>
        <v>-</v>
      </c>
      <c r="P16" s="21"/>
      <c r="Q16" s="7" t="s">
        <v>37</v>
      </c>
      <c r="R16" s="13"/>
      <c r="S16" s="33" t="s">
        <v>45</v>
      </c>
      <c r="T16" s="43"/>
      <c r="W16" t="str">
        <f t="shared" si="20"/>
        <v>CDSPoço LL-59 (P-10)Poço CG</v>
      </c>
      <c r="X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" spans="1:24" ht="12.5" x14ac:dyDescent="0.25">
      <c r="A17" s="10"/>
      <c r="B17" s="19" t="s">
        <v>34</v>
      </c>
      <c r="C17" s="5" t="s">
        <v>43</v>
      </c>
      <c r="D17" s="20" t="s">
        <v>29</v>
      </c>
      <c r="E17" s="35"/>
      <c r="F17" s="29" t="str" cm="1">
        <f t="array" ref="F17">IF(V17 &lt;&gt; "", V17, IFERROR(_xlfn.SINGLE(INDEX($G$1:G16,SUMPRODUCT(MAX(($W$1:W16=W17)*(ROW($W$1:W16))))))+IF(D17="Fiscal",30,90),""))</f>
        <v/>
      </c>
      <c r="G17" s="21">
        <v>45669</v>
      </c>
      <c r="H17" s="15">
        <f t="shared" si="24"/>
        <v>45679</v>
      </c>
      <c r="I17" s="15">
        <v>45682</v>
      </c>
      <c r="J17" s="32" t="s">
        <v>44</v>
      </c>
      <c r="K17" s="15">
        <f t="shared" si="25"/>
        <v>45689</v>
      </c>
      <c r="L17" s="15">
        <v>45691</v>
      </c>
      <c r="M17" s="15">
        <f t="shared" si="26"/>
        <v>45694</v>
      </c>
      <c r="N17" s="13">
        <v>45694</v>
      </c>
      <c r="O17" s="2" t="str">
        <f>IFERROR(IF(tblColetas[[#This Row],[Status Coleta]]="Reprovado","Reprovado",IF(ISERROR(SEARCH("Poço",D17)),IF(N17="","Erro",IF(Q17="Reprovado","",WORKDAY(N17,IF(D17="Operacional",10,3),FERIADOS!$A$3:$A$119))),"-")),"-")</f>
        <v>-</v>
      </c>
      <c r="P17" s="21"/>
      <c r="Q17" s="7" t="s">
        <v>37</v>
      </c>
      <c r="R17" s="13"/>
      <c r="S17" s="33" t="s">
        <v>45</v>
      </c>
      <c r="T17" s="43"/>
      <c r="W17" t="str">
        <f t="shared" si="20"/>
        <v>CDSPoço LL-59 (P-10)Poço PVT</v>
      </c>
      <c r="X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" spans="1:24" ht="12.5" x14ac:dyDescent="0.25">
      <c r="A18" s="10"/>
      <c r="B18" s="19" t="s">
        <v>46</v>
      </c>
      <c r="C18" s="5" t="s">
        <v>47</v>
      </c>
      <c r="D18" s="20" t="s">
        <v>26</v>
      </c>
      <c r="E18" s="35"/>
      <c r="F18" s="29" t="str" cm="1">
        <f t="array" ref="F18">IF(V18 &lt;&gt; "", V18, IFERROR(_xlfn.SINGLE(INDEX($G$1:G17,SUMPRODUCT(MAX(($W$1:W17=W18)*(ROW($W$1:W17))))))+IF(D18="Fiscal",30,90),""))</f>
        <v/>
      </c>
      <c r="G18" s="21">
        <v>45667</v>
      </c>
      <c r="H18" s="15">
        <f t="shared" ref="H18:H25" si="27">IF(G18="","Erro", G18+10)</f>
        <v>45677</v>
      </c>
      <c r="I18" s="15">
        <v>45669</v>
      </c>
      <c r="J18" s="32"/>
      <c r="K18" s="15">
        <f t="shared" ref="K18:K25" si="28">IF(G18="","Erro",G18+20)</f>
        <v>45687</v>
      </c>
      <c r="L18" s="15">
        <v>45680</v>
      </c>
      <c r="M18" s="15">
        <f t="shared" ref="M18:M25" si="29">IF(G18="","Erro",G18+IF(D18="Operacional",45,25))</f>
        <v>45692</v>
      </c>
      <c r="N18" s="13">
        <v>45692</v>
      </c>
      <c r="O18" s="2" t="str">
        <f>IFERROR(IF(tblColetas[[#This Row],[Status Coleta]]="Reprovado","Reprovado",IF(ISERROR(SEARCH("Poço",D18)),IF(N18="","Erro",IF(Q18="Reprovado","",WORKDAY(N18,IF(D18="Operacional",10,3),FERIADOS!$A$3:$A$119))),"-")),"-")</f>
        <v>-</v>
      </c>
      <c r="P18" s="21"/>
      <c r="Q18" s="7" t="s">
        <v>37</v>
      </c>
      <c r="R18" s="13"/>
      <c r="S18" s="30"/>
      <c r="T18" s="43"/>
      <c r="W18" t="str">
        <f t="shared" si="20"/>
        <v>CDMPoço LL-87 (P-14)Poço CG</v>
      </c>
      <c r="X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" spans="1:24" ht="12.5" x14ac:dyDescent="0.25">
      <c r="A19" s="10"/>
      <c r="B19" s="19" t="s">
        <v>46</v>
      </c>
      <c r="C19" s="5" t="s">
        <v>47</v>
      </c>
      <c r="D19" s="20" t="s">
        <v>29</v>
      </c>
      <c r="E19" s="35"/>
      <c r="F19" s="29" t="str" cm="1">
        <f t="array" ref="F19">IF(V19 &lt;&gt; "", V19, IFERROR(_xlfn.SINGLE(INDEX($G$1:G18,SUMPRODUCT(MAX(($W$1:W18=W19)*(ROW($W$1:W18))))))+IF(D19="Fiscal",30,90),""))</f>
        <v/>
      </c>
      <c r="G19" s="21">
        <v>45667</v>
      </c>
      <c r="H19" s="15">
        <f t="shared" si="27"/>
        <v>45677</v>
      </c>
      <c r="I19" s="15">
        <v>45669</v>
      </c>
      <c r="J19" s="32"/>
      <c r="K19" s="15">
        <f t="shared" si="28"/>
        <v>45687</v>
      </c>
      <c r="L19" s="15">
        <v>45680</v>
      </c>
      <c r="M19" s="15">
        <f t="shared" si="29"/>
        <v>45692</v>
      </c>
      <c r="N19" s="13">
        <v>45692</v>
      </c>
      <c r="O19" s="2" t="str">
        <f>IFERROR(IF(tblColetas[[#This Row],[Status Coleta]]="Reprovado","Reprovado",IF(ISERROR(SEARCH("Poço",D19)),IF(N19="","Erro",IF(Q19="Reprovado","",WORKDAY(N19,IF(D19="Operacional",10,3),FERIADOS!$A$3:$A$119))),"-")),"-")</f>
        <v>-</v>
      </c>
      <c r="P19" s="21"/>
      <c r="Q19" s="7" t="s">
        <v>37</v>
      </c>
      <c r="R19" s="13"/>
      <c r="S19" s="30"/>
      <c r="T19" s="43"/>
      <c r="W19" t="str">
        <f t="shared" si="20"/>
        <v>CDMPoço LL-87 (P-14)Poço PVT</v>
      </c>
      <c r="X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" spans="1:24" ht="12.5" x14ac:dyDescent="0.25">
      <c r="A20" s="10"/>
      <c r="B20" s="19" t="s">
        <v>46</v>
      </c>
      <c r="C20" s="5" t="s">
        <v>48</v>
      </c>
      <c r="D20" s="20" t="s">
        <v>26</v>
      </c>
      <c r="E20" s="35"/>
      <c r="F20" s="29" t="str" cm="1">
        <f t="array" ref="F20">IF(V20 &lt;&gt; "", V20, IFERROR(_xlfn.SINGLE(INDEX($G$1:G19,SUMPRODUCT(MAX(($W$1:W19=W20)*(ROW($W$1:W19))))))+IF(D20="Fiscal",30,90),""))</f>
        <v/>
      </c>
      <c r="G20" s="21">
        <v>45663</v>
      </c>
      <c r="H20" s="15">
        <f t="shared" si="27"/>
        <v>45673</v>
      </c>
      <c r="I20" s="15">
        <v>45665</v>
      </c>
      <c r="J20" s="32" t="s">
        <v>49</v>
      </c>
      <c r="K20" s="15">
        <f t="shared" si="28"/>
        <v>45683</v>
      </c>
      <c r="L20" s="15">
        <v>45680</v>
      </c>
      <c r="M20" s="15">
        <f t="shared" si="29"/>
        <v>45688</v>
      </c>
      <c r="N20" s="13">
        <v>45688</v>
      </c>
      <c r="O20" s="2" t="str">
        <f>IFERROR(IF(tblColetas[[#This Row],[Status Coleta]]="Reprovado","Reprovado",IF(ISERROR(SEARCH("Poço",D20)),IF(N20="","Erro",IF(Q20="Reprovado","",WORKDAY(N20,IF(D20="Operacional",10,3),FERIADOS!$A$3:$A$119))),"-")),"-")</f>
        <v>-</v>
      </c>
      <c r="P20" s="21"/>
      <c r="Q20" s="7" t="s">
        <v>37</v>
      </c>
      <c r="R20" s="13"/>
      <c r="S20" s="30"/>
      <c r="T20" s="43"/>
      <c r="W20" t="str">
        <f t="shared" si="20"/>
        <v>CDMPoço LL-66 (P-09)Poço CG</v>
      </c>
      <c r="X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" spans="1:24" ht="12.5" x14ac:dyDescent="0.25">
      <c r="A21" s="10"/>
      <c r="B21" s="19" t="s">
        <v>46</v>
      </c>
      <c r="C21" s="5" t="s">
        <v>48</v>
      </c>
      <c r="D21" s="20" t="s">
        <v>29</v>
      </c>
      <c r="E21" s="35"/>
      <c r="F21" s="29" t="str" cm="1">
        <f t="array" ref="F21">IF(V21 &lt;&gt; "", V21, IFERROR(_xlfn.SINGLE(INDEX($G$1:G20,SUMPRODUCT(MAX(($W$1:W20=W21)*(ROW($W$1:W20))))))+IF(D21="Fiscal",30,90),""))</f>
        <v/>
      </c>
      <c r="G21" s="21">
        <v>45663</v>
      </c>
      <c r="H21" s="15">
        <f t="shared" si="27"/>
        <v>45673</v>
      </c>
      <c r="I21" s="15">
        <v>45665</v>
      </c>
      <c r="J21" s="32" t="s">
        <v>49</v>
      </c>
      <c r="K21" s="15">
        <f t="shared" si="28"/>
        <v>45683</v>
      </c>
      <c r="L21" s="15">
        <v>45680</v>
      </c>
      <c r="M21" s="15">
        <f t="shared" si="29"/>
        <v>45688</v>
      </c>
      <c r="N21" s="13">
        <v>45688</v>
      </c>
      <c r="O21" s="2" t="str">
        <f>IFERROR(IF(tblColetas[[#This Row],[Status Coleta]]="Reprovado","Reprovado",IF(ISERROR(SEARCH("Poço",D21)),IF(N21="","Erro",IF(Q21="Reprovado","",WORKDAY(N21,IF(D21="Operacional",10,3),FERIADOS!$A$3:$A$119))),"-")),"-")</f>
        <v>-</v>
      </c>
      <c r="P21" s="21"/>
      <c r="Q21" s="7" t="s">
        <v>37</v>
      </c>
      <c r="R21" s="13"/>
      <c r="S21" s="30"/>
      <c r="T21" s="43"/>
      <c r="W21" t="str">
        <f t="shared" si="20"/>
        <v>CDMPoço LL-66 (P-09)Poço PVT</v>
      </c>
      <c r="X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" spans="1:24" ht="12.5" x14ac:dyDescent="0.25">
      <c r="A22" s="10"/>
      <c r="B22" s="19" t="s">
        <v>38</v>
      </c>
      <c r="C22" s="5" t="s">
        <v>50</v>
      </c>
      <c r="D22" s="20" t="s">
        <v>29</v>
      </c>
      <c r="E22" s="35"/>
      <c r="F22" s="29" t="str" cm="1">
        <f t="array" ref="F22">IF(V22 &lt;&gt; "", V22, IFERROR(_xlfn.SINGLE(INDEX($G$1:G21,SUMPRODUCT(MAX(($W$1:W21=W22)*(ROW($W$1:W21))))))+IF(D22="Fiscal",30,90),""))</f>
        <v/>
      </c>
      <c r="G22" s="21">
        <v>45667</v>
      </c>
      <c r="H22" s="15">
        <f t="shared" si="27"/>
        <v>45677</v>
      </c>
      <c r="I22" s="15">
        <v>45676</v>
      </c>
      <c r="J22" s="32" t="s">
        <v>51</v>
      </c>
      <c r="K22" s="15">
        <f t="shared" si="28"/>
        <v>45687</v>
      </c>
      <c r="L22" s="15">
        <v>45683</v>
      </c>
      <c r="M22" s="15">
        <f t="shared" si="29"/>
        <v>45692</v>
      </c>
      <c r="N22" s="13">
        <v>45692</v>
      </c>
      <c r="O22" s="2" t="str">
        <f>IFERROR(IF(tblColetas[[#This Row],[Status Coleta]]="Reprovado","Reprovado",IF(ISERROR(SEARCH("Poço",D22)),IF(N22="","Erro",IF(Q22="Reprovado","",WORKDAY(N22,IF(D22="Operacional",10,3),FERIADOS!$A$3:$A$119))),"-")),"-")</f>
        <v>-</v>
      </c>
      <c r="P22" s="21"/>
      <c r="Q22" s="7"/>
      <c r="R22" s="13"/>
      <c r="S22" s="30"/>
      <c r="T22" s="43"/>
      <c r="W22" t="str">
        <f t="shared" si="20"/>
        <v>CDPPoço LL-28 (P-1)Poço PVT</v>
      </c>
      <c r="X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" spans="1:24" ht="12.5" x14ac:dyDescent="0.25">
      <c r="A23" s="10"/>
      <c r="B23" s="19" t="s">
        <v>38</v>
      </c>
      <c r="C23" s="5" t="s">
        <v>50</v>
      </c>
      <c r="D23" s="20" t="s">
        <v>26</v>
      </c>
      <c r="E23" s="35"/>
      <c r="F23" s="29" t="str" cm="1">
        <f t="array" ref="F23">IF(V23 &lt;&gt; "", V23, IFERROR(_xlfn.SINGLE(INDEX($G$1:G22,SUMPRODUCT(MAX(($W$1:W22=W23)*(ROW($W$1:W22))))))+IF(D23="Fiscal",30,90),""))</f>
        <v/>
      </c>
      <c r="G23" s="21">
        <v>45667</v>
      </c>
      <c r="H23" s="15">
        <f t="shared" si="27"/>
        <v>45677</v>
      </c>
      <c r="I23" s="15">
        <v>45676</v>
      </c>
      <c r="J23" s="32" t="s">
        <v>51</v>
      </c>
      <c r="K23" s="15">
        <f t="shared" si="28"/>
        <v>45687</v>
      </c>
      <c r="L23" s="15">
        <v>45683</v>
      </c>
      <c r="M23" s="15">
        <f t="shared" si="29"/>
        <v>45692</v>
      </c>
      <c r="N23" s="13">
        <v>45692</v>
      </c>
      <c r="O23" s="2" t="str">
        <f>IFERROR(IF(tblColetas[[#This Row],[Status Coleta]]="Reprovado","Reprovado",IF(ISERROR(SEARCH("Poço",D23)),IF(N23="","Erro",IF(Q23="Reprovado","",WORKDAY(N23,IF(D23="Operacional",10,3),FERIADOS!$A$3:$A$119))),"-")),"-")</f>
        <v>-</v>
      </c>
      <c r="P23" s="21"/>
      <c r="Q23" s="7"/>
      <c r="R23" s="13"/>
      <c r="S23" s="30"/>
      <c r="T23" s="43"/>
      <c r="W23" t="str">
        <f t="shared" si="20"/>
        <v>CDPPoço LL-28 (P-1)Poço CG</v>
      </c>
      <c r="X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" spans="1:24" ht="12.5" x14ac:dyDescent="0.25">
      <c r="A24" s="10"/>
      <c r="B24" s="8" t="s">
        <v>52</v>
      </c>
      <c r="C24" s="5" t="s">
        <v>53</v>
      </c>
      <c r="D24" s="9" t="s">
        <v>26</v>
      </c>
      <c r="E24" s="36"/>
      <c r="F24" s="29" t="str" cm="1">
        <f t="array" ref="F24">IF(V24 &lt;&gt; "", V24, IFERROR(_xlfn.SINGLE(INDEX($G$1:G23,SUMPRODUCT(MAX(($W$1:W23=W24)*(ROW($W$1:W23))))))+IF(D24="Fiscal",30,90),""))</f>
        <v/>
      </c>
      <c r="G24" s="13">
        <v>45679</v>
      </c>
      <c r="H24" s="15">
        <f t="shared" si="27"/>
        <v>45689</v>
      </c>
      <c r="I24" s="15">
        <v>45689</v>
      </c>
      <c r="J24" s="32" t="s">
        <v>54</v>
      </c>
      <c r="K24" s="15">
        <f t="shared" si="28"/>
        <v>45699</v>
      </c>
      <c r="L24" s="15">
        <v>45699</v>
      </c>
      <c r="M24" s="15">
        <f t="shared" si="29"/>
        <v>45704</v>
      </c>
      <c r="N24" s="13">
        <v>45702</v>
      </c>
      <c r="O24" s="2" t="str">
        <f>IFERROR(IF(tblColetas[[#This Row],[Status Coleta]]="Reprovado","Reprovado",IF(ISERROR(SEARCH("Poço",D24)),IF(N24="","Erro",IF(Q24="Reprovado","",WORKDAY(N24,IF(D24="Operacional",10,3),FERIADOS!$A$3:$A$119))),"-")),"-")</f>
        <v>-</v>
      </c>
      <c r="P24" s="13"/>
      <c r="Q24" s="7" t="s">
        <v>37</v>
      </c>
      <c r="R24" s="13"/>
      <c r="S24" s="30"/>
      <c r="T24" s="43"/>
      <c r="W24" t="str">
        <f t="shared" si="20"/>
        <v>SEPPoço MRO-27  P-8Poço CG</v>
      </c>
      <c r="X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" spans="1:24" ht="12.5" x14ac:dyDescent="0.25">
      <c r="A25" s="10"/>
      <c r="B25" s="8" t="s">
        <v>52</v>
      </c>
      <c r="C25" s="5" t="s">
        <v>53</v>
      </c>
      <c r="D25" s="9" t="s">
        <v>29</v>
      </c>
      <c r="E25" s="36"/>
      <c r="F25" s="29" t="str" cm="1">
        <f t="array" ref="F25">IF(V25 &lt;&gt; "", V25, IFERROR(_xlfn.SINGLE(INDEX($G$1:G24,SUMPRODUCT(MAX(($W$1:W24=W25)*(ROW($W$1:W24))))))+IF(D25="Fiscal",30,90),""))</f>
        <v/>
      </c>
      <c r="G25" s="13">
        <v>45679</v>
      </c>
      <c r="H25" s="15">
        <f t="shared" si="27"/>
        <v>45689</v>
      </c>
      <c r="I25" s="15">
        <v>45689</v>
      </c>
      <c r="J25" s="32" t="s">
        <v>54</v>
      </c>
      <c r="K25" s="15">
        <f t="shared" si="28"/>
        <v>45699</v>
      </c>
      <c r="L25" s="15">
        <v>45699</v>
      </c>
      <c r="M25" s="15">
        <f t="shared" si="29"/>
        <v>45704</v>
      </c>
      <c r="N25" s="13">
        <v>45702</v>
      </c>
      <c r="O25" s="2" t="str">
        <f>IFERROR(IF(tblColetas[[#This Row],[Status Coleta]]="Reprovado","Reprovado",IF(ISERROR(SEARCH("Poço",D25)),IF(N25="","Erro",IF(Q25="Reprovado","",WORKDAY(N25,IF(D25="Operacional",10,3),FERIADOS!$A$3:$A$119))),"-")),"-")</f>
        <v>-</v>
      </c>
      <c r="P25" s="13"/>
      <c r="Q25" s="7" t="s">
        <v>37</v>
      </c>
      <c r="R25" s="13"/>
      <c r="S25" s="30"/>
      <c r="T25" s="43"/>
      <c r="W25" t="str">
        <f t="shared" si="20"/>
        <v>SEPPoço MRO-27  P-8Poço PVT</v>
      </c>
      <c r="X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" spans="1:24" ht="12.5" x14ac:dyDescent="0.25">
      <c r="A26" s="10"/>
      <c r="B26" s="19" t="s">
        <v>46</v>
      </c>
      <c r="C26" s="5" t="s">
        <v>55</v>
      </c>
      <c r="D26" s="20" t="s">
        <v>26</v>
      </c>
      <c r="E26" s="35"/>
      <c r="F26" s="29" t="str" cm="1">
        <f t="array" ref="F26">IF(V26 &lt;&gt; "", V26, IFERROR(_xlfn.SINGLE(INDEX($G$1:G25,SUMPRODUCT(MAX(($W$1:W25=W26)*(ROW($W$1:W25))))))+IF(D26="Fiscal",30,90),""))</f>
        <v/>
      </c>
      <c r="G26" s="21">
        <v>45699</v>
      </c>
      <c r="H26" s="15">
        <f t="shared" ref="H26:H27" si="30">IF(G26="","Erro", G26+10)</f>
        <v>45709</v>
      </c>
      <c r="I26" s="15">
        <v>45702</v>
      </c>
      <c r="J26" s="32" t="s">
        <v>56</v>
      </c>
      <c r="K26" s="15">
        <f t="shared" ref="K26:K27" si="31">IF(G26="","Erro",G26+20)</f>
        <v>45719</v>
      </c>
      <c r="L26" s="15">
        <v>45707</v>
      </c>
      <c r="M26" s="15">
        <f t="shared" ref="M26:M27" si="32">IF(G26="","Erro",G26+IF(D26="Operacional",45,25))</f>
        <v>45724</v>
      </c>
      <c r="N26" s="13">
        <v>45723</v>
      </c>
      <c r="O26" s="2" t="str">
        <f>IFERROR(IF(tblColetas[[#This Row],[Status Coleta]]="Reprovado","Reprovado",IF(ISERROR(SEARCH("Poço",D26)),IF(N26="","Erro",IF(Q26="Reprovado","",WORKDAY(N26,IF(D26="Operacional",10,3),FERIADOS!$A$3:$A$119))),"-")),"-")</f>
        <v>-</v>
      </c>
      <c r="P26" s="21"/>
      <c r="Q26" s="7" t="s">
        <v>37</v>
      </c>
      <c r="R26" s="13"/>
      <c r="S26" s="30"/>
      <c r="T26" s="43"/>
      <c r="W26" t="str">
        <f t="shared" si="20"/>
        <v>CDMPoço TUP-128 (P-06)Poço CG</v>
      </c>
      <c r="X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" spans="1:24" ht="12.5" x14ac:dyDescent="0.25">
      <c r="A27" s="10"/>
      <c r="B27" s="19" t="s">
        <v>46</v>
      </c>
      <c r="C27" s="5" t="s">
        <v>55</v>
      </c>
      <c r="D27" s="20" t="s">
        <v>29</v>
      </c>
      <c r="E27" s="35"/>
      <c r="F27" s="29" t="str" cm="1">
        <f t="array" ref="F27">IF(V27 &lt;&gt; "", V27, IFERROR(_xlfn.SINGLE(INDEX($G$1:G26,SUMPRODUCT(MAX(($W$1:W26=W27)*(ROW($W$1:W26))))))+IF(D27="Fiscal",30,90),""))</f>
        <v/>
      </c>
      <c r="G27" s="21">
        <v>45699</v>
      </c>
      <c r="H27" s="15">
        <f t="shared" si="30"/>
        <v>45709</v>
      </c>
      <c r="I27" s="15">
        <v>45702</v>
      </c>
      <c r="J27" s="32" t="s">
        <v>56</v>
      </c>
      <c r="K27" s="15">
        <f t="shared" si="31"/>
        <v>45719</v>
      </c>
      <c r="L27" s="15">
        <v>45707</v>
      </c>
      <c r="M27" s="15">
        <f t="shared" si="32"/>
        <v>45724</v>
      </c>
      <c r="N27" s="13">
        <v>45723</v>
      </c>
      <c r="O27" s="2" t="str">
        <f>IFERROR(IF(tblColetas[[#This Row],[Status Coleta]]="Reprovado","Reprovado",IF(ISERROR(SEARCH("Poço",D27)),IF(N27="","Erro",IF(Q27="Reprovado","",WORKDAY(N27,IF(D27="Operacional",10,3),FERIADOS!$A$3:$A$119))),"-")),"-")</f>
        <v>-</v>
      </c>
      <c r="P27" s="21"/>
      <c r="Q27" s="7" t="s">
        <v>37</v>
      </c>
      <c r="R27" s="13"/>
      <c r="S27" s="30"/>
      <c r="T27" s="43"/>
      <c r="W27" t="str">
        <f t="shared" si="20"/>
        <v>CDMPoço TUP-128 (P-06)Poço PVT</v>
      </c>
      <c r="X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" spans="1:24" ht="12.5" x14ac:dyDescent="0.25">
      <c r="A28" s="10"/>
      <c r="B28" s="19" t="s">
        <v>52</v>
      </c>
      <c r="C28" s="5" t="s">
        <v>57</v>
      </c>
      <c r="D28" s="20" t="s">
        <v>26</v>
      </c>
      <c r="E28" s="35"/>
      <c r="F28" s="29" t="str" cm="1">
        <f t="array" ref="F28">IF(V28 &lt;&gt; "", V28, IFERROR(_xlfn.SINGLE(INDEX($G$1:G27,SUMPRODUCT(MAX(($W$1:W27=W28)*(ROW($W$1:W27))))))+IF(D28="Fiscal",30,90),""))</f>
        <v/>
      </c>
      <c r="G28" s="21">
        <v>45690</v>
      </c>
      <c r="H28" s="15">
        <f t="shared" ref="H28:H29" si="33">IF(G28="","Erro", G28+10)</f>
        <v>45700</v>
      </c>
      <c r="I28" s="15">
        <v>45696</v>
      </c>
      <c r="J28" s="32" t="s">
        <v>58</v>
      </c>
      <c r="K28" s="15">
        <f t="shared" ref="K28:K29" si="34">IF(G28="","Erro",G28+20)</f>
        <v>45710</v>
      </c>
      <c r="L28" s="15">
        <v>45699</v>
      </c>
      <c r="M28" s="15">
        <f t="shared" ref="M28:M29" si="35">IF(G28="","Erro",G28+IF(D28="Operacional",45,25))</f>
        <v>45715</v>
      </c>
      <c r="N28" s="13">
        <v>45715</v>
      </c>
      <c r="O28" s="2" t="str">
        <f>IFERROR(IF(tblColetas[[#This Row],[Status Coleta]]="Reprovado","Reprovado",IF(ISERROR(SEARCH("Poço",D28)),IF(N28="","Erro",IF(Q28="Reprovado","",WORKDAY(N28,IF(D28="Operacional",10,3),FERIADOS!$A$3:$A$119))),"-")),"-")</f>
        <v>-</v>
      </c>
      <c r="P28" s="21"/>
      <c r="Q28" s="7" t="s">
        <v>37</v>
      </c>
      <c r="R28" s="13"/>
      <c r="S28" s="30"/>
      <c r="T28" s="43"/>
      <c r="W28" t="str">
        <f t="shared" si="20"/>
        <v>SEPPoço MRO-18D P-5Poço CG</v>
      </c>
      <c r="X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" spans="1:24" ht="12.5" x14ac:dyDescent="0.25">
      <c r="A29" s="10"/>
      <c r="B29" s="19" t="s">
        <v>52</v>
      </c>
      <c r="C29" s="5" t="s">
        <v>57</v>
      </c>
      <c r="D29" s="20" t="s">
        <v>29</v>
      </c>
      <c r="E29" s="35"/>
      <c r="F29" s="29" t="str" cm="1">
        <f t="array" ref="F29">IF(V29 &lt;&gt; "", V29, IFERROR(_xlfn.SINGLE(INDEX($G$1:G28,SUMPRODUCT(MAX(($W$1:W28=W29)*(ROW($W$1:W28))))))+IF(D29="Fiscal",30,90),""))</f>
        <v/>
      </c>
      <c r="G29" s="21">
        <v>45690</v>
      </c>
      <c r="H29" s="15">
        <f t="shared" si="33"/>
        <v>45700</v>
      </c>
      <c r="I29" s="15">
        <v>45696</v>
      </c>
      <c r="J29" s="32" t="s">
        <v>58</v>
      </c>
      <c r="K29" s="15">
        <f t="shared" si="34"/>
        <v>45710</v>
      </c>
      <c r="L29" s="15">
        <v>45699</v>
      </c>
      <c r="M29" s="15">
        <f t="shared" si="35"/>
        <v>45715</v>
      </c>
      <c r="N29" s="13">
        <v>45715</v>
      </c>
      <c r="O29" s="2" t="str">
        <f>IFERROR(IF(tblColetas[[#This Row],[Status Coleta]]="Reprovado","Reprovado",IF(ISERROR(SEARCH("Poço",D29)),IF(N29="","Erro",IF(Q29="Reprovado","",WORKDAY(N29,IF(D29="Operacional",10,3),FERIADOS!$A$3:$A$119))),"-")),"-")</f>
        <v>-</v>
      </c>
      <c r="P29" s="21"/>
      <c r="Q29" s="7" t="s">
        <v>37</v>
      </c>
      <c r="R29" s="13"/>
      <c r="S29" s="30"/>
      <c r="T29" s="43"/>
      <c r="W29" t="str">
        <f t="shared" si="20"/>
        <v>SEPPoço MRO-18D P-5Poço PVT</v>
      </c>
      <c r="X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" spans="1:24" ht="12.5" x14ac:dyDescent="0.25">
      <c r="A30" s="10"/>
      <c r="B30" s="19" t="s">
        <v>38</v>
      </c>
      <c r="C30" s="5" t="s">
        <v>59</v>
      </c>
      <c r="D30" s="20" t="s">
        <v>26</v>
      </c>
      <c r="E30" s="35"/>
      <c r="F30" s="29" t="str" cm="1">
        <f t="array" ref="F30">IF(V30 &lt;&gt; "", V30, IFERROR(_xlfn.SINGLE(INDEX($G$1:G29,SUMPRODUCT(MAX(($W$1:W29=W30)*(ROW($W$1:W29))))))+IF(D30="Fiscal",30,90),""))</f>
        <v/>
      </c>
      <c r="G30" s="21">
        <v>45693</v>
      </c>
      <c r="H30" s="15">
        <f t="shared" ref="H30:H33" si="36">IF(G30="","Erro", G30+10)</f>
        <v>45703</v>
      </c>
      <c r="I30" s="15">
        <v>45698</v>
      </c>
      <c r="J30" s="32" t="s">
        <v>60</v>
      </c>
      <c r="K30" s="15">
        <f t="shared" ref="K30:K33" si="37">IF(G30="","Erro",G30+20)</f>
        <v>45713</v>
      </c>
      <c r="L30" s="15">
        <v>45707</v>
      </c>
      <c r="M30" s="15">
        <f t="shared" ref="M30:M33" si="38">IF(G30="","Erro",G30+IF(D30="Operacional",45,25))</f>
        <v>45718</v>
      </c>
      <c r="N30" s="13">
        <v>45716</v>
      </c>
      <c r="O30" s="2" t="str">
        <f>IFERROR(IF(tblColetas[[#This Row],[Status Coleta]]="Reprovado","Reprovado",IF(ISERROR(SEARCH("Poço",D30)),IF(N30="","Erro",IF(Q30="Reprovado","",WORKDAY(N30,IF(D30="Operacional",10,3),FERIADOS!$A$3:$A$119))),"-")),"-")</f>
        <v>-</v>
      </c>
      <c r="P30" s="21"/>
      <c r="Q30" s="7" t="s">
        <v>37</v>
      </c>
      <c r="R30" s="13"/>
      <c r="S30" s="30"/>
      <c r="T30" s="43"/>
      <c r="W30" t="str">
        <f t="shared" si="20"/>
        <v>CDPPoço LL-11 (P-5)Poço CG</v>
      </c>
      <c r="X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" spans="1:24" ht="12.5" x14ac:dyDescent="0.25">
      <c r="A31" s="10"/>
      <c r="B31" s="19" t="s">
        <v>38</v>
      </c>
      <c r="C31" s="5" t="s">
        <v>59</v>
      </c>
      <c r="D31" s="20" t="s">
        <v>29</v>
      </c>
      <c r="E31" s="35"/>
      <c r="F31" s="29" t="str" cm="1">
        <f t="array" ref="F31">IF(V31 &lt;&gt; "", V31, IFERROR(_xlfn.SINGLE(INDEX($G$1:G30,SUMPRODUCT(MAX(($W$1:W30=W31)*(ROW($W$1:W30))))))+IF(D31="Fiscal",30,90),""))</f>
        <v/>
      </c>
      <c r="G31" s="21">
        <v>45693</v>
      </c>
      <c r="H31" s="15">
        <f t="shared" si="36"/>
        <v>45703</v>
      </c>
      <c r="I31" s="15">
        <v>45698</v>
      </c>
      <c r="J31" s="32" t="s">
        <v>60</v>
      </c>
      <c r="K31" s="15">
        <f t="shared" si="37"/>
        <v>45713</v>
      </c>
      <c r="L31" s="15">
        <v>45707</v>
      </c>
      <c r="M31" s="15">
        <f t="shared" si="38"/>
        <v>45718</v>
      </c>
      <c r="N31" s="13">
        <v>45716</v>
      </c>
      <c r="O31" s="2" t="str">
        <f>IFERROR(IF(tblColetas[[#This Row],[Status Coleta]]="Reprovado","Reprovado",IF(ISERROR(SEARCH("Poço",D31)),IF(N31="","Erro",IF(Q31="Reprovado","",WORKDAY(N31,IF(D31="Operacional",10,3),FERIADOS!$A$3:$A$119))),"-")),"-")</f>
        <v>-</v>
      </c>
      <c r="P31" s="21"/>
      <c r="Q31" s="7" t="s">
        <v>37</v>
      </c>
      <c r="R31" s="13"/>
      <c r="S31" s="30"/>
      <c r="T31" s="43"/>
      <c r="W31" t="str">
        <f t="shared" si="20"/>
        <v>CDPPoço LL-11 (P-5)Poço PVT</v>
      </c>
      <c r="X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" spans="1:24" ht="12.5" x14ac:dyDescent="0.25">
      <c r="A32" s="10"/>
      <c r="B32" s="19" t="s">
        <v>34</v>
      </c>
      <c r="C32" s="5" t="s">
        <v>61</v>
      </c>
      <c r="D32" s="20" t="s">
        <v>26</v>
      </c>
      <c r="E32" s="35"/>
      <c r="F32" s="29" t="str" cm="1">
        <f t="array" ref="F32">IF(V32 &lt;&gt; "", V32, IFERROR(_xlfn.SINGLE(INDEX($G$1:G31,SUMPRODUCT(MAX(($W$1:W31=W32)*(ROW($W$1:W31))))))+IF(D32="Fiscal",30,90),""))</f>
        <v/>
      </c>
      <c r="G32" s="21">
        <v>45693</v>
      </c>
      <c r="H32" s="15">
        <f t="shared" si="36"/>
        <v>45703</v>
      </c>
      <c r="I32" s="15">
        <v>45699</v>
      </c>
      <c r="J32" s="32" t="s">
        <v>62</v>
      </c>
      <c r="K32" s="15">
        <f t="shared" si="37"/>
        <v>45713</v>
      </c>
      <c r="L32" s="15">
        <v>45708</v>
      </c>
      <c r="M32" s="15">
        <f t="shared" si="38"/>
        <v>45718</v>
      </c>
      <c r="N32" s="13">
        <v>45716</v>
      </c>
      <c r="O32" s="2" t="str">
        <f>IFERROR(IF(tblColetas[[#This Row],[Status Coleta]]="Reprovado","Reprovado",IF(ISERROR(SEARCH("Poço",D32)),IF(N32="","Erro",IF(Q32="Reprovado","",WORKDAY(N32,IF(D32="Operacional",10,3),FERIADOS!$A$3:$A$119))),"-")),"-")</f>
        <v>-</v>
      </c>
      <c r="P32" s="21"/>
      <c r="Q32" s="7" t="s">
        <v>37</v>
      </c>
      <c r="R32" s="13"/>
      <c r="S32" s="30"/>
      <c r="T32" s="43"/>
      <c r="W32" t="str">
        <f t="shared" si="20"/>
        <v>CDSPoço LL-91 (P-02)Poço CG</v>
      </c>
      <c r="X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" spans="1:24" ht="12.5" x14ac:dyDescent="0.25">
      <c r="A33" s="10"/>
      <c r="B33" s="19" t="s">
        <v>34</v>
      </c>
      <c r="C33" s="5" t="s">
        <v>61</v>
      </c>
      <c r="D33" s="20" t="s">
        <v>29</v>
      </c>
      <c r="E33" s="35"/>
      <c r="F33" s="29" t="str" cm="1">
        <f t="array" ref="F33">IF(V33 &lt;&gt; "", V33, IFERROR(_xlfn.SINGLE(INDEX($G$1:G32,SUMPRODUCT(MAX(($W$1:W32=W33)*(ROW($W$1:W32))))))+IF(D33="Fiscal",30,90),""))</f>
        <v/>
      </c>
      <c r="G33" s="21">
        <v>45693</v>
      </c>
      <c r="H33" s="15">
        <f t="shared" si="36"/>
        <v>45703</v>
      </c>
      <c r="I33" s="15">
        <v>45699</v>
      </c>
      <c r="J33" s="32" t="s">
        <v>62</v>
      </c>
      <c r="K33" s="15">
        <f t="shared" si="37"/>
        <v>45713</v>
      </c>
      <c r="L33" s="15">
        <v>45708</v>
      </c>
      <c r="M33" s="15">
        <f t="shared" si="38"/>
        <v>45718</v>
      </c>
      <c r="N33" s="13">
        <v>45716</v>
      </c>
      <c r="O33" s="2" t="str">
        <f>IFERROR(IF(tblColetas[[#This Row],[Status Coleta]]="Reprovado","Reprovado",IF(ISERROR(SEARCH("Poço",D33)),IF(N33="","Erro",IF(Q33="Reprovado","",WORKDAY(N33,IF(D33="Operacional",10,3),FERIADOS!$A$3:$A$119))),"-")),"-")</f>
        <v>-</v>
      </c>
      <c r="P33" s="21"/>
      <c r="Q33" s="7" t="s">
        <v>37</v>
      </c>
      <c r="R33" s="13"/>
      <c r="S33" s="30"/>
      <c r="T33" s="43"/>
      <c r="W33" t="str">
        <f t="shared" si="20"/>
        <v>CDSPoço LL-91 (P-02)Poço PVT</v>
      </c>
      <c r="X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" spans="1:24" ht="12.5" x14ac:dyDescent="0.25">
      <c r="A34" s="10"/>
      <c r="B34" s="19" t="s">
        <v>46</v>
      </c>
      <c r="C34" s="5" t="s">
        <v>63</v>
      </c>
      <c r="D34" s="20" t="s">
        <v>26</v>
      </c>
      <c r="E34" s="35"/>
      <c r="F34" s="29" t="str" cm="1">
        <f t="array" ref="F34">IF(V34 &lt;&gt; "", V34, IFERROR(_xlfn.SINGLE(INDEX($G$1:G33,SUMPRODUCT(MAX(($W$1:W33=W34)*(ROW($W$1:W33))))))+IF(D34="Fiscal",30,90),""))</f>
        <v/>
      </c>
      <c r="G34" s="21">
        <v>45702</v>
      </c>
      <c r="H34" s="15">
        <f t="shared" ref="H34:H39" si="39">IF(G34="","Erro", G34+10)</f>
        <v>45712</v>
      </c>
      <c r="I34" s="15">
        <v>45705</v>
      </c>
      <c r="J34" s="32" t="s">
        <v>64</v>
      </c>
      <c r="K34" s="15">
        <f t="shared" ref="K34:K39" si="40">IF(G34="","Erro",G34+20)</f>
        <v>45722</v>
      </c>
      <c r="L34" s="15">
        <v>45721</v>
      </c>
      <c r="M34" s="15">
        <f t="shared" ref="M34:M39" si="41">IF(G34="","Erro",G34+IF(D34="Operacional",45,25))</f>
        <v>45727</v>
      </c>
      <c r="N34" s="13">
        <v>45727</v>
      </c>
      <c r="O34" s="2" t="str">
        <f>IFERROR(IF(tblColetas[[#This Row],[Status Coleta]]="Reprovado","Reprovado",IF(ISERROR(SEARCH("Poço",D34)),IF(N34="","Erro",IF(Q34="Reprovado","",WORKDAY(N34,IF(D34="Operacional",10,3),FERIADOS!$A$3:$A$119))),"-")),"-")</f>
        <v>-</v>
      </c>
      <c r="P34" s="21"/>
      <c r="Q34" s="7" t="s">
        <v>37</v>
      </c>
      <c r="R34" s="13"/>
      <c r="S34" s="30"/>
      <c r="T34" s="43"/>
      <c r="W34" t="str">
        <f t="shared" si="20"/>
        <v>CDMPoço LL-48 (P-01)Poço CG</v>
      </c>
      <c r="X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" spans="1:24" ht="12.5" x14ac:dyDescent="0.25">
      <c r="A35" s="10"/>
      <c r="B35" s="19" t="s">
        <v>46</v>
      </c>
      <c r="C35" s="5" t="s">
        <v>63</v>
      </c>
      <c r="D35" s="20" t="s">
        <v>29</v>
      </c>
      <c r="E35" s="35"/>
      <c r="F35" s="29" t="str" cm="1">
        <f t="array" ref="F35">IF(V35 &lt;&gt; "", V35, IFERROR(_xlfn.SINGLE(INDEX($G$1:G34,SUMPRODUCT(MAX(($W$1:W34=W35)*(ROW($W$1:W34))))))+IF(D35="Fiscal",30,90),""))</f>
        <v/>
      </c>
      <c r="G35" s="21">
        <v>45702</v>
      </c>
      <c r="H35" s="15">
        <f t="shared" si="39"/>
        <v>45712</v>
      </c>
      <c r="I35" s="15">
        <v>45705</v>
      </c>
      <c r="J35" s="32" t="s">
        <v>64</v>
      </c>
      <c r="K35" s="15">
        <f t="shared" si="40"/>
        <v>45722</v>
      </c>
      <c r="L35" s="15">
        <v>45721</v>
      </c>
      <c r="M35" s="15">
        <f t="shared" si="41"/>
        <v>45727</v>
      </c>
      <c r="N35" s="13">
        <v>45727</v>
      </c>
      <c r="O35" s="2" t="str">
        <f>IFERROR(IF(tblColetas[[#This Row],[Status Coleta]]="Reprovado","Reprovado",IF(ISERROR(SEARCH("Poço",D35)),IF(N35="","Erro",IF(Q35="Reprovado","",WORKDAY(N35,IF(D35="Operacional",10,3),FERIADOS!$A$3:$A$119))),"-")),"-")</f>
        <v>-</v>
      </c>
      <c r="P35" s="21"/>
      <c r="Q35" s="7" t="s">
        <v>37</v>
      </c>
      <c r="R35" s="13"/>
      <c r="S35" s="30"/>
      <c r="T35" s="43"/>
      <c r="W35" t="str">
        <f t="shared" si="20"/>
        <v>CDMPoço LL-48 (P-01)Poço PVT</v>
      </c>
      <c r="X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" spans="1:24" ht="12.5" x14ac:dyDescent="0.25">
      <c r="A36" s="10"/>
      <c r="B36" s="19" t="s">
        <v>38</v>
      </c>
      <c r="C36" s="5" t="s">
        <v>65</v>
      </c>
      <c r="D36" s="20" t="s">
        <v>26</v>
      </c>
      <c r="E36" s="35"/>
      <c r="F36" s="29" t="str" cm="1">
        <f t="array" ref="F36">IF(V36 &lt;&gt; "", V36, IFERROR(_xlfn.SINGLE(INDEX($G$1:G35,SUMPRODUCT(MAX(($W$1:W35=W36)*(ROW($W$1:W35))))))+IF(D36="Fiscal",30,90),""))</f>
        <v/>
      </c>
      <c r="G36" s="21">
        <v>45703</v>
      </c>
      <c r="H36" s="15">
        <f t="shared" si="39"/>
        <v>45713</v>
      </c>
      <c r="I36" s="15">
        <v>45703</v>
      </c>
      <c r="J36" s="32" t="s">
        <v>66</v>
      </c>
      <c r="K36" s="15">
        <f t="shared" si="40"/>
        <v>45723</v>
      </c>
      <c r="L36" s="15">
        <v>45723</v>
      </c>
      <c r="M36" s="15">
        <f t="shared" si="41"/>
        <v>45728</v>
      </c>
      <c r="N36" s="13">
        <v>45728</v>
      </c>
      <c r="O36" s="2" t="str">
        <f>IFERROR(IF(tblColetas[[#This Row],[Status Coleta]]="Reprovado","Reprovado",IF(ISERROR(SEARCH("Poço",D36)),IF(N36="","Erro",IF(Q36="Reprovado","",WORKDAY(N36,IF(D36="Operacional",10,3),FERIADOS!$A$3:$A$119))),"-")),"-")</f>
        <v>-</v>
      </c>
      <c r="P36" s="21"/>
      <c r="Q36" s="7" t="s">
        <v>37</v>
      </c>
      <c r="R36" s="13"/>
      <c r="S36" s="30"/>
      <c r="T36" s="43"/>
      <c r="W36" t="str">
        <f t="shared" si="20"/>
        <v>CDPPoço LL-22 (P-8)Poço CG</v>
      </c>
      <c r="X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" spans="1:24" ht="12.5" x14ac:dyDescent="0.25">
      <c r="A37" s="10"/>
      <c r="B37" s="19" t="s">
        <v>38</v>
      </c>
      <c r="C37" s="5" t="s">
        <v>65</v>
      </c>
      <c r="D37" s="20" t="s">
        <v>29</v>
      </c>
      <c r="E37" s="35"/>
      <c r="F37" s="29" t="str" cm="1">
        <f t="array" ref="F37">IF(V37 &lt;&gt; "", V37, IFERROR(_xlfn.SINGLE(INDEX($G$1:G36,SUMPRODUCT(MAX(($W$1:W36=W37)*(ROW($W$1:W36))))))+IF(D37="Fiscal",30,90),""))</f>
        <v/>
      </c>
      <c r="G37" s="21">
        <v>45703</v>
      </c>
      <c r="H37" s="15">
        <f t="shared" si="39"/>
        <v>45713</v>
      </c>
      <c r="I37" s="15">
        <v>45703</v>
      </c>
      <c r="J37" s="32" t="s">
        <v>66</v>
      </c>
      <c r="K37" s="15">
        <f t="shared" si="40"/>
        <v>45723</v>
      </c>
      <c r="L37" s="15">
        <v>45723</v>
      </c>
      <c r="M37" s="15">
        <f t="shared" si="41"/>
        <v>45728</v>
      </c>
      <c r="N37" s="13">
        <v>45728</v>
      </c>
      <c r="O37" s="2" t="str">
        <f>IFERROR(IF(tblColetas[[#This Row],[Status Coleta]]="Reprovado","Reprovado",IF(ISERROR(SEARCH("Poço",D37)),IF(N37="","Erro",IF(Q37="Reprovado","",WORKDAY(N37,IF(D37="Operacional",10,3),FERIADOS!$A$3:$A$119))),"-")),"-")</f>
        <v>-</v>
      </c>
      <c r="P37" s="21"/>
      <c r="Q37" s="7" t="s">
        <v>37</v>
      </c>
      <c r="R37" s="13"/>
      <c r="S37" s="30"/>
      <c r="T37" s="43"/>
      <c r="W37" t="str">
        <f t="shared" si="20"/>
        <v>CDPPoço LL-22 (P-8)Poço PVT</v>
      </c>
      <c r="X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" spans="1:24" ht="12.5" x14ac:dyDescent="0.25">
      <c r="A38" s="10"/>
      <c r="B38" s="19" t="s">
        <v>34</v>
      </c>
      <c r="C38" s="5" t="s">
        <v>67</v>
      </c>
      <c r="D38" s="20" t="s">
        <v>26</v>
      </c>
      <c r="E38" s="35"/>
      <c r="F38" s="29" t="str" cm="1">
        <f t="array" ref="F38">IF(V38 &lt;&gt; "", V38, IFERROR(_xlfn.SINGLE(INDEX($G$1:G37,SUMPRODUCT(MAX(($W$1:W37=W38)*(ROW($W$1:W37))))))+IF(D38="Fiscal",30,90),""))</f>
        <v/>
      </c>
      <c r="G38" s="21">
        <v>45701</v>
      </c>
      <c r="H38" s="15">
        <f t="shared" si="39"/>
        <v>45711</v>
      </c>
      <c r="I38" s="15">
        <v>45704</v>
      </c>
      <c r="J38" s="32" t="s">
        <v>68</v>
      </c>
      <c r="K38" s="15">
        <f t="shared" si="40"/>
        <v>45721</v>
      </c>
      <c r="L38" s="15">
        <v>45713</v>
      </c>
      <c r="M38" s="15">
        <f t="shared" si="41"/>
        <v>45726</v>
      </c>
      <c r="N38" s="13">
        <v>45726</v>
      </c>
      <c r="O38" s="2" t="str">
        <f>IFERROR(IF(tblColetas[[#This Row],[Status Coleta]]="Reprovado","Reprovado",IF(ISERROR(SEARCH("Poço",D38)),IF(N38="","Erro",IF(Q38="Reprovado","",WORKDAY(N38,IF(D38="Operacional",10,3),FERIADOS!$A$3:$A$119))),"-")),"-")</f>
        <v>-</v>
      </c>
      <c r="P38" s="21"/>
      <c r="Q38" s="7" t="s">
        <v>37</v>
      </c>
      <c r="R38" s="13"/>
      <c r="S38" s="30"/>
      <c r="T38" s="43"/>
      <c r="W38" t="str">
        <f t="shared" si="20"/>
        <v>CDSPoço LL-81 (P-09)Poço CG</v>
      </c>
      <c r="X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" spans="1:24" ht="12.5" x14ac:dyDescent="0.25">
      <c r="A39" s="10"/>
      <c r="B39" s="19" t="s">
        <v>34</v>
      </c>
      <c r="C39" s="5" t="s">
        <v>67</v>
      </c>
      <c r="D39" s="20" t="s">
        <v>29</v>
      </c>
      <c r="E39" s="35"/>
      <c r="F39" s="29" t="str" cm="1">
        <f t="array" ref="F39">IF(V39 &lt;&gt; "", V39, IFERROR(_xlfn.SINGLE(INDEX($G$1:G38,SUMPRODUCT(MAX(($W$1:W38=W39)*(ROW($W$1:W38))))))+IF(D39="Fiscal",30,90),""))</f>
        <v/>
      </c>
      <c r="G39" s="21">
        <v>45701</v>
      </c>
      <c r="H39" s="15">
        <f t="shared" si="39"/>
        <v>45711</v>
      </c>
      <c r="I39" s="15">
        <v>45704</v>
      </c>
      <c r="J39" s="32" t="s">
        <v>68</v>
      </c>
      <c r="K39" s="15">
        <f t="shared" si="40"/>
        <v>45721</v>
      </c>
      <c r="L39" s="15">
        <v>45713</v>
      </c>
      <c r="M39" s="15">
        <f t="shared" si="41"/>
        <v>45726</v>
      </c>
      <c r="N39" s="13">
        <v>45726</v>
      </c>
      <c r="O39" s="2" t="str">
        <f>IFERROR(IF(tblColetas[[#This Row],[Status Coleta]]="Reprovado","Reprovado",IF(ISERROR(SEARCH("Poço",D39)),IF(N39="","Erro",IF(Q39="Reprovado","",WORKDAY(N39,IF(D39="Operacional",10,3),FERIADOS!$A$3:$A$119))),"-")),"-")</f>
        <v>-</v>
      </c>
      <c r="P39" s="21"/>
      <c r="Q39" s="7" t="s">
        <v>37</v>
      </c>
      <c r="R39" s="13"/>
      <c r="S39" s="30"/>
      <c r="T39" s="43"/>
      <c r="W39" t="str">
        <f t="shared" si="20"/>
        <v>CDSPoço LL-81 (P-09)Poço PVT</v>
      </c>
      <c r="X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" spans="1:24" ht="12.5" x14ac:dyDescent="0.25">
      <c r="A40" s="10"/>
      <c r="B40" s="19" t="s">
        <v>31</v>
      </c>
      <c r="C40" s="5" t="s">
        <v>69</v>
      </c>
      <c r="D40" s="20" t="s">
        <v>70</v>
      </c>
      <c r="E40" s="35"/>
      <c r="F40" s="29" t="str" cm="1">
        <f t="array" ref="F40">IF(V40 &lt;&gt; "", V40, IFERROR(_xlfn.SINGLE(INDEX($G$1:G39,SUMPRODUCT(MAX(($W$1:W39=W40)*(ROW($W$1:W39))))))+IF(D40="Fiscal",30,90),""))</f>
        <v/>
      </c>
      <c r="G40" s="21">
        <v>45708</v>
      </c>
      <c r="H40" s="15">
        <f t="shared" ref="H40:H46" si="42">IF(G40="","Erro", G40+10)</f>
        <v>45718</v>
      </c>
      <c r="I40" s="15"/>
      <c r="J40" s="32"/>
      <c r="K40" s="15">
        <f t="shared" ref="K40:K46" si="43">IF(G40="","Erro",G40+20)</f>
        <v>45728</v>
      </c>
      <c r="L40" s="15"/>
      <c r="M40" s="15">
        <f t="shared" ref="M40:M46" si="44">IF(G40="","Erro",G40+IF(D40="Operacional",45,25))</f>
        <v>45733</v>
      </c>
      <c r="N40" s="13">
        <v>45733</v>
      </c>
      <c r="O40" s="2">
        <f>IFERROR(IF(tblColetas[[#This Row],[Status Coleta]]="Reprovado","Reprovado",IF(ISERROR(SEARCH("Poço",D40)),IF(N40="","Erro",IF(Q40="Reprovado","",WORKDAY(N40,IF(D40="Operacional",10,3),FERIADOS!$A$3:$A$119))),"-")),"-")</f>
        <v>45736</v>
      </c>
      <c r="P40" s="21">
        <v>45736</v>
      </c>
      <c r="Q40" s="7" t="s">
        <v>37</v>
      </c>
      <c r="R40" s="13"/>
      <c r="S40" s="30"/>
      <c r="T40" s="43"/>
      <c r="W40" t="str">
        <f t="shared" ref="W40:W95" si="45">B40&amp;C40&amp;D40</f>
        <v>CDIT73-AP-0001 (Gas Lift)Gas Lift</v>
      </c>
      <c r="X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" spans="1:24" ht="12.5" x14ac:dyDescent="0.25">
      <c r="A41" s="10"/>
      <c r="B41" s="19" t="s">
        <v>34</v>
      </c>
      <c r="C41" s="5" t="s">
        <v>71</v>
      </c>
      <c r="D41" s="20" t="s">
        <v>72</v>
      </c>
      <c r="E41" s="35"/>
      <c r="F41" s="29" t="str" cm="1">
        <f t="array" ref="F41">IF(V41 &lt;&gt; "", V41, IFERROR(_xlfn.SINGLE(INDEX($G$1:G40,SUMPRODUCT(MAX(($W$1:W40=W41)*(ROW($W$1:W40))))))+IF(D41="Fiscal",30,90),""))</f>
        <v/>
      </c>
      <c r="G41" s="21">
        <v>45660</v>
      </c>
      <c r="H41" s="15">
        <f t="shared" si="42"/>
        <v>45670</v>
      </c>
      <c r="I41" s="15"/>
      <c r="J41" s="32"/>
      <c r="K41" s="15">
        <f t="shared" si="43"/>
        <v>45680</v>
      </c>
      <c r="L41" s="15"/>
      <c r="M41" s="15">
        <f t="shared" si="44"/>
        <v>45685</v>
      </c>
      <c r="N41" s="13">
        <v>45685</v>
      </c>
      <c r="O41" s="2">
        <f>IFERROR(IF(tblColetas[[#This Row],[Status Coleta]]="Reprovado","Reprovado",IF(ISERROR(SEARCH("Poço",D41)),IF(N41="","Erro",IF(Q41="Reprovado","",WORKDAY(N41,IF(D41="Operacional",10,3),FERIADOS!$A$3:$A$119))),"-")),"-")</f>
        <v>45688</v>
      </c>
      <c r="P41" s="21">
        <v>45687</v>
      </c>
      <c r="Q41" s="7" t="s">
        <v>37</v>
      </c>
      <c r="R41" s="13"/>
      <c r="S41" s="30"/>
      <c r="T41" s="43"/>
      <c r="W41" t="str">
        <f t="shared" si="45"/>
        <v>CDST77-FT-0103 (Fuel Gas)Fiscal</v>
      </c>
      <c r="X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" spans="1:24" ht="12.5" x14ac:dyDescent="0.25">
      <c r="A42" s="10"/>
      <c r="B42" s="19" t="s">
        <v>34</v>
      </c>
      <c r="C42" s="5" t="s">
        <v>73</v>
      </c>
      <c r="D42" s="20" t="s">
        <v>72</v>
      </c>
      <c r="E42" s="35"/>
      <c r="F42" s="29" t="str" cm="1">
        <f t="array" ref="F42">IF(V42 &lt;&gt; "", V42, IFERROR(_xlfn.SINGLE(INDEX($G$1:G41,SUMPRODUCT(MAX(($W$1:W41=W42)*(ROW($W$1:W41))))))+IF(D42="Fiscal",30,90),""))</f>
        <v/>
      </c>
      <c r="G42" s="21">
        <v>45660</v>
      </c>
      <c r="H42" s="15">
        <f t="shared" si="42"/>
        <v>45670</v>
      </c>
      <c r="I42" s="15"/>
      <c r="J42" s="32"/>
      <c r="K42" s="15">
        <f t="shared" si="43"/>
        <v>45680</v>
      </c>
      <c r="L42" s="15"/>
      <c r="M42" s="15">
        <f t="shared" si="44"/>
        <v>45685</v>
      </c>
      <c r="N42" s="13">
        <v>45685</v>
      </c>
      <c r="O42" s="2">
        <f>IFERROR(IF(tblColetas[[#This Row],[Status Coleta]]="Reprovado","Reprovado",IF(ISERROR(SEARCH("Poço",D42)),IF(N42="","Erro",IF(Q42="Reprovado","",WORKDAY(N42,IF(D42="Operacional",10,3),FERIADOS!$A$3:$A$119))),"-")),"-")</f>
        <v>45688</v>
      </c>
      <c r="P42" s="21">
        <v>45687</v>
      </c>
      <c r="Q42" s="7" t="s">
        <v>37</v>
      </c>
      <c r="R42" s="13"/>
      <c r="S42" s="30"/>
      <c r="T42" s="43"/>
      <c r="W42" t="str">
        <f t="shared" si="45"/>
        <v>CDST74-AX-6911 (Export Gas)Fiscal</v>
      </c>
      <c r="X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" spans="1:24" ht="12.5" x14ac:dyDescent="0.25">
      <c r="A43" s="10"/>
      <c r="B43" s="19" t="s">
        <v>34</v>
      </c>
      <c r="C43" s="5" t="s">
        <v>74</v>
      </c>
      <c r="D43" s="20" t="s">
        <v>72</v>
      </c>
      <c r="E43" s="35"/>
      <c r="F43" s="29" t="str" cm="1">
        <f t="array" ref="F43">IF(V43 &lt;&gt; "", V43, IFERROR(_xlfn.SINGLE(INDEX($G$1:G42,SUMPRODUCT(MAX(($W$1:W42=W43)*(ROW($W$1:W42))))))+IF(D43="Fiscal",30,90),""))</f>
        <v/>
      </c>
      <c r="G43" s="21">
        <v>45660</v>
      </c>
      <c r="H43" s="15">
        <f t="shared" si="42"/>
        <v>45670</v>
      </c>
      <c r="I43" s="15"/>
      <c r="J43" s="32"/>
      <c r="K43" s="15">
        <f t="shared" si="43"/>
        <v>45680</v>
      </c>
      <c r="L43" s="15"/>
      <c r="M43" s="15">
        <f t="shared" si="44"/>
        <v>45685</v>
      </c>
      <c r="N43" s="13">
        <v>45685</v>
      </c>
      <c r="O43" s="2">
        <f>IFERROR(IF(tblColetas[[#This Row],[Status Coleta]]="Reprovado","Reprovado",IF(ISERROR(SEARCH("Poço",D43)),IF(N43="","Erro",IF(Q43="Reprovado","",WORKDAY(N43,IF(D43="Operacional",10,3),FERIADOS!$A$3:$A$119))),"-")),"-")</f>
        <v>45688</v>
      </c>
      <c r="P43" s="21">
        <v>45687</v>
      </c>
      <c r="Q43" s="7" t="s">
        <v>37</v>
      </c>
      <c r="R43" s="13"/>
      <c r="S43" s="30"/>
      <c r="T43" s="43"/>
      <c r="W43" t="str">
        <f t="shared" si="45"/>
        <v>CDST76-FT-0014 (HP Flare)Fiscal</v>
      </c>
      <c r="X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" spans="1:24" ht="12.5" x14ac:dyDescent="0.25">
      <c r="A44" s="10"/>
      <c r="B44" s="19" t="s">
        <v>34</v>
      </c>
      <c r="C44" s="5" t="s">
        <v>75</v>
      </c>
      <c r="D44" s="20" t="s">
        <v>72</v>
      </c>
      <c r="E44" s="35"/>
      <c r="F44" s="29" t="str" cm="1">
        <f t="array" ref="F44">IF(V44 &lt;&gt; "", V44, IFERROR(_xlfn.SINGLE(INDEX($G$1:G43,SUMPRODUCT(MAX(($W$1:W43=W44)*(ROW($W$1:W43))))))+IF(D44="Fiscal",30,90),""))</f>
        <v/>
      </c>
      <c r="G44" s="21">
        <v>45660</v>
      </c>
      <c r="H44" s="15">
        <f t="shared" si="42"/>
        <v>45670</v>
      </c>
      <c r="I44" s="15"/>
      <c r="J44" s="32"/>
      <c r="K44" s="15">
        <f t="shared" si="43"/>
        <v>45680</v>
      </c>
      <c r="L44" s="15"/>
      <c r="M44" s="15">
        <f t="shared" si="44"/>
        <v>45685</v>
      </c>
      <c r="N44" s="13">
        <v>45685</v>
      </c>
      <c r="O44" s="2">
        <f>IFERROR(IF(tblColetas[[#This Row],[Status Coleta]]="Reprovado","Reprovado",IF(ISERROR(SEARCH("Poço",D44)),IF(N44="","Erro",IF(Q44="Reprovado","",WORKDAY(N44,IF(D44="Operacional",10,3),FERIADOS!$A$3:$A$119))),"-")),"-")</f>
        <v>45688</v>
      </c>
      <c r="P44" s="21">
        <v>45687</v>
      </c>
      <c r="Q44" s="7" t="s">
        <v>37</v>
      </c>
      <c r="R44" s="13"/>
      <c r="S44" s="30"/>
      <c r="T44" s="43"/>
      <c r="W44" t="str">
        <f t="shared" si="45"/>
        <v>CDST76-FT-0034 (LP Flare)Fiscal</v>
      </c>
      <c r="X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" spans="1:24" ht="12.5" x14ac:dyDescent="0.25">
      <c r="A45" s="10"/>
      <c r="B45" s="19" t="s">
        <v>24</v>
      </c>
      <c r="C45" s="5" t="s">
        <v>76</v>
      </c>
      <c r="D45" s="20" t="s">
        <v>72</v>
      </c>
      <c r="E45" s="35"/>
      <c r="F45" s="29" t="str" cm="1">
        <f t="array" ref="F45">IF(V45 &lt;&gt; "", V45, IFERROR(_xlfn.SINGLE(INDEX($G$1:G44,SUMPRODUCT(MAX(($W$1:W44=W45)*(ROW($W$1:W44))))))+IF(D45="Fiscal",30,90),""))</f>
        <v/>
      </c>
      <c r="G45" s="21">
        <v>45662</v>
      </c>
      <c r="H45" s="15">
        <f t="shared" si="42"/>
        <v>45672</v>
      </c>
      <c r="I45" s="15">
        <v>45663</v>
      </c>
      <c r="J45" s="32" t="s">
        <v>77</v>
      </c>
      <c r="K45" s="15">
        <f t="shared" si="43"/>
        <v>45682</v>
      </c>
      <c r="L45" s="15">
        <v>45679</v>
      </c>
      <c r="M45" s="15">
        <f t="shared" si="44"/>
        <v>45687</v>
      </c>
      <c r="N45" s="13">
        <v>45687</v>
      </c>
      <c r="O45" s="2">
        <f>IFERROR(IF(tblColetas[[#This Row],[Status Coleta]]="Reprovado","Reprovado",IF(ISERROR(SEARCH("Poço",D45)),IF(N45="","Erro",IF(Q45="Reprovado","",WORKDAY(N45,IF(D45="Operacional",10,3),FERIADOS!$A$3:$A$119))),"-")),"-")</f>
        <v>45692</v>
      </c>
      <c r="P45" s="21">
        <v>45691</v>
      </c>
      <c r="Q45" s="7" t="s">
        <v>37</v>
      </c>
      <c r="R45" s="13"/>
      <c r="S45" s="30"/>
      <c r="T45" s="43"/>
      <c r="W45" t="str">
        <f t="shared" si="45"/>
        <v>CDAM74-FT-005 (Export gas)Fiscal</v>
      </c>
      <c r="X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" spans="1:24" ht="12.5" x14ac:dyDescent="0.25">
      <c r="A46" s="10"/>
      <c r="B46" s="19" t="s">
        <v>24</v>
      </c>
      <c r="C46" s="5" t="s">
        <v>78</v>
      </c>
      <c r="D46" s="20" t="s">
        <v>72</v>
      </c>
      <c r="E46" s="35"/>
      <c r="F46" s="29" t="str" cm="1">
        <f t="array" ref="F46">IF(V46 &lt;&gt; "", V46, IFERROR(_xlfn.SINGLE(INDEX($G$1:G45,SUMPRODUCT(MAX(($W$1:W45=W46)*(ROW($W$1:W45))))))+IF(D46="Fiscal",30,90),""))</f>
        <v/>
      </c>
      <c r="G46" s="21">
        <v>45662</v>
      </c>
      <c r="H46" s="15">
        <f t="shared" si="42"/>
        <v>45672</v>
      </c>
      <c r="I46" s="15">
        <v>45663</v>
      </c>
      <c r="J46" s="32" t="s">
        <v>77</v>
      </c>
      <c r="K46" s="15">
        <f t="shared" si="43"/>
        <v>45682</v>
      </c>
      <c r="L46" s="15">
        <v>45679</v>
      </c>
      <c r="M46" s="15">
        <f t="shared" si="44"/>
        <v>45687</v>
      </c>
      <c r="N46" s="13">
        <v>45687</v>
      </c>
      <c r="O46" s="2">
        <f>IFERROR(IF(tblColetas[[#This Row],[Status Coleta]]="Reprovado","Reprovado",IF(ISERROR(SEARCH("Poço",D46)),IF(N46="","Erro",IF(Q46="Reprovado","",WORKDAY(N46,IF(D46="Operacional",10,3),FERIADOS!$A$3:$A$119))),"-")),"-")</f>
        <v>45692</v>
      </c>
      <c r="P46" s="21">
        <v>45691</v>
      </c>
      <c r="Q46" s="7" t="s">
        <v>37</v>
      </c>
      <c r="R46" s="13"/>
      <c r="S46" s="30"/>
      <c r="T46" s="43"/>
      <c r="W46" t="str">
        <f t="shared" si="45"/>
        <v>CDAT77-FT-001 (Fuel Gas)Fiscal</v>
      </c>
      <c r="X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" spans="1:24" ht="12.5" x14ac:dyDescent="0.25">
      <c r="A47" s="10"/>
      <c r="B47" s="19" t="s">
        <v>31</v>
      </c>
      <c r="C47" s="5" t="s">
        <v>79</v>
      </c>
      <c r="D47" s="20" t="s">
        <v>26</v>
      </c>
      <c r="E47" s="35"/>
      <c r="F47" s="29" t="str" cm="1">
        <f t="array" ref="F47">IF(V47 &lt;&gt; "", V47, IFERROR(_xlfn.SINGLE(INDEX($G$1:G46,SUMPRODUCT(MAX(($W$1:W46=W47)*(ROW($W$1:W46))))))+IF(D47="Fiscal",30,90),""))</f>
        <v/>
      </c>
      <c r="G47" s="21">
        <v>45717</v>
      </c>
      <c r="H47" s="15">
        <f t="shared" ref="H47:H66" si="46">IF(G47="","Erro", G47+10)</f>
        <v>45727</v>
      </c>
      <c r="I47" s="15">
        <v>45722</v>
      </c>
      <c r="J47" s="32" t="s">
        <v>80</v>
      </c>
      <c r="K47" s="15">
        <f t="shared" ref="K47:K66" si="47">IF(G47="","Erro",G47+20)</f>
        <v>45737</v>
      </c>
      <c r="L47" s="15">
        <v>45734</v>
      </c>
      <c r="M47" s="15">
        <f t="shared" ref="M47:M66" si="48">IF(G47="","Erro",G47+IF(D47="Operacional",45,25))</f>
        <v>45742</v>
      </c>
      <c r="N47" s="13">
        <v>45742</v>
      </c>
      <c r="O47" s="2" t="str">
        <f>IFERROR(IF(tblColetas[[#This Row],[Status Coleta]]="Reprovado","Reprovado",IF(ISERROR(SEARCH("Poço",D47)),IF(N47="","Erro",IF(Q47="Reprovado","",WORKDAY(N47,IF(D47="Operacional",10,3),FERIADOS!$A$3:$A$119))),"-")),"-")</f>
        <v>Reprovado</v>
      </c>
      <c r="P47" s="21"/>
      <c r="Q47" s="7" t="s">
        <v>81</v>
      </c>
      <c r="R47" s="13"/>
      <c r="S47" s="33" t="s">
        <v>82</v>
      </c>
      <c r="T47" s="43"/>
      <c r="W47" t="str">
        <f t="shared" si="45"/>
        <v>CDIPoço SPH-14 (P-6)Poço CG</v>
      </c>
      <c r="X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" spans="1:24" ht="12.5" x14ac:dyDescent="0.25">
      <c r="A48" s="10"/>
      <c r="B48" s="19" t="s">
        <v>31</v>
      </c>
      <c r="C48" s="5" t="s">
        <v>79</v>
      </c>
      <c r="D48" s="20" t="s">
        <v>29</v>
      </c>
      <c r="E48" s="35"/>
      <c r="F48" s="29" t="str" cm="1">
        <f t="array" ref="F48">IF(V48 &lt;&gt; "", V48, IFERROR(_xlfn.SINGLE(INDEX($G$1:G47,SUMPRODUCT(MAX(($W$1:W47=W48)*(ROW($W$1:W47))))))+IF(D48="Fiscal",30,90),""))</f>
        <v/>
      </c>
      <c r="G48" s="21">
        <v>45717</v>
      </c>
      <c r="H48" s="15">
        <f t="shared" si="46"/>
        <v>45727</v>
      </c>
      <c r="I48" s="15">
        <v>45722</v>
      </c>
      <c r="J48" s="32" t="s">
        <v>80</v>
      </c>
      <c r="K48" s="15">
        <f t="shared" si="47"/>
        <v>45737</v>
      </c>
      <c r="L48" s="15">
        <v>45734</v>
      </c>
      <c r="M48" s="15">
        <f t="shared" si="48"/>
        <v>45742</v>
      </c>
      <c r="N48" s="13">
        <v>45742</v>
      </c>
      <c r="O48" s="2" t="str">
        <f>IFERROR(IF(tblColetas[[#This Row],[Status Coleta]]="Reprovado","Reprovado",IF(ISERROR(SEARCH("Poço",D48)),IF(N48="","Erro",IF(Q48="Reprovado","",WORKDAY(N48,IF(D48="Operacional",10,3),FERIADOS!$A$3:$A$119))),"-")),"-")</f>
        <v>-</v>
      </c>
      <c r="P48" s="21"/>
      <c r="Q48" s="7" t="s">
        <v>37</v>
      </c>
      <c r="R48" s="13"/>
      <c r="S48" s="30"/>
      <c r="T48" s="43"/>
      <c r="W48" t="str">
        <f t="shared" si="45"/>
        <v>CDIPoço SPH-14 (P-6)Poço PVT</v>
      </c>
      <c r="X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" spans="1:24" ht="12.5" x14ac:dyDescent="0.25">
      <c r="A49" s="10"/>
      <c r="B49" s="19" t="s">
        <v>52</v>
      </c>
      <c r="C49" s="5" t="s">
        <v>83</v>
      </c>
      <c r="D49" s="20" t="s">
        <v>26</v>
      </c>
      <c r="E49" s="35"/>
      <c r="F49" s="29" t="str" cm="1">
        <f t="array" ref="F49">IF(V49 &lt;&gt; "", V49, IFERROR(_xlfn.SINGLE(INDEX($G$1:G48,SUMPRODUCT(MAX(($W$1:W48=W49)*(ROW($W$1:W48))))))+IF(D49="Fiscal",30,90),""))</f>
        <v/>
      </c>
      <c r="G49" s="21">
        <v>45722</v>
      </c>
      <c r="H49" s="15">
        <f t="shared" si="46"/>
        <v>45732</v>
      </c>
      <c r="I49" s="15">
        <v>45726</v>
      </c>
      <c r="J49" s="32" t="s">
        <v>84</v>
      </c>
      <c r="K49" s="15">
        <f t="shared" si="47"/>
        <v>45742</v>
      </c>
      <c r="L49" s="15">
        <v>45734</v>
      </c>
      <c r="M49" s="15">
        <f t="shared" si="48"/>
        <v>45747</v>
      </c>
      <c r="N49" s="13">
        <v>45747</v>
      </c>
      <c r="O49" s="2" t="str">
        <f>IFERROR(IF(tblColetas[[#This Row],[Status Coleta]]="Reprovado","Reprovado",IF(ISERROR(SEARCH("Poço",D49)),IF(N49="","Erro",IF(Q49="Reprovado","",WORKDAY(N49,IF(D49="Operacional",10,3),FERIADOS!$A$3:$A$119))),"-")),"-")</f>
        <v>-</v>
      </c>
      <c r="P49" s="21"/>
      <c r="Q49" s="7"/>
      <c r="R49" s="13"/>
      <c r="S49" s="30"/>
      <c r="T49" s="43"/>
      <c r="W49" t="str">
        <f t="shared" si="45"/>
        <v>SEPPoço MRO-16 P-2Poço CG</v>
      </c>
      <c r="X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" spans="1:24" ht="12.5" x14ac:dyDescent="0.25">
      <c r="A50" s="10"/>
      <c r="B50" s="19" t="s">
        <v>52</v>
      </c>
      <c r="C50" s="5" t="s">
        <v>83</v>
      </c>
      <c r="D50" s="20" t="s">
        <v>29</v>
      </c>
      <c r="E50" s="35"/>
      <c r="F50" s="29" t="str" cm="1">
        <f t="array" ref="F50">IF(V50 &lt;&gt; "", V50, IFERROR(_xlfn.SINGLE(INDEX($G$1:G49,SUMPRODUCT(MAX(($W$1:W49=W50)*(ROW($W$1:W49))))))+IF(D50="Fiscal",30,90),""))</f>
        <v/>
      </c>
      <c r="G50" s="21">
        <v>45722</v>
      </c>
      <c r="H50" s="15">
        <f t="shared" si="46"/>
        <v>45732</v>
      </c>
      <c r="I50" s="15">
        <v>45726</v>
      </c>
      <c r="J50" s="32" t="s">
        <v>84</v>
      </c>
      <c r="K50" s="15">
        <f t="shared" si="47"/>
        <v>45742</v>
      </c>
      <c r="L50" s="15">
        <v>45734</v>
      </c>
      <c r="M50" s="15">
        <f t="shared" si="48"/>
        <v>45747</v>
      </c>
      <c r="N50" s="13">
        <v>45747</v>
      </c>
      <c r="O50" s="2" t="str">
        <f>IFERROR(IF(tblColetas[[#This Row],[Status Coleta]]="Reprovado","Reprovado",IF(ISERROR(SEARCH("Poço",D50)),IF(N50="","Erro",IF(Q50="Reprovado","",WORKDAY(N50,IF(D50="Operacional",10,3),FERIADOS!$A$3:$A$119))),"-")),"-")</f>
        <v>-</v>
      </c>
      <c r="P50" s="21"/>
      <c r="Q50" s="7"/>
      <c r="R50" s="13"/>
      <c r="S50" s="30"/>
      <c r="T50" s="43"/>
      <c r="W50" t="str">
        <f t="shared" si="45"/>
        <v>SEPPoço MRO-16 P-2Poço PVT</v>
      </c>
      <c r="X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" spans="1:24" ht="12.5" x14ac:dyDescent="0.25">
      <c r="A51" s="10"/>
      <c r="B51" s="19" t="s">
        <v>31</v>
      </c>
      <c r="C51" s="5" t="s">
        <v>85</v>
      </c>
      <c r="D51" s="20" t="s">
        <v>26</v>
      </c>
      <c r="E51" s="35"/>
      <c r="F51" s="29" t="str" cm="1">
        <f t="array" ref="F51">IF(V51 &lt;&gt; "", V51, IFERROR(_xlfn.SINGLE(INDEX($G$1:G50,SUMPRODUCT(MAX(($W$1:W50=W51)*(ROW($W$1:W50))))))+IF(D51="Fiscal",30,90),""))</f>
        <v/>
      </c>
      <c r="G51" s="21">
        <v>45718</v>
      </c>
      <c r="H51" s="15">
        <f t="shared" si="46"/>
        <v>45728</v>
      </c>
      <c r="I51" s="15">
        <v>45722</v>
      </c>
      <c r="J51" s="32" t="s">
        <v>80</v>
      </c>
      <c r="K51" s="15">
        <f t="shared" si="47"/>
        <v>45738</v>
      </c>
      <c r="L51" s="15">
        <v>45734</v>
      </c>
      <c r="M51" s="15">
        <f t="shared" si="48"/>
        <v>45743</v>
      </c>
      <c r="N51" s="13">
        <v>45743</v>
      </c>
      <c r="O51" s="2" t="str">
        <f>IFERROR(IF(tblColetas[[#This Row],[Status Coleta]]="Reprovado","Reprovado",IF(ISERROR(SEARCH("Poço",D51)),IF(N51="","Erro",IF(Q51="Reprovado","",WORKDAY(N51,IF(D51="Operacional",10,3),FERIADOS!$A$3:$A$119))),"-")),"-")</f>
        <v>Reprovado</v>
      </c>
      <c r="P51" s="21"/>
      <c r="Q51" s="7" t="s">
        <v>81</v>
      </c>
      <c r="R51" s="13"/>
      <c r="S51" s="47" t="s">
        <v>86</v>
      </c>
      <c r="T51" s="43"/>
      <c r="W51" t="str">
        <f t="shared" si="45"/>
        <v>CDIPoço SPH-17 (P-9)Poço CG</v>
      </c>
      <c r="X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" spans="1:24" ht="12.5" x14ac:dyDescent="0.25">
      <c r="A52" s="10"/>
      <c r="B52" s="19" t="s">
        <v>31</v>
      </c>
      <c r="C52" s="5" t="s">
        <v>85</v>
      </c>
      <c r="D52" s="20" t="s">
        <v>29</v>
      </c>
      <c r="E52" s="35"/>
      <c r="F52" s="29" t="str" cm="1">
        <f t="array" ref="F52">IF(V52 &lt;&gt; "", V52, IFERROR(_xlfn.SINGLE(INDEX($G$1:G51,SUMPRODUCT(MAX(($W$1:W51=W52)*(ROW($W$1:W51))))))+IF(D52="Fiscal",30,90),""))</f>
        <v/>
      </c>
      <c r="G52" s="21">
        <v>45718</v>
      </c>
      <c r="H52" s="15">
        <f t="shared" si="46"/>
        <v>45728</v>
      </c>
      <c r="I52" s="15">
        <v>45722</v>
      </c>
      <c r="J52" s="32" t="s">
        <v>80</v>
      </c>
      <c r="K52" s="15">
        <f t="shared" si="47"/>
        <v>45738</v>
      </c>
      <c r="L52" s="15">
        <v>45734</v>
      </c>
      <c r="M52" s="15">
        <f t="shared" si="48"/>
        <v>45743</v>
      </c>
      <c r="N52" s="13">
        <v>45743</v>
      </c>
      <c r="O52" s="2" t="str">
        <f>IFERROR(IF(tblColetas[[#This Row],[Status Coleta]]="Reprovado","Reprovado",IF(ISERROR(SEARCH("Poço",D52)),IF(N52="","Erro",IF(Q52="Reprovado","",WORKDAY(N52,IF(D52="Operacional",10,3),FERIADOS!$A$3:$A$119))),"-")),"-")</f>
        <v>-</v>
      </c>
      <c r="P52" s="21"/>
      <c r="Q52" s="7" t="s">
        <v>37</v>
      </c>
      <c r="R52" s="13"/>
      <c r="S52" s="30"/>
      <c r="T52" s="43"/>
      <c r="W52" t="str">
        <f t="shared" si="45"/>
        <v>CDIPoço SPH-17 (P-9)Poço PVT</v>
      </c>
      <c r="X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" spans="1:24" ht="12.5" x14ac:dyDescent="0.25">
      <c r="A53" s="10"/>
      <c r="B53" s="19" t="s">
        <v>31</v>
      </c>
      <c r="C53" s="5" t="s">
        <v>87</v>
      </c>
      <c r="D53" s="20" t="s">
        <v>26</v>
      </c>
      <c r="E53" s="35"/>
      <c r="F53" s="29" t="str" cm="1">
        <f t="array" ref="F53">IF(V53 &lt;&gt; "", V53, IFERROR(_xlfn.SINGLE(INDEX($G$1:G52,SUMPRODUCT(MAX(($W$1:W52=W53)*(ROW($W$1:W52))))))+IF(D53="Fiscal",30,90),""))</f>
        <v/>
      </c>
      <c r="G53" s="21">
        <v>45727</v>
      </c>
      <c r="H53" s="15">
        <f t="shared" si="46"/>
        <v>45737</v>
      </c>
      <c r="I53" s="15">
        <v>45733</v>
      </c>
      <c r="J53" s="32" t="s">
        <v>88</v>
      </c>
      <c r="K53" s="15">
        <f t="shared" si="47"/>
        <v>45747</v>
      </c>
      <c r="L53" s="15">
        <v>45741</v>
      </c>
      <c r="M53" s="15">
        <f t="shared" si="48"/>
        <v>45752</v>
      </c>
      <c r="N53" s="13">
        <v>45752</v>
      </c>
      <c r="O53" s="2" t="str">
        <f>IFERROR(IF(tblColetas[[#This Row],[Status Coleta]]="Reprovado","Reprovado",IF(ISERROR(SEARCH("Poço",D53)),IF(N53="","Erro",IF(Q53="Reprovado","",WORKDAY(N53,IF(D53="Operacional",10,3),FERIADOS!$A$3:$A$119))),"-")),"-")</f>
        <v>-</v>
      </c>
      <c r="P53" s="21"/>
      <c r="Q53" s="7" t="s">
        <v>37</v>
      </c>
      <c r="R53" s="13"/>
      <c r="S53" s="30"/>
      <c r="T53" s="43"/>
      <c r="W53" t="str">
        <f t="shared" si="45"/>
        <v>CDIPoço SPH-8 (P-4)Poço CG</v>
      </c>
      <c r="X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" spans="1:24" ht="12.5" x14ac:dyDescent="0.25">
      <c r="A54" s="10"/>
      <c r="B54" s="19" t="s">
        <v>31</v>
      </c>
      <c r="C54" s="5" t="s">
        <v>87</v>
      </c>
      <c r="D54" s="20" t="s">
        <v>29</v>
      </c>
      <c r="E54" s="35"/>
      <c r="F54" s="29" t="str" cm="1">
        <f t="array" ref="F54">IF(V54 &lt;&gt; "", V54, IFERROR(_xlfn.SINGLE(INDEX($G$1:G53,SUMPRODUCT(MAX(($W$1:W53=W54)*(ROW($W$1:W53))))))+IF(D54="Fiscal",30,90),""))</f>
        <v/>
      </c>
      <c r="G54" s="21">
        <v>45727</v>
      </c>
      <c r="H54" s="15">
        <f t="shared" si="46"/>
        <v>45737</v>
      </c>
      <c r="I54" s="15">
        <v>45733</v>
      </c>
      <c r="J54" s="32" t="s">
        <v>88</v>
      </c>
      <c r="K54" s="15">
        <f t="shared" si="47"/>
        <v>45747</v>
      </c>
      <c r="L54" s="15">
        <v>45741</v>
      </c>
      <c r="M54" s="15">
        <f t="shared" si="48"/>
        <v>45752</v>
      </c>
      <c r="N54" s="13">
        <v>45752</v>
      </c>
      <c r="O54" s="2" t="str">
        <f>IFERROR(IF(tblColetas[[#This Row],[Status Coleta]]="Reprovado","Reprovado",IF(ISERROR(SEARCH("Poço",D54)),IF(N54="","Erro",IF(Q54="Reprovado","",WORKDAY(N54,IF(D54="Operacional",10,3),FERIADOS!$A$3:$A$119))),"-")),"-")</f>
        <v>-</v>
      </c>
      <c r="P54" s="21"/>
      <c r="Q54" s="7" t="s">
        <v>37</v>
      </c>
      <c r="R54" s="13"/>
      <c r="S54" s="30"/>
      <c r="T54" s="43"/>
      <c r="W54" t="str">
        <f t="shared" si="45"/>
        <v>CDIPoço SPH-8 (P-4)Poço PVT</v>
      </c>
      <c r="X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" spans="1:24" ht="12.5" x14ac:dyDescent="0.25">
      <c r="A55" s="10"/>
      <c r="B55" s="19" t="s">
        <v>34</v>
      </c>
      <c r="C55" s="5" t="s">
        <v>89</v>
      </c>
      <c r="D55" s="20" t="s">
        <v>26</v>
      </c>
      <c r="E55" s="35"/>
      <c r="F55" s="29" t="str" cm="1">
        <f t="array" ref="F55">IF(V55 &lt;&gt; "", V55, IFERROR(_xlfn.SINGLE(INDEX($G$1:G54,SUMPRODUCT(MAX(($W$1:W54=W55)*(ROW($W$1:W54))))))+IF(D55="Fiscal",30,90),""))</f>
        <v/>
      </c>
      <c r="G55" s="21">
        <v>45705</v>
      </c>
      <c r="H55" s="15">
        <f t="shared" si="46"/>
        <v>45715</v>
      </c>
      <c r="I55" s="15">
        <v>45712</v>
      </c>
      <c r="J55" s="32" t="s">
        <v>90</v>
      </c>
      <c r="K55" s="15">
        <f t="shared" si="47"/>
        <v>45725</v>
      </c>
      <c r="L55" s="15">
        <v>45721</v>
      </c>
      <c r="M55" s="15">
        <f t="shared" si="48"/>
        <v>45730</v>
      </c>
      <c r="N55" s="13">
        <v>45729</v>
      </c>
      <c r="O55" s="2" t="str">
        <f>IFERROR(IF(tblColetas[[#This Row],[Status Coleta]]="Reprovado","Reprovado",IF(ISERROR(SEARCH("Poço",D55)),IF(N55="","Erro",IF(Q55="Reprovado","",WORKDAY(N55,IF(D55="Operacional",10,3),FERIADOS!$A$3:$A$119))),"-")),"-")</f>
        <v>-</v>
      </c>
      <c r="P55" s="21"/>
      <c r="Q55" s="7" t="s">
        <v>37</v>
      </c>
      <c r="R55" s="13"/>
      <c r="S55" s="30"/>
      <c r="T55" s="43"/>
      <c r="W55" t="str">
        <f t="shared" si="45"/>
        <v>CDSPoço LL-46 (P-01)Poço CG</v>
      </c>
      <c r="X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" spans="1:24" ht="12.5" x14ac:dyDescent="0.25">
      <c r="A56" s="10"/>
      <c r="B56" s="19" t="s">
        <v>34</v>
      </c>
      <c r="C56" s="5" t="s">
        <v>89</v>
      </c>
      <c r="D56" s="20" t="s">
        <v>29</v>
      </c>
      <c r="E56" s="35"/>
      <c r="F56" s="29" t="str" cm="1">
        <f t="array" ref="F56">IF(V56 &lt;&gt; "", V56, IFERROR(_xlfn.SINGLE(INDEX($G$1:G55,SUMPRODUCT(MAX(($W$1:W55=W56)*(ROW($W$1:W55))))))+IF(D56="Fiscal",30,90),""))</f>
        <v/>
      </c>
      <c r="G56" s="21">
        <v>45705</v>
      </c>
      <c r="H56" s="15">
        <f t="shared" si="46"/>
        <v>45715</v>
      </c>
      <c r="I56" s="15">
        <v>45712</v>
      </c>
      <c r="J56" s="32" t="s">
        <v>90</v>
      </c>
      <c r="K56" s="15">
        <f t="shared" si="47"/>
        <v>45725</v>
      </c>
      <c r="L56" s="15">
        <v>45721</v>
      </c>
      <c r="M56" s="15">
        <f t="shared" si="48"/>
        <v>45730</v>
      </c>
      <c r="N56" s="13">
        <v>45729</v>
      </c>
      <c r="O56" s="2" t="str">
        <f>IFERROR(IF(tblColetas[[#This Row],[Status Coleta]]="Reprovado","Reprovado",IF(ISERROR(SEARCH("Poço",D56)),IF(N56="","Erro",IF(Q56="Reprovado","",WORKDAY(N56,IF(D56="Operacional",10,3),FERIADOS!$A$3:$A$119))),"-")),"-")</f>
        <v>Reprovado</v>
      </c>
      <c r="P56" s="21"/>
      <c r="Q56" s="7" t="s">
        <v>81</v>
      </c>
      <c r="R56" s="13"/>
      <c r="S56" s="30"/>
      <c r="T56" s="43"/>
      <c r="W56" t="str">
        <f t="shared" si="45"/>
        <v>CDSPoço LL-46 (P-01)Poço PVT</v>
      </c>
      <c r="X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" spans="1:24" ht="12.5" x14ac:dyDescent="0.25">
      <c r="A57" s="10"/>
      <c r="B57" s="19" t="s">
        <v>34</v>
      </c>
      <c r="C57" s="5" t="s">
        <v>91</v>
      </c>
      <c r="D57" s="20" t="s">
        <v>26</v>
      </c>
      <c r="E57" s="35"/>
      <c r="F57" s="29" t="str" cm="1">
        <f t="array" ref="F57">IF(V57 &lt;&gt; "", V57, IFERROR(_xlfn.SINGLE(INDEX($G$1:G56,SUMPRODUCT(MAX(($W$1:W56=W57)*(ROW($W$1:W56))))))+IF(D57="Fiscal",30,90),""))</f>
        <v/>
      </c>
      <c r="G57" s="21">
        <v>45673</v>
      </c>
      <c r="H57" s="15">
        <f t="shared" si="46"/>
        <v>45683</v>
      </c>
      <c r="I57" s="15">
        <v>45682</v>
      </c>
      <c r="J57" s="32" t="s">
        <v>44</v>
      </c>
      <c r="K57" s="15">
        <f t="shared" si="47"/>
        <v>45693</v>
      </c>
      <c r="L57" s="15">
        <v>45691</v>
      </c>
      <c r="M57" s="15">
        <f t="shared" si="48"/>
        <v>45698</v>
      </c>
      <c r="N57" s="13">
        <v>45698</v>
      </c>
      <c r="O57" s="2" t="str">
        <f>IFERROR(IF(tblColetas[[#This Row],[Status Coleta]]="Reprovado","Reprovado",IF(ISERROR(SEARCH("Poço",D57)),IF(N57="","Erro",IF(Q57="Reprovado","",WORKDAY(N57,IF(D57="Operacional",10,3),FERIADOS!$A$3:$A$119))),"-")),"-")</f>
        <v>-</v>
      </c>
      <c r="P57" s="21"/>
      <c r="Q57" s="7" t="s">
        <v>37</v>
      </c>
      <c r="R57" s="13"/>
      <c r="S57" s="30"/>
      <c r="T57" s="43"/>
      <c r="W57" t="str">
        <f t="shared" si="45"/>
        <v>CDSPoço LL-80 (P-08)Poço CG</v>
      </c>
      <c r="X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" spans="1:24" ht="12.5" x14ac:dyDescent="0.25">
      <c r="A58" s="10"/>
      <c r="B58" s="19" t="s">
        <v>34</v>
      </c>
      <c r="C58" s="5" t="s">
        <v>91</v>
      </c>
      <c r="D58" s="20" t="s">
        <v>29</v>
      </c>
      <c r="E58" s="35"/>
      <c r="F58" s="29" t="str" cm="1">
        <f t="array" ref="F58">IF(V58 &lt;&gt; "", V58, IFERROR(_xlfn.SINGLE(INDEX($G$1:G57,SUMPRODUCT(MAX(($W$1:W57=W58)*(ROW($W$1:W57))))))+IF(D58="Fiscal",30,90),""))</f>
        <v/>
      </c>
      <c r="G58" s="21">
        <v>45673</v>
      </c>
      <c r="H58" s="15">
        <f t="shared" si="46"/>
        <v>45683</v>
      </c>
      <c r="I58" s="15">
        <v>45682</v>
      </c>
      <c r="J58" s="32" t="s">
        <v>44</v>
      </c>
      <c r="K58" s="15">
        <f t="shared" si="47"/>
        <v>45693</v>
      </c>
      <c r="L58" s="15">
        <v>45691</v>
      </c>
      <c r="M58" s="15">
        <f t="shared" si="48"/>
        <v>45698</v>
      </c>
      <c r="N58" s="13">
        <v>45698</v>
      </c>
      <c r="O58" s="2" t="str">
        <f>IFERROR(IF(tblColetas[[#This Row],[Status Coleta]]="Reprovado","Reprovado",IF(ISERROR(SEARCH("Poço",D58)),IF(N58="","Erro",IF(Q58="Reprovado","",WORKDAY(N58,IF(D58="Operacional",10,3),FERIADOS!$A$3:$A$119))),"-")),"-")</f>
        <v>-</v>
      </c>
      <c r="P58" s="21"/>
      <c r="Q58" s="7" t="s">
        <v>37</v>
      </c>
      <c r="R58" s="13"/>
      <c r="S58" s="30"/>
      <c r="T58" s="43"/>
      <c r="W58" t="str">
        <f t="shared" si="45"/>
        <v>CDSPoço LL-80 (P-08)Poço PVT</v>
      </c>
      <c r="X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" spans="1:24" ht="12.5" x14ac:dyDescent="0.25">
      <c r="A59" s="10"/>
      <c r="B59" s="19" t="s">
        <v>46</v>
      </c>
      <c r="C59" s="5" t="s">
        <v>92</v>
      </c>
      <c r="D59" s="20" t="s">
        <v>26</v>
      </c>
      <c r="E59" s="35"/>
      <c r="F59" s="29" t="str" cm="1">
        <f t="array" ref="F59">IF(V59 &lt;&gt; "", V59, IFERROR(_xlfn.SINGLE(INDEX($G$1:G58,SUMPRODUCT(MAX(($W$1:W58=W59)*(ROW($W$1:W58))))))+IF(D59="Fiscal",30,90),""))</f>
        <v/>
      </c>
      <c r="G59" s="21">
        <v>45706</v>
      </c>
      <c r="H59" s="15">
        <f t="shared" si="46"/>
        <v>45716</v>
      </c>
      <c r="I59" s="15">
        <v>45705</v>
      </c>
      <c r="J59" s="32" t="s">
        <v>64</v>
      </c>
      <c r="K59" s="15">
        <f t="shared" si="47"/>
        <v>45726</v>
      </c>
      <c r="L59" s="15">
        <v>45721</v>
      </c>
      <c r="M59" s="15">
        <f t="shared" si="48"/>
        <v>45731</v>
      </c>
      <c r="N59" s="13">
        <v>45729</v>
      </c>
      <c r="O59" s="2" t="str">
        <f>IFERROR(IF(tblColetas[[#This Row],[Status Coleta]]="Reprovado","Reprovado",IF(ISERROR(SEARCH("Poço",D59)),IF(N59="","Erro",IF(Q59="Reprovado","",WORKDAY(N59,IF(D59="Operacional",10,3),FERIADOS!$A$3:$A$119))),"-")),"-")</f>
        <v>-</v>
      </c>
      <c r="P59" s="21"/>
      <c r="Q59" s="7" t="s">
        <v>37</v>
      </c>
      <c r="R59" s="13"/>
      <c r="S59" s="30"/>
      <c r="T59" s="43"/>
      <c r="W59" t="str">
        <f t="shared" si="45"/>
        <v>CDMPoço LL-12 (P-05)Poço CG</v>
      </c>
      <c r="X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" spans="1:24" ht="12.5" x14ac:dyDescent="0.25">
      <c r="A60" s="10"/>
      <c r="B60" s="19" t="s">
        <v>46</v>
      </c>
      <c r="C60" s="5" t="s">
        <v>92</v>
      </c>
      <c r="D60" s="20" t="s">
        <v>29</v>
      </c>
      <c r="E60" s="35"/>
      <c r="F60" s="29" t="str" cm="1">
        <f t="array" ref="F60">IF(V60 &lt;&gt; "", V60, IFERROR(_xlfn.SINGLE(INDEX($G$1:G59,SUMPRODUCT(MAX(($W$1:W59=W60)*(ROW($W$1:W59))))))+IF(D60="Fiscal",30,90),""))</f>
        <v/>
      </c>
      <c r="G60" s="21">
        <v>45706</v>
      </c>
      <c r="H60" s="15">
        <f t="shared" si="46"/>
        <v>45716</v>
      </c>
      <c r="I60" s="15">
        <v>45705</v>
      </c>
      <c r="J60" s="32" t="s">
        <v>64</v>
      </c>
      <c r="K60" s="15">
        <f t="shared" si="47"/>
        <v>45726</v>
      </c>
      <c r="L60" s="15">
        <v>45721</v>
      </c>
      <c r="M60" s="15">
        <f t="shared" si="48"/>
        <v>45731</v>
      </c>
      <c r="N60" s="13">
        <v>45729</v>
      </c>
      <c r="O60" s="2" t="str">
        <f>IFERROR(IF(tblColetas[[#This Row],[Status Coleta]]="Reprovado","Reprovado",IF(ISERROR(SEARCH("Poço",D60)),IF(N60="","Erro",IF(Q60="Reprovado","",WORKDAY(N60,IF(D60="Operacional",10,3),FERIADOS!$A$3:$A$119))),"-")),"-")</f>
        <v>-</v>
      </c>
      <c r="P60" s="21"/>
      <c r="Q60" s="7" t="s">
        <v>37</v>
      </c>
      <c r="R60" s="13"/>
      <c r="S60" s="30"/>
      <c r="T60" s="43"/>
      <c r="W60" t="str">
        <f t="shared" si="45"/>
        <v>CDMPoço LL-12 (P-05)Poço PVT</v>
      </c>
      <c r="X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" spans="1:24" ht="12.5" x14ac:dyDescent="0.25">
      <c r="A61" s="10"/>
      <c r="B61" s="19" t="s">
        <v>46</v>
      </c>
      <c r="C61" s="5" t="s">
        <v>93</v>
      </c>
      <c r="D61" s="20" t="s">
        <v>26</v>
      </c>
      <c r="E61" s="35"/>
      <c r="F61" s="29" t="str" cm="1">
        <f t="array" ref="F61">IF(V61 &lt;&gt; "", V61, IFERROR(_xlfn.SINGLE(INDEX($G$1:G60,SUMPRODUCT(MAX(($W$1:W60=W61)*(ROW($W$1:W60))))))+IF(D61="Fiscal",30,90),""))</f>
        <v/>
      </c>
      <c r="G61" s="21">
        <v>45713</v>
      </c>
      <c r="H61" s="15">
        <f t="shared" si="46"/>
        <v>45723</v>
      </c>
      <c r="I61" s="15">
        <v>45719</v>
      </c>
      <c r="J61" s="32" t="s">
        <v>94</v>
      </c>
      <c r="K61" s="15">
        <f t="shared" si="47"/>
        <v>45733</v>
      </c>
      <c r="L61" s="15">
        <v>45730</v>
      </c>
      <c r="M61" s="15">
        <f t="shared" si="48"/>
        <v>45738</v>
      </c>
      <c r="N61" s="13">
        <v>45737</v>
      </c>
      <c r="O61" s="2" t="str">
        <f>IFERROR(IF(tblColetas[[#This Row],[Status Coleta]]="Reprovado","Reprovado",IF(ISERROR(SEARCH("Poço",D61)),IF(N61="","Erro",IF(Q61="Reprovado","",WORKDAY(N61,IF(D61="Operacional",10,3),FERIADOS!$A$3:$A$119))),"-")),"-")</f>
        <v>-</v>
      </c>
      <c r="P61" s="21"/>
      <c r="Q61" s="7" t="s">
        <v>37</v>
      </c>
      <c r="R61" s="13"/>
      <c r="S61" s="30"/>
      <c r="T61" s="43"/>
      <c r="W61" t="str">
        <f t="shared" si="45"/>
        <v>CDMPoço LL-61 (P-16)Poço CG</v>
      </c>
      <c r="X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" spans="1:24" ht="12.5" x14ac:dyDescent="0.25">
      <c r="A62" s="10"/>
      <c r="B62" s="19" t="s">
        <v>46</v>
      </c>
      <c r="C62" s="5" t="s">
        <v>93</v>
      </c>
      <c r="D62" s="20" t="s">
        <v>29</v>
      </c>
      <c r="E62" s="35"/>
      <c r="F62" s="29" t="str" cm="1">
        <f t="array" ref="F62">IF(V62 &lt;&gt; "", V62, IFERROR(_xlfn.SINGLE(INDEX($G$1:G61,SUMPRODUCT(MAX(($W$1:W61=W62)*(ROW($W$1:W61))))))+IF(D62="Fiscal",30,90),""))</f>
        <v/>
      </c>
      <c r="G62" s="21">
        <v>45713</v>
      </c>
      <c r="H62" s="15">
        <f t="shared" si="46"/>
        <v>45723</v>
      </c>
      <c r="I62" s="15">
        <v>45719</v>
      </c>
      <c r="J62" s="32" t="s">
        <v>94</v>
      </c>
      <c r="K62" s="15">
        <f t="shared" si="47"/>
        <v>45733</v>
      </c>
      <c r="L62" s="15">
        <v>45730</v>
      </c>
      <c r="M62" s="15">
        <f t="shared" si="48"/>
        <v>45738</v>
      </c>
      <c r="N62" s="13">
        <v>45737</v>
      </c>
      <c r="O62" s="2" t="str">
        <f>IFERROR(IF(tblColetas[[#This Row],[Status Coleta]]="Reprovado","Reprovado",IF(ISERROR(SEARCH("Poço",D62)),IF(N62="","Erro",IF(Q62="Reprovado","",WORKDAY(N62,IF(D62="Operacional",10,3),FERIADOS!$A$3:$A$119))),"-")),"-")</f>
        <v>Reprovado</v>
      </c>
      <c r="P62" s="21"/>
      <c r="Q62" s="7" t="s">
        <v>81</v>
      </c>
      <c r="R62" s="13"/>
      <c r="S62" s="30"/>
      <c r="T62" s="43"/>
      <c r="W62" t="str">
        <f t="shared" si="45"/>
        <v>CDMPoço LL-61 (P-16)Poço PVT</v>
      </c>
      <c r="X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" spans="1:24" ht="12.5" x14ac:dyDescent="0.25">
      <c r="A63" s="10"/>
      <c r="B63" s="19" t="s">
        <v>31</v>
      </c>
      <c r="C63" s="5" t="s">
        <v>95</v>
      </c>
      <c r="D63" s="20" t="s">
        <v>26</v>
      </c>
      <c r="E63" s="35"/>
      <c r="F63" s="29" t="str" cm="1">
        <f t="array" ref="F63">IF(V63 &lt;&gt; "", V63, IFERROR(_xlfn.SINGLE(INDEX($G$1:G62,SUMPRODUCT(MAX(($W$1:W62=W63)*(ROW($W$1:W62))))))+IF(D63="Fiscal",30,90),""))</f>
        <v/>
      </c>
      <c r="G63" s="21">
        <v>45719</v>
      </c>
      <c r="H63" s="15">
        <f t="shared" si="46"/>
        <v>45729</v>
      </c>
      <c r="I63" s="15">
        <v>45722</v>
      </c>
      <c r="J63" s="32" t="s">
        <v>80</v>
      </c>
      <c r="K63" s="15">
        <f t="shared" si="47"/>
        <v>45739</v>
      </c>
      <c r="L63" s="15">
        <v>45734</v>
      </c>
      <c r="M63" s="15">
        <f t="shared" si="48"/>
        <v>45744</v>
      </c>
      <c r="N63" s="13">
        <v>45743</v>
      </c>
      <c r="O63" s="2" t="str">
        <f>IFERROR(IF(tblColetas[[#This Row],[Status Coleta]]="Reprovado","Reprovado",IF(ISERROR(SEARCH("Poço",D63)),IF(N63="","Erro",IF(Q63="Reprovado","",WORKDAY(N63,IF(D63="Operacional",10,3),FERIADOS!$A$3:$A$119))),"-")),"-")</f>
        <v>-</v>
      </c>
      <c r="P63" s="21"/>
      <c r="Q63" s="7" t="s">
        <v>37</v>
      </c>
      <c r="R63" s="13"/>
      <c r="S63" s="30"/>
      <c r="T63" s="43"/>
      <c r="W63" t="str">
        <f t="shared" si="45"/>
        <v>CDIPoço SPH-20 (P-5)Poço CG</v>
      </c>
      <c r="X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" spans="1:24" ht="12.5" x14ac:dyDescent="0.25">
      <c r="A64" s="10"/>
      <c r="B64" s="19" t="s">
        <v>31</v>
      </c>
      <c r="C64" s="5" t="s">
        <v>95</v>
      </c>
      <c r="D64" s="20" t="s">
        <v>29</v>
      </c>
      <c r="E64" s="35"/>
      <c r="F64" s="29" t="str" cm="1">
        <f t="array" ref="F64">IF(V64 &lt;&gt; "", V64, IFERROR(_xlfn.SINGLE(INDEX($G$1:G63,SUMPRODUCT(MAX(($W$1:W63=W64)*(ROW($W$1:W63))))))+IF(D64="Fiscal",30,90),""))</f>
        <v/>
      </c>
      <c r="G64" s="21">
        <v>45719</v>
      </c>
      <c r="H64" s="15">
        <f t="shared" si="46"/>
        <v>45729</v>
      </c>
      <c r="I64" s="15">
        <v>45722</v>
      </c>
      <c r="J64" s="32" t="s">
        <v>80</v>
      </c>
      <c r="K64" s="15">
        <f t="shared" si="47"/>
        <v>45739</v>
      </c>
      <c r="L64" s="15">
        <v>45734</v>
      </c>
      <c r="M64" s="15">
        <f t="shared" si="48"/>
        <v>45744</v>
      </c>
      <c r="N64" s="13">
        <v>45743</v>
      </c>
      <c r="O64" s="2" t="str">
        <f>IFERROR(IF(tblColetas[[#This Row],[Status Coleta]]="Reprovado","Reprovado",IF(ISERROR(SEARCH("Poço",D64)),IF(N64="","Erro",IF(Q64="Reprovado","",WORKDAY(N64,IF(D64="Operacional",10,3),FERIADOS!$A$3:$A$119))),"-")),"-")</f>
        <v>-</v>
      </c>
      <c r="P64" s="21"/>
      <c r="Q64" s="7" t="s">
        <v>37</v>
      </c>
      <c r="R64" s="13"/>
      <c r="S64" s="30"/>
      <c r="T64" s="43"/>
      <c r="W64" t="str">
        <f t="shared" si="45"/>
        <v>CDIPoço SPH-20 (P-5)Poço PVT</v>
      </c>
      <c r="X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" spans="1:24" ht="12.5" x14ac:dyDescent="0.25">
      <c r="A65" s="10"/>
      <c r="B65" s="19" t="s">
        <v>38</v>
      </c>
      <c r="C65" s="5" t="s">
        <v>96</v>
      </c>
      <c r="D65" s="20" t="s">
        <v>26</v>
      </c>
      <c r="E65" s="35"/>
      <c r="F65" s="29" t="str" cm="1">
        <f t="array" ref="F65">IF(V65 &lt;&gt; "", V65, IFERROR(_xlfn.SINGLE(INDEX($G$1:G64,SUMPRODUCT(MAX(($W$1:W64=W65)*(ROW($W$1:W64))))))+IF(D65="Fiscal",30,90),""))</f>
        <v/>
      </c>
      <c r="G65" s="21">
        <v>45709</v>
      </c>
      <c r="H65" s="15">
        <f t="shared" si="46"/>
        <v>45719</v>
      </c>
      <c r="I65" s="15">
        <v>45713</v>
      </c>
      <c r="J65" s="32" t="s">
        <v>97</v>
      </c>
      <c r="K65" s="15">
        <f t="shared" si="47"/>
        <v>45729</v>
      </c>
      <c r="L65" s="15">
        <v>45721</v>
      </c>
      <c r="M65" s="15">
        <f t="shared" si="48"/>
        <v>45734</v>
      </c>
      <c r="N65" s="13">
        <v>45734</v>
      </c>
      <c r="O65" s="2" t="str">
        <f>IFERROR(IF(tblColetas[[#This Row],[Status Coleta]]="Reprovado","Reprovado",IF(ISERROR(SEARCH("Poço",D65)),IF(N65="","Erro",IF(Q65="Reprovado","",WORKDAY(N65,IF(D65="Operacional",10,3),FERIADOS!$A$3:$A$119))),"-")),"-")</f>
        <v>-</v>
      </c>
      <c r="P65" s="21"/>
      <c r="Q65" s="7" t="s">
        <v>37</v>
      </c>
      <c r="R65" s="13"/>
      <c r="S65" s="30"/>
      <c r="T65" s="43"/>
      <c r="W65" t="str">
        <f t="shared" si="45"/>
        <v>CDPPoço TUP-120 (P-7)Poço CG</v>
      </c>
      <c r="X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" spans="1:24" ht="12.5" x14ac:dyDescent="0.25">
      <c r="A66" s="10"/>
      <c r="B66" s="19" t="s">
        <v>38</v>
      </c>
      <c r="C66" s="5" t="s">
        <v>96</v>
      </c>
      <c r="D66" s="20" t="s">
        <v>29</v>
      </c>
      <c r="E66" s="35"/>
      <c r="F66" s="29" t="str" cm="1">
        <f t="array" ref="F66">IF(V66 &lt;&gt; "", V66, IFERROR(_xlfn.SINGLE(INDEX($G$1:G65,SUMPRODUCT(MAX(($W$1:W65=W66)*(ROW($W$1:W65))))))+IF(D66="Fiscal",30,90),""))</f>
        <v/>
      </c>
      <c r="G66" s="21">
        <v>45709</v>
      </c>
      <c r="H66" s="15">
        <f t="shared" si="46"/>
        <v>45719</v>
      </c>
      <c r="I66" s="15">
        <v>45713</v>
      </c>
      <c r="J66" s="32" t="s">
        <v>97</v>
      </c>
      <c r="K66" s="15">
        <f t="shared" si="47"/>
        <v>45729</v>
      </c>
      <c r="L66" s="15">
        <v>45721</v>
      </c>
      <c r="M66" s="15">
        <f t="shared" si="48"/>
        <v>45734</v>
      </c>
      <c r="N66" s="13">
        <v>45734</v>
      </c>
      <c r="O66" s="2" t="str">
        <f>IFERROR(IF(tblColetas[[#This Row],[Status Coleta]]="Reprovado","Reprovado",IF(ISERROR(SEARCH("Poço",D66)),IF(N66="","Erro",IF(Q66="Reprovado","",WORKDAY(N66,IF(D66="Operacional",10,3),FERIADOS!$A$3:$A$119))),"-")),"-")</f>
        <v>-</v>
      </c>
      <c r="P66" s="21"/>
      <c r="Q66" s="7" t="s">
        <v>37</v>
      </c>
      <c r="R66" s="13"/>
      <c r="S66" s="30"/>
      <c r="T66" s="43"/>
      <c r="W66" t="str">
        <f t="shared" si="45"/>
        <v>CDPPoço TUP-120 (P-7)Poço PVT</v>
      </c>
      <c r="X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" spans="1:24" ht="12.5" x14ac:dyDescent="0.25">
      <c r="A67" s="10"/>
      <c r="B67" s="19" t="s">
        <v>38</v>
      </c>
      <c r="C67" s="5" t="s">
        <v>74</v>
      </c>
      <c r="D67" s="20" t="s">
        <v>72</v>
      </c>
      <c r="E67" s="35"/>
      <c r="F67" s="29" t="str" cm="1">
        <f t="array" ref="F67">IF(V67 &lt;&gt; "", V67, IFERROR(_xlfn.SINGLE(INDEX($G$1:G66,SUMPRODUCT(MAX(($W$1:W66=W67)*(ROW($W$1:W66))))))+IF(D67="Fiscal",30,90),""))</f>
        <v/>
      </c>
      <c r="G67" s="21">
        <v>45671</v>
      </c>
      <c r="H67" s="15">
        <f t="shared" ref="H67:H73" si="49">IF(G67="","Erro", G67+10)</f>
        <v>45681</v>
      </c>
      <c r="I67" s="15"/>
      <c r="J67" s="32"/>
      <c r="K67" s="15">
        <f t="shared" ref="K67:K73" si="50">IF(G67="","Erro",G67+20)</f>
        <v>45691</v>
      </c>
      <c r="L67" s="15"/>
      <c r="M67" s="15">
        <f t="shared" ref="M67:M73" si="51">IF(G67="","Erro",G67+IF(D67="Operacional",45,25))</f>
        <v>45696</v>
      </c>
      <c r="N67" s="13">
        <v>45695</v>
      </c>
      <c r="O67" s="2">
        <f>IFERROR(IF(tblColetas[[#This Row],[Status Coleta]]="Reprovado","Reprovado",IF(ISERROR(SEARCH("Poço",D67)),IF(N67="","Erro",IF(Q67="Reprovado","",WORKDAY(N67,IF(D67="Operacional",10,3),FERIADOS!$A$3:$A$119))),"-")),"-")</f>
        <v>45700</v>
      </c>
      <c r="P67" s="21">
        <v>45700</v>
      </c>
      <c r="Q67" s="7" t="s">
        <v>37</v>
      </c>
      <c r="R67" s="13"/>
      <c r="S67" s="30"/>
      <c r="T67" s="43"/>
      <c r="W67" t="str">
        <f t="shared" si="45"/>
        <v>CDPT76-FT-0014 (HP Flare)Fiscal</v>
      </c>
      <c r="X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" spans="1:24" ht="12.5" x14ac:dyDescent="0.25">
      <c r="A68" s="10"/>
      <c r="B68" s="19" t="s">
        <v>38</v>
      </c>
      <c r="C68" s="5" t="s">
        <v>75</v>
      </c>
      <c r="D68" s="20" t="s">
        <v>72</v>
      </c>
      <c r="E68" s="35"/>
      <c r="F68" s="29" t="str" cm="1">
        <f t="array" ref="F68">IF(V68 &lt;&gt; "", V68, IFERROR(_xlfn.SINGLE(INDEX($G$1:G67,SUMPRODUCT(MAX(($W$1:W67=W68)*(ROW($W$1:W67))))))+IF(D68="Fiscal",30,90),""))</f>
        <v/>
      </c>
      <c r="G68" s="21">
        <v>45671</v>
      </c>
      <c r="H68" s="15">
        <f t="shared" si="49"/>
        <v>45681</v>
      </c>
      <c r="I68" s="15"/>
      <c r="J68" s="32"/>
      <c r="K68" s="15">
        <f t="shared" si="50"/>
        <v>45691</v>
      </c>
      <c r="L68" s="15"/>
      <c r="M68" s="15">
        <f t="shared" si="51"/>
        <v>45696</v>
      </c>
      <c r="N68" s="13">
        <v>45695</v>
      </c>
      <c r="O68" s="2">
        <f>IFERROR(IF(tblColetas[[#This Row],[Status Coleta]]="Reprovado","Reprovado",IF(ISERROR(SEARCH("Poço",D68)),IF(N68="","Erro",IF(Q68="Reprovado","",WORKDAY(N68,IF(D68="Operacional",10,3),FERIADOS!$A$3:$A$119))),"-")),"-")</f>
        <v>45700</v>
      </c>
      <c r="P68" s="21">
        <v>45700</v>
      </c>
      <c r="Q68" s="7" t="s">
        <v>37</v>
      </c>
      <c r="R68" s="13"/>
      <c r="S68" s="30"/>
      <c r="T68" s="43"/>
      <c r="W68" t="str">
        <f t="shared" si="45"/>
        <v>CDPT76-FT-0034 (LP Flare)Fiscal</v>
      </c>
      <c r="X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" spans="1:24" ht="12.5" x14ac:dyDescent="0.25">
      <c r="A69" s="10"/>
      <c r="B69" s="19" t="s">
        <v>38</v>
      </c>
      <c r="C69" s="5" t="s">
        <v>71</v>
      </c>
      <c r="D69" s="20" t="s">
        <v>72</v>
      </c>
      <c r="E69" s="35"/>
      <c r="F69" s="29" t="str" cm="1">
        <f t="array" ref="F69">IF(V69 &lt;&gt; "", V69, IFERROR(_xlfn.SINGLE(INDEX($G$1:G68,SUMPRODUCT(MAX(($W$1:W68=W69)*(ROW($W$1:W68))))))+IF(D69="Fiscal",30,90),""))</f>
        <v/>
      </c>
      <c r="G69" s="21">
        <v>45671</v>
      </c>
      <c r="H69" s="15">
        <f t="shared" si="49"/>
        <v>45681</v>
      </c>
      <c r="I69" s="15"/>
      <c r="J69" s="32"/>
      <c r="K69" s="15">
        <f t="shared" si="50"/>
        <v>45691</v>
      </c>
      <c r="L69" s="15"/>
      <c r="M69" s="15">
        <f t="shared" si="51"/>
        <v>45696</v>
      </c>
      <c r="N69" s="13">
        <v>45695</v>
      </c>
      <c r="O69" s="2">
        <f>IFERROR(IF(tblColetas[[#This Row],[Status Coleta]]="Reprovado","Reprovado",IF(ISERROR(SEARCH("Poço",D69)),IF(N69="","Erro",IF(Q69="Reprovado","",WORKDAY(N69,IF(D69="Operacional",10,3),FERIADOS!$A$3:$A$119))),"-")),"-")</f>
        <v>45700</v>
      </c>
      <c r="P69" s="21">
        <v>45699</v>
      </c>
      <c r="Q69" s="7" t="s">
        <v>37</v>
      </c>
      <c r="R69" s="13"/>
      <c r="S69" s="30"/>
      <c r="T69" s="43"/>
      <c r="W69" t="str">
        <f t="shared" si="45"/>
        <v>CDPT77-FT-0103 (Fuel Gas)Fiscal</v>
      </c>
      <c r="X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" spans="1:24" ht="12.5" x14ac:dyDescent="0.25">
      <c r="A70" s="10"/>
      <c r="B70" s="19" t="s">
        <v>38</v>
      </c>
      <c r="C70" s="5" t="s">
        <v>98</v>
      </c>
      <c r="D70" s="20" t="s">
        <v>72</v>
      </c>
      <c r="E70" s="35"/>
      <c r="F70" s="29" t="str" cm="1">
        <f t="array" ref="F70">IF(V70 &lt;&gt; "", V70, IFERROR(_xlfn.SINGLE(INDEX($G$1:G69,SUMPRODUCT(MAX(($W$1:W69=W70)*(ROW($W$1:W69))))))+IF(D70="Fiscal",30,90),""))</f>
        <v/>
      </c>
      <c r="G70" s="21">
        <v>45671</v>
      </c>
      <c r="H70" s="15">
        <f t="shared" si="49"/>
        <v>45681</v>
      </c>
      <c r="I70" s="15"/>
      <c r="J70" s="32"/>
      <c r="K70" s="15">
        <f t="shared" si="50"/>
        <v>45691</v>
      </c>
      <c r="L70" s="15"/>
      <c r="M70" s="15">
        <f t="shared" si="51"/>
        <v>45696</v>
      </c>
      <c r="N70" s="13">
        <v>45695</v>
      </c>
      <c r="O70" s="2">
        <f>IFERROR(IF(tblColetas[[#This Row],[Status Coleta]]="Reprovado","Reprovado",IF(ISERROR(SEARCH("Poço",D70)),IF(N70="","Erro",IF(Q70="Reprovado","",WORKDAY(N70,IF(D70="Operacional",10,3),FERIADOS!$A$3:$A$119))),"-")),"-")</f>
        <v>45700</v>
      </c>
      <c r="P70" s="21">
        <v>45699</v>
      </c>
      <c r="Q70" s="7" t="s">
        <v>37</v>
      </c>
      <c r="R70" s="13"/>
      <c r="S70" s="30"/>
      <c r="T70" s="43"/>
      <c r="W70" t="str">
        <f t="shared" si="45"/>
        <v>CDPT74-FT-6701 (Export Gas)Fiscal</v>
      </c>
      <c r="X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" spans="1:24" ht="12.5" x14ac:dyDescent="0.25">
      <c r="A71" s="10"/>
      <c r="B71" s="19" t="s">
        <v>38</v>
      </c>
      <c r="C71" s="5" t="s">
        <v>99</v>
      </c>
      <c r="D71" s="20" t="s">
        <v>70</v>
      </c>
      <c r="E71" s="35"/>
      <c r="F71" s="29" t="str" cm="1">
        <f t="array" ref="F71">IF(V71 &lt;&gt; "", V71, IFERROR(_xlfn.SINGLE(INDEX($G$1:G70,SUMPRODUCT(MAX(($W$1:W70=W71)*(ROW($W$1:W70))))))+IF(D71="Fiscal",30,90),""))</f>
        <v/>
      </c>
      <c r="G71" s="21">
        <v>45724</v>
      </c>
      <c r="H71" s="15">
        <f t="shared" si="49"/>
        <v>45734</v>
      </c>
      <c r="I71" s="15"/>
      <c r="J71" s="32"/>
      <c r="K71" s="15">
        <f t="shared" si="50"/>
        <v>45744</v>
      </c>
      <c r="L71" s="15"/>
      <c r="M71" s="15">
        <f t="shared" si="51"/>
        <v>45749</v>
      </c>
      <c r="N71" s="13">
        <v>45749</v>
      </c>
      <c r="O71" s="2">
        <f>IFERROR(IF(tblColetas[[#This Row],[Status Coleta]]="Reprovado","Reprovado",IF(ISERROR(SEARCH("Poço",D71)),IF(N71="","Erro",IF(Q71="Reprovado","",WORKDAY(N71,IF(D71="Operacional",10,3),FERIADOS!$A$3:$A$119))),"-")),"-")</f>
        <v>45754</v>
      </c>
      <c r="P71" s="21">
        <v>45754</v>
      </c>
      <c r="Q71" s="7" t="s">
        <v>37</v>
      </c>
      <c r="R71" s="13"/>
      <c r="S71" s="30"/>
      <c r="T71" s="43"/>
      <c r="W71" t="str">
        <f t="shared" si="45"/>
        <v>CDPT73-AP-0016 (Gas Lift)Gas Lift</v>
      </c>
      <c r="X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" spans="1:24" ht="12.5" x14ac:dyDescent="0.25">
      <c r="A72" s="10"/>
      <c r="B72" s="19" t="s">
        <v>24</v>
      </c>
      <c r="C72" s="5" t="s">
        <v>100</v>
      </c>
      <c r="D72" s="20" t="s">
        <v>26</v>
      </c>
      <c r="E72" s="35"/>
      <c r="F72" s="29" t="str" cm="1">
        <f t="array" ref="F72">IF(V72 &lt;&gt; "", V72, IFERROR(_xlfn.SINGLE(INDEX($G$1:G71,SUMPRODUCT(MAX(($W$1:W71=W72)*(ROW($W$1:W71))))))+IF(D72="Fiscal",30,90),""))</f>
        <v/>
      </c>
      <c r="G72" s="21">
        <v>45696</v>
      </c>
      <c r="H72" s="15">
        <f t="shared" si="49"/>
        <v>45706</v>
      </c>
      <c r="I72" s="15">
        <v>45701</v>
      </c>
      <c r="J72" s="32" t="s">
        <v>42</v>
      </c>
      <c r="K72" s="15">
        <f t="shared" si="50"/>
        <v>45716</v>
      </c>
      <c r="L72" s="15">
        <v>45716</v>
      </c>
      <c r="M72" s="15">
        <f t="shared" si="51"/>
        <v>45721</v>
      </c>
      <c r="N72" s="13">
        <v>45721</v>
      </c>
      <c r="O72" s="2" t="str">
        <f>IFERROR(IF(tblColetas[[#This Row],[Status Coleta]]="Reprovado","Reprovado",IF(ISERROR(SEARCH("Poço",D72)),IF(N72="","Erro",IF(Q72="Reprovado","",WORKDAY(N72,IF(D72="Operacional",10,3),FERIADOS!$A$3:$A$119))),"-")),"-")</f>
        <v>-</v>
      </c>
      <c r="P72" s="21"/>
      <c r="Q72" s="7"/>
      <c r="R72" s="13"/>
      <c r="S72" s="30"/>
      <c r="T72" s="43"/>
      <c r="W72" t="str">
        <f t="shared" si="45"/>
        <v>CDAPoço JUB-63Poço CG</v>
      </c>
      <c r="X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" spans="1:24" ht="12.5" x14ac:dyDescent="0.25">
      <c r="A73" s="10"/>
      <c r="B73" s="19" t="s">
        <v>24</v>
      </c>
      <c r="C73" s="5" t="s">
        <v>100</v>
      </c>
      <c r="D73" s="20" t="s">
        <v>29</v>
      </c>
      <c r="E73" s="35"/>
      <c r="F73" s="29" t="str" cm="1">
        <f t="array" ref="F73">IF(V73 &lt;&gt; "", V73, IFERROR(_xlfn.SINGLE(INDEX($G$1:G72,SUMPRODUCT(MAX(($W$1:W72=W73)*(ROW($W$1:W72))))))+IF(D73="Fiscal",30,90),""))</f>
        <v/>
      </c>
      <c r="G73" s="21">
        <v>45696</v>
      </c>
      <c r="H73" s="15">
        <f t="shared" si="49"/>
        <v>45706</v>
      </c>
      <c r="I73" s="15">
        <v>45701</v>
      </c>
      <c r="J73" s="32" t="s">
        <v>42</v>
      </c>
      <c r="K73" s="15">
        <f t="shared" si="50"/>
        <v>45716</v>
      </c>
      <c r="L73" s="15">
        <v>45716</v>
      </c>
      <c r="M73" s="15">
        <f t="shared" si="51"/>
        <v>45721</v>
      </c>
      <c r="N73" s="13">
        <v>45721</v>
      </c>
      <c r="O73" s="2" t="str">
        <f>IFERROR(IF(tblColetas[[#This Row],[Status Coleta]]="Reprovado","Reprovado",IF(ISERROR(SEARCH("Poço",D73)),IF(N73="","Erro",IF(Q73="Reprovado","",WORKDAY(N73,IF(D73="Operacional",10,3),FERIADOS!$A$3:$A$119))),"-")),"-")</f>
        <v>-</v>
      </c>
      <c r="P73" s="21"/>
      <c r="Q73" s="7"/>
      <c r="R73" s="13"/>
      <c r="S73" s="30"/>
      <c r="T73" s="43"/>
      <c r="W73" t="str">
        <f t="shared" si="45"/>
        <v>CDAPoço JUB-63Poço PVT</v>
      </c>
      <c r="X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" spans="1:24" ht="12.5" x14ac:dyDescent="0.25">
      <c r="A74" s="10"/>
      <c r="B74" s="19" t="s">
        <v>24</v>
      </c>
      <c r="C74" s="5" t="s">
        <v>101</v>
      </c>
      <c r="D74" s="20" t="s">
        <v>26</v>
      </c>
      <c r="E74" s="35"/>
      <c r="F74" s="29" t="str" cm="1">
        <f t="array" ref="F74">IF(V74 &lt;&gt; "", V74, IFERROR(_xlfn.SINGLE(INDEX($G$1:G73,SUMPRODUCT(MAX(($W$1:W73=W74)*(ROW($W$1:W73))))))+IF(D74="Fiscal",30,90),""))</f>
        <v/>
      </c>
      <c r="G74" s="21">
        <v>45699</v>
      </c>
      <c r="H74" s="15">
        <f t="shared" ref="H74:H81" si="52">IF(G74="","Erro", G74+10)</f>
        <v>45709</v>
      </c>
      <c r="I74" s="15">
        <v>45701</v>
      </c>
      <c r="J74" s="32" t="s">
        <v>42</v>
      </c>
      <c r="K74" s="15">
        <f t="shared" ref="K74:K81" si="53">IF(G74="","Erro",G74+20)</f>
        <v>45719</v>
      </c>
      <c r="L74" s="15">
        <v>45716</v>
      </c>
      <c r="M74" s="15">
        <f t="shared" ref="M74:M81" si="54">IF(G74="","Erro",G74+IF(D74="Operacional",45,25))</f>
        <v>45724</v>
      </c>
      <c r="N74" s="13">
        <v>45723</v>
      </c>
      <c r="O74" s="2" t="str">
        <f>IFERROR(IF(tblColetas[[#This Row],[Status Coleta]]="Reprovado","Reprovado",IF(ISERROR(SEARCH("Poço",D74)),IF(N74="","Erro",IF(Q74="Reprovado","",WORKDAY(N74,IF(D74="Operacional",10,3),FERIADOS!$A$3:$A$119))),"-")),"-")</f>
        <v>-</v>
      </c>
      <c r="P74" s="21"/>
      <c r="Q74" s="7"/>
      <c r="R74" s="13"/>
      <c r="S74" s="30"/>
      <c r="T74" s="43"/>
      <c r="W74" t="str">
        <f t="shared" si="45"/>
        <v>CDAPoço 7-BAZ-04Poço CG</v>
      </c>
      <c r="X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" spans="1:24" ht="12.5" x14ac:dyDescent="0.25">
      <c r="A75" s="10"/>
      <c r="B75" s="19" t="s">
        <v>24</v>
      </c>
      <c r="C75" s="5" t="s">
        <v>101</v>
      </c>
      <c r="D75" s="20" t="s">
        <v>29</v>
      </c>
      <c r="E75" s="35"/>
      <c r="F75" s="29" t="str" cm="1">
        <f t="array" ref="F75">IF(V75 &lt;&gt; "", V75, IFERROR(_xlfn.SINGLE(INDEX($G$1:G74,SUMPRODUCT(MAX(($W$1:W74=W75)*(ROW($W$1:W74))))))+IF(D75="Fiscal",30,90),""))</f>
        <v/>
      </c>
      <c r="G75" s="21">
        <v>45699</v>
      </c>
      <c r="H75" s="15">
        <f t="shared" si="52"/>
        <v>45709</v>
      </c>
      <c r="I75" s="15">
        <v>45701</v>
      </c>
      <c r="J75" s="32" t="s">
        <v>42</v>
      </c>
      <c r="K75" s="15">
        <f t="shared" si="53"/>
        <v>45719</v>
      </c>
      <c r="L75" s="15">
        <v>45716</v>
      </c>
      <c r="M75" s="15">
        <f t="shared" si="54"/>
        <v>45724</v>
      </c>
      <c r="N75" s="13">
        <v>45723</v>
      </c>
      <c r="O75" s="2" t="str">
        <f>IFERROR(IF(tblColetas[[#This Row],[Status Coleta]]="Reprovado","Reprovado",IF(ISERROR(SEARCH("Poço",D75)),IF(N75="","Erro",IF(Q75="Reprovado","",WORKDAY(N75,IF(D75="Operacional",10,3),FERIADOS!$A$3:$A$119))),"-")),"-")</f>
        <v>-</v>
      </c>
      <c r="P75" s="21"/>
      <c r="Q75" s="7"/>
      <c r="R75" s="13"/>
      <c r="S75" s="30"/>
      <c r="T75" s="43"/>
      <c r="W75" t="str">
        <f t="shared" si="45"/>
        <v>CDAPoço 7-BAZ-04Poço PVT</v>
      </c>
      <c r="X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" spans="1:24" ht="12.5" x14ac:dyDescent="0.25">
      <c r="A76" s="10"/>
      <c r="B76" s="19" t="s">
        <v>24</v>
      </c>
      <c r="C76" s="5" t="s">
        <v>102</v>
      </c>
      <c r="D76" s="20" t="s">
        <v>26</v>
      </c>
      <c r="E76" s="35"/>
      <c r="F76" s="29" t="str" cm="1">
        <f t="array" ref="F76">IF(V76 &lt;&gt; "", V76, IFERROR(_xlfn.SINGLE(INDEX($G$1:G75,SUMPRODUCT(MAX(($W$1:W75=W76)*(ROW($W$1:W75))))))+IF(D76="Fiscal",30,90),""))</f>
        <v/>
      </c>
      <c r="G76" s="21">
        <v>45728</v>
      </c>
      <c r="H76" s="15">
        <f t="shared" si="52"/>
        <v>45738</v>
      </c>
      <c r="I76" s="15">
        <v>45730</v>
      </c>
      <c r="J76" s="32" t="s">
        <v>103</v>
      </c>
      <c r="K76" s="15">
        <f t="shared" si="53"/>
        <v>45748</v>
      </c>
      <c r="L76" s="15">
        <v>45742</v>
      </c>
      <c r="M76" s="15">
        <f t="shared" si="54"/>
        <v>45753</v>
      </c>
      <c r="N76" s="13">
        <v>45752</v>
      </c>
      <c r="O76" s="2" t="str">
        <f>IFERROR(IF(tblColetas[[#This Row],[Status Coleta]]="Reprovado","Reprovado",IF(ISERROR(SEARCH("Poço",D76)),IF(N76="","Erro",IF(Q76="Reprovado","",WORKDAY(N76,IF(D76="Operacional",10,3),FERIADOS!$A$3:$A$119))),"-")),"-")</f>
        <v>-</v>
      </c>
      <c r="P76" s="21"/>
      <c r="Q76" s="7"/>
      <c r="R76" s="13"/>
      <c r="S76" s="30"/>
      <c r="T76" s="43"/>
      <c r="W76" t="str">
        <f t="shared" si="45"/>
        <v>CDAPoço BAZ-09Poço CG</v>
      </c>
      <c r="X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" spans="1:24" ht="12.5" x14ac:dyDescent="0.25">
      <c r="A77" s="10"/>
      <c r="B77" s="19" t="s">
        <v>24</v>
      </c>
      <c r="C77" s="5" t="s">
        <v>102</v>
      </c>
      <c r="D77" s="20" t="s">
        <v>29</v>
      </c>
      <c r="E77" s="35"/>
      <c r="F77" s="29" t="str" cm="1">
        <f t="array" ref="F77">IF(V77 &lt;&gt; "", V77, IFERROR(_xlfn.SINGLE(INDEX($G$1:G76,SUMPRODUCT(MAX(($W$1:W76=W77)*(ROW($W$1:W76))))))+IF(D77="Fiscal",30,90),""))</f>
        <v/>
      </c>
      <c r="G77" s="21">
        <v>45728</v>
      </c>
      <c r="H77" s="15">
        <f t="shared" si="52"/>
        <v>45738</v>
      </c>
      <c r="I77" s="15">
        <v>45730</v>
      </c>
      <c r="J77" s="32" t="s">
        <v>103</v>
      </c>
      <c r="K77" s="15">
        <f t="shared" si="53"/>
        <v>45748</v>
      </c>
      <c r="L77" s="15">
        <v>45742</v>
      </c>
      <c r="M77" s="15">
        <f t="shared" si="54"/>
        <v>45753</v>
      </c>
      <c r="N77" s="13">
        <v>45752</v>
      </c>
      <c r="O77" s="2" t="str">
        <f>IFERROR(IF(tblColetas[[#This Row],[Status Coleta]]="Reprovado","Reprovado",IF(ISERROR(SEARCH("Poço",D77)),IF(N77="","Erro",IF(Q77="Reprovado","",WORKDAY(N77,IF(D77="Operacional",10,3),FERIADOS!$A$3:$A$119))),"-")),"-")</f>
        <v>-</v>
      </c>
      <c r="P77" s="21"/>
      <c r="Q77" s="7"/>
      <c r="R77" s="13"/>
      <c r="S77" s="30"/>
      <c r="T77" s="43"/>
      <c r="W77" t="str">
        <f t="shared" si="45"/>
        <v>CDAPoço BAZ-09Poço PVT</v>
      </c>
      <c r="X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" spans="1:24" ht="12.5" x14ac:dyDescent="0.25">
      <c r="A78" s="10"/>
      <c r="B78" s="19" t="s">
        <v>52</v>
      </c>
      <c r="C78" s="5" t="s">
        <v>104</v>
      </c>
      <c r="D78" s="20" t="s">
        <v>26</v>
      </c>
      <c r="E78" s="35"/>
      <c r="F78" s="29" t="str" cm="1">
        <f t="array" ref="F78">IF(V78 &lt;&gt; "", V78, IFERROR(_xlfn.SINGLE(INDEX($G$1:G77,SUMPRODUCT(MAX(($W$1:W77=W78)*(ROW($W$1:W77))))))+IF(D78="Fiscal",30,90),""))</f>
        <v/>
      </c>
      <c r="G78" s="21">
        <v>45729</v>
      </c>
      <c r="H78" s="15">
        <f t="shared" si="52"/>
        <v>45739</v>
      </c>
      <c r="I78" s="15">
        <v>45734</v>
      </c>
      <c r="J78" s="32" t="s">
        <v>49</v>
      </c>
      <c r="K78" s="15">
        <f t="shared" si="53"/>
        <v>45749</v>
      </c>
      <c r="L78" s="15">
        <v>45742</v>
      </c>
      <c r="M78" s="15">
        <f t="shared" si="54"/>
        <v>45754</v>
      </c>
      <c r="N78" s="13">
        <v>45754</v>
      </c>
      <c r="O78" s="2" t="str">
        <f>IFERROR(IF(tblColetas[[#This Row],[Status Coleta]]="Reprovado","Reprovado",IF(ISERROR(SEARCH("Poço",D78)),IF(N78="","Erro",IF(Q78="Reprovado","",WORKDAY(N78,IF(D78="Operacional",10,3),FERIADOS!$A$3:$A$119))),"-")),"-")</f>
        <v>-</v>
      </c>
      <c r="P78" s="21"/>
      <c r="Q78" s="7" t="s">
        <v>37</v>
      </c>
      <c r="R78" s="13"/>
      <c r="S78" s="30"/>
      <c r="T78" s="43"/>
      <c r="W78" t="str">
        <f t="shared" si="45"/>
        <v>SEPPoço MRO-17 P-3Poço CG</v>
      </c>
      <c r="X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" spans="1:24" ht="12.5" x14ac:dyDescent="0.25">
      <c r="A79" s="10"/>
      <c r="B79" s="19" t="s">
        <v>52</v>
      </c>
      <c r="C79" s="5" t="s">
        <v>104</v>
      </c>
      <c r="D79" s="20" t="s">
        <v>29</v>
      </c>
      <c r="E79" s="35"/>
      <c r="F79" s="29" t="str" cm="1">
        <f t="array" ref="F79">IF(V79 &lt;&gt; "", V79, IFERROR(_xlfn.SINGLE(INDEX($G$1:G78,SUMPRODUCT(MAX(($W$1:W78=W79)*(ROW($W$1:W78))))))+IF(D79="Fiscal",30,90),""))</f>
        <v/>
      </c>
      <c r="G79" s="21">
        <v>45729</v>
      </c>
      <c r="H79" s="15">
        <f t="shared" si="52"/>
        <v>45739</v>
      </c>
      <c r="I79" s="15">
        <v>45734</v>
      </c>
      <c r="J79" s="32" t="s">
        <v>49</v>
      </c>
      <c r="K79" s="15">
        <f t="shared" si="53"/>
        <v>45749</v>
      </c>
      <c r="L79" s="15">
        <v>45742</v>
      </c>
      <c r="M79" s="15">
        <f t="shared" si="54"/>
        <v>45754</v>
      </c>
      <c r="N79" s="13">
        <v>45754</v>
      </c>
      <c r="O79" s="2" t="str">
        <f>IFERROR(IF(tblColetas[[#This Row],[Status Coleta]]="Reprovado","Reprovado",IF(ISERROR(SEARCH("Poço",D79)),IF(N79="","Erro",IF(Q79="Reprovado","",WORKDAY(N79,IF(D79="Operacional",10,3),FERIADOS!$A$3:$A$119))),"-")),"-")</f>
        <v>-</v>
      </c>
      <c r="P79" s="21"/>
      <c r="Q79" s="7"/>
      <c r="R79" s="13"/>
      <c r="S79" s="30"/>
      <c r="T79" s="43"/>
      <c r="W79" t="str">
        <f t="shared" si="45"/>
        <v>SEPPoço MRO-17 P-3Poço PVT</v>
      </c>
      <c r="X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" spans="1:24" ht="12.5" x14ac:dyDescent="0.25">
      <c r="A80" s="10"/>
      <c r="B80" s="19" t="s">
        <v>31</v>
      </c>
      <c r="C80" s="5" t="s">
        <v>105</v>
      </c>
      <c r="D80" s="20" t="s">
        <v>26</v>
      </c>
      <c r="E80" s="35"/>
      <c r="F80" s="29" t="str" cm="1">
        <f t="array" ref="F80">IF(V80 &lt;&gt; "", V80, IFERROR(_xlfn.SINGLE(INDEX($G$1:G79,SUMPRODUCT(MAX(($W$1:W79=W80)*(ROW($W$1:W79))))))+IF(D80="Fiscal",30,90),""))</f>
        <v/>
      </c>
      <c r="G80" s="21">
        <v>45733</v>
      </c>
      <c r="H80" s="15">
        <f t="shared" si="52"/>
        <v>45743</v>
      </c>
      <c r="I80" s="15">
        <v>45746</v>
      </c>
      <c r="J80" s="32" t="s">
        <v>106</v>
      </c>
      <c r="K80" s="15">
        <f t="shared" si="53"/>
        <v>45753</v>
      </c>
      <c r="L80" s="15">
        <v>45755</v>
      </c>
      <c r="M80" s="15">
        <f t="shared" si="54"/>
        <v>45758</v>
      </c>
      <c r="N80" s="13">
        <v>45758</v>
      </c>
      <c r="O80" s="2" t="str">
        <f>IFERROR(IF(tblColetas[[#This Row],[Status Coleta]]="Reprovado","Reprovado",IF(ISERROR(SEARCH("Poço",D80)),IF(N80="","Erro",IF(Q80="Reprovado","",WORKDAY(N80,IF(D80="Operacional",10,3),FERIADOS!$A$3:$A$119))),"-")),"-")</f>
        <v>-</v>
      </c>
      <c r="P80" s="21"/>
      <c r="Q80" s="7" t="s">
        <v>37</v>
      </c>
      <c r="R80" s="13"/>
      <c r="S80" s="30"/>
      <c r="T80" s="43"/>
      <c r="W80" t="str">
        <f t="shared" si="45"/>
        <v>CDIPoço SPH-16 (P-7)Poço CG</v>
      </c>
      <c r="X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" spans="1:24" ht="12.5" x14ac:dyDescent="0.25">
      <c r="A81" s="10"/>
      <c r="B81" s="19" t="s">
        <v>31</v>
      </c>
      <c r="C81" s="5" t="s">
        <v>105</v>
      </c>
      <c r="D81" s="20" t="s">
        <v>29</v>
      </c>
      <c r="E81" s="35"/>
      <c r="F81" s="29" t="str" cm="1">
        <f t="array" ref="F81">IF(V81 &lt;&gt; "", V81, IFERROR(_xlfn.SINGLE(INDEX($G$1:G80,SUMPRODUCT(MAX(($W$1:W80=W81)*(ROW($W$1:W80))))))+IF(D81="Fiscal",30,90),""))</f>
        <v/>
      </c>
      <c r="G81" s="21">
        <v>45733</v>
      </c>
      <c r="H81" s="15">
        <f t="shared" si="52"/>
        <v>45743</v>
      </c>
      <c r="I81" s="15">
        <v>45746</v>
      </c>
      <c r="J81" s="32" t="s">
        <v>106</v>
      </c>
      <c r="K81" s="15">
        <f t="shared" si="53"/>
        <v>45753</v>
      </c>
      <c r="L81" s="15">
        <v>45755</v>
      </c>
      <c r="M81" s="15">
        <f t="shared" si="54"/>
        <v>45758</v>
      </c>
      <c r="N81" s="13">
        <v>45758</v>
      </c>
      <c r="O81" s="2" t="str">
        <f>IFERROR(IF(tblColetas[[#This Row],[Status Coleta]]="Reprovado","Reprovado",IF(ISERROR(SEARCH("Poço",D81)),IF(N81="","Erro",IF(Q81="Reprovado","",WORKDAY(N81,IF(D81="Operacional",10,3),FERIADOS!$A$3:$A$119))),"-")),"-")</f>
        <v>-</v>
      </c>
      <c r="P81" s="21"/>
      <c r="Q81" s="7" t="s">
        <v>37</v>
      </c>
      <c r="R81" s="13"/>
      <c r="S81" s="30"/>
      <c r="T81" s="43"/>
      <c r="W81" t="str">
        <f t="shared" si="45"/>
        <v>CDIPoço SPH-16 (P-7)Poço PVT</v>
      </c>
      <c r="X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" spans="1:24" ht="12.5" x14ac:dyDescent="0.25">
      <c r="A82" s="10"/>
      <c r="B82" s="19" t="s">
        <v>31</v>
      </c>
      <c r="C82" s="5" t="s">
        <v>107</v>
      </c>
      <c r="D82" s="20" t="s">
        <v>26</v>
      </c>
      <c r="E82" s="35"/>
      <c r="F82" s="29" t="str" cm="1">
        <f t="array" ref="F82">IF(V82 &lt;&gt; "", V82, IFERROR(_xlfn.SINGLE(INDEX($G$1:G81,SUMPRODUCT(MAX(($W$1:W81=W82)*(ROW($W$1:W81))))))+IF(D82="Fiscal",30,90),""))</f>
        <v/>
      </c>
      <c r="G82" s="21">
        <v>45735</v>
      </c>
      <c r="H82" s="15">
        <f t="shared" ref="H82:H87" si="55">IF(G82="","Erro", G82+10)</f>
        <v>45745</v>
      </c>
      <c r="I82" s="15">
        <v>45746</v>
      </c>
      <c r="J82" s="32" t="s">
        <v>106</v>
      </c>
      <c r="K82" s="15">
        <f t="shared" ref="K82:K87" si="56">IF(G82="","Erro",G82+20)</f>
        <v>45755</v>
      </c>
      <c r="L82" s="15">
        <v>45755</v>
      </c>
      <c r="M82" s="15">
        <f t="shared" ref="M82:M87" si="57">IF(G82="","Erro",G82+IF(D82="Operacional",45,25))</f>
        <v>45760</v>
      </c>
      <c r="N82" s="13">
        <v>45758</v>
      </c>
      <c r="O82" s="2" t="str">
        <f>IFERROR(IF(tblColetas[[#This Row],[Status Coleta]]="Reprovado","Reprovado",IF(ISERROR(SEARCH("Poço",D82)),IF(N82="","Erro",IF(Q82="Reprovado","",WORKDAY(N82,IF(D82="Operacional",10,3),FERIADOS!$A$3:$A$119))),"-")),"-")</f>
        <v>-</v>
      </c>
      <c r="P82" s="21"/>
      <c r="Q82" s="7" t="s">
        <v>37</v>
      </c>
      <c r="R82" s="13"/>
      <c r="S82" s="30"/>
      <c r="T82" s="43"/>
      <c r="W82" t="str">
        <f t="shared" si="45"/>
        <v>CDIPoço SPH-7 (P-3)Poço CG</v>
      </c>
      <c r="X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" spans="1:24" ht="12.5" x14ac:dyDescent="0.25">
      <c r="A83" s="10"/>
      <c r="B83" s="19" t="s">
        <v>31</v>
      </c>
      <c r="C83" s="5" t="s">
        <v>107</v>
      </c>
      <c r="D83" s="20" t="s">
        <v>29</v>
      </c>
      <c r="E83" s="35"/>
      <c r="F83" s="29" t="str" cm="1">
        <f t="array" ref="F83">IF(V83 &lt;&gt; "", V83, IFERROR(_xlfn.SINGLE(INDEX($G$1:G82,SUMPRODUCT(MAX(($W$1:W82=W83)*(ROW($W$1:W82))))))+IF(D83="Fiscal",30,90),""))</f>
        <v/>
      </c>
      <c r="G83" s="21">
        <v>45735</v>
      </c>
      <c r="H83" s="15">
        <f t="shared" si="55"/>
        <v>45745</v>
      </c>
      <c r="I83" s="15">
        <v>45746</v>
      </c>
      <c r="J83" s="32" t="s">
        <v>106</v>
      </c>
      <c r="K83" s="15">
        <f t="shared" si="56"/>
        <v>45755</v>
      </c>
      <c r="L83" s="15">
        <v>45755</v>
      </c>
      <c r="M83" s="15">
        <f t="shared" si="57"/>
        <v>45760</v>
      </c>
      <c r="N83" s="13">
        <v>45758</v>
      </c>
      <c r="O83" s="2" t="str">
        <f>IFERROR(IF(tblColetas[[#This Row],[Status Coleta]]="Reprovado","Reprovado",IF(ISERROR(SEARCH("Poço",D83)),IF(N83="","Erro",IF(Q83="Reprovado","",WORKDAY(N83,IF(D83="Operacional",10,3),FERIADOS!$A$3:$A$119))),"-")),"-")</f>
        <v>-</v>
      </c>
      <c r="P83" s="21"/>
      <c r="Q83" s="7" t="s">
        <v>37</v>
      </c>
      <c r="R83" s="13"/>
      <c r="S83" s="30"/>
      <c r="T83" s="43"/>
      <c r="W83" t="str">
        <f t="shared" si="45"/>
        <v>CDIPoço SPH-7 (P-3)Poço PVT</v>
      </c>
      <c r="X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" spans="1:24" ht="12.5" x14ac:dyDescent="0.25">
      <c r="A84" s="10"/>
      <c r="B84" s="19" t="s">
        <v>31</v>
      </c>
      <c r="C84" s="5" t="s">
        <v>108</v>
      </c>
      <c r="D84" s="20" t="s">
        <v>26</v>
      </c>
      <c r="E84" s="35"/>
      <c r="F84" s="29" t="str" cm="1">
        <f t="array" ref="F84">IF(V84 &lt;&gt; "", V84, IFERROR(_xlfn.SINGLE(INDEX($G$1:G83,SUMPRODUCT(MAX(($W$1:W83=W84)*(ROW($W$1:W83))))))+IF(D84="Fiscal",30,90),""))</f>
        <v/>
      </c>
      <c r="G84" s="21">
        <v>45728</v>
      </c>
      <c r="H84" s="15">
        <f t="shared" si="55"/>
        <v>45738</v>
      </c>
      <c r="I84" s="15">
        <v>45733</v>
      </c>
      <c r="J84" s="32" t="s">
        <v>88</v>
      </c>
      <c r="K84" s="15">
        <f t="shared" si="56"/>
        <v>45748</v>
      </c>
      <c r="L84" s="15">
        <v>45742</v>
      </c>
      <c r="M84" s="15">
        <f t="shared" si="57"/>
        <v>45753</v>
      </c>
      <c r="N84" s="13">
        <v>45752</v>
      </c>
      <c r="O84" s="2" t="str">
        <f>IFERROR(IF(tblColetas[[#This Row],[Status Coleta]]="Reprovado","Reprovado",IF(ISERROR(SEARCH("Poço",D84)),IF(N84="","Erro",IF(Q84="Reprovado","",WORKDAY(N84,IF(D84="Operacional",10,3),FERIADOS!$A$3:$A$119))),"-")),"-")</f>
        <v>-</v>
      </c>
      <c r="P84" s="21"/>
      <c r="Q84" s="7" t="s">
        <v>37</v>
      </c>
      <c r="R84" s="13"/>
      <c r="S84" s="30"/>
      <c r="T84" s="43"/>
      <c r="W84" t="str">
        <f t="shared" si="45"/>
        <v>CDIPoço SPH-6 (P-10)Poço CG</v>
      </c>
      <c r="X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" spans="1:24" ht="12.5" x14ac:dyDescent="0.25">
      <c r="A85" s="10"/>
      <c r="B85" s="19" t="s">
        <v>31</v>
      </c>
      <c r="C85" s="5" t="s">
        <v>108</v>
      </c>
      <c r="D85" s="20" t="s">
        <v>29</v>
      </c>
      <c r="E85" s="35"/>
      <c r="F85" s="29" t="str" cm="1">
        <f t="array" ref="F85">IF(V85 &lt;&gt; "", V85, IFERROR(_xlfn.SINGLE(INDEX($G$1:G84,SUMPRODUCT(MAX(($W$1:W84=W85)*(ROW($W$1:W84))))))+IF(D85="Fiscal",30,90),""))</f>
        <v/>
      </c>
      <c r="G85" s="21">
        <v>45728</v>
      </c>
      <c r="H85" s="15">
        <f t="shared" si="55"/>
        <v>45738</v>
      </c>
      <c r="I85" s="15">
        <v>45733</v>
      </c>
      <c r="J85" s="32" t="s">
        <v>88</v>
      </c>
      <c r="K85" s="15">
        <f t="shared" si="56"/>
        <v>45748</v>
      </c>
      <c r="L85" s="15">
        <v>45742</v>
      </c>
      <c r="M85" s="15">
        <f t="shared" si="57"/>
        <v>45753</v>
      </c>
      <c r="N85" s="13">
        <v>45752</v>
      </c>
      <c r="O85" s="2" t="str">
        <f>IFERROR(IF(tblColetas[[#This Row],[Status Coleta]]="Reprovado","Reprovado",IF(ISERROR(SEARCH("Poço",D85)),IF(N85="","Erro",IF(Q85="Reprovado","",WORKDAY(N85,IF(D85="Operacional",10,3),FERIADOS!$A$3:$A$119))),"-")),"-")</f>
        <v>-</v>
      </c>
      <c r="P85" s="21"/>
      <c r="Q85" s="7" t="s">
        <v>37</v>
      </c>
      <c r="R85" s="13"/>
      <c r="S85" s="30"/>
      <c r="T85" s="43"/>
      <c r="W85" t="str">
        <f t="shared" si="45"/>
        <v>CDIPoço SPH-6 (P-10)Poço PVT</v>
      </c>
      <c r="X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" spans="1:24" ht="12.5" x14ac:dyDescent="0.25">
      <c r="A86" s="10"/>
      <c r="B86" s="19" t="s">
        <v>34</v>
      </c>
      <c r="C86" s="5" t="s">
        <v>109</v>
      </c>
      <c r="D86" s="20" t="s">
        <v>26</v>
      </c>
      <c r="E86" s="35"/>
      <c r="F86" s="29" t="str" cm="1">
        <f t="array" ref="F86">IF(V86 &lt;&gt; "", V86, IFERROR(_xlfn.SINGLE(INDEX($G$1:G85,SUMPRODUCT(MAX(($W$1:W85=W86)*(ROW($W$1:W85))))))+IF(D86="Fiscal",30,90),""))</f>
        <v/>
      </c>
      <c r="G86" s="21">
        <v>45688</v>
      </c>
      <c r="H86" s="15">
        <f t="shared" si="55"/>
        <v>45698</v>
      </c>
      <c r="I86" s="15">
        <v>45695</v>
      </c>
      <c r="J86" s="32" t="s">
        <v>110</v>
      </c>
      <c r="K86" s="15">
        <f t="shared" si="56"/>
        <v>45708</v>
      </c>
      <c r="L86" s="15">
        <v>45699</v>
      </c>
      <c r="M86" s="15">
        <f t="shared" si="57"/>
        <v>45713</v>
      </c>
      <c r="N86" s="13">
        <v>45713</v>
      </c>
      <c r="O86" s="2" t="str">
        <f>IFERROR(IF(tblColetas[[#This Row],[Status Coleta]]="Reprovado","Reprovado",IF(ISERROR(SEARCH("Poço",D86)),IF(N86="","Erro",IF(Q86="Reprovado","",WORKDAY(N86,IF(D86="Operacional",10,3),FERIADOS!$A$3:$A$119))),"-")),"-")</f>
        <v>-</v>
      </c>
      <c r="P86" s="21"/>
      <c r="Q86" s="7"/>
      <c r="R86" s="13"/>
      <c r="S86" s="30"/>
      <c r="T86" s="43"/>
      <c r="W86" t="str">
        <f t="shared" si="45"/>
        <v>CDSPoço LL-106 (P-16)Poço CG</v>
      </c>
      <c r="X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" spans="1:24" ht="12.5" x14ac:dyDescent="0.25">
      <c r="A87" s="10"/>
      <c r="B87" s="19" t="s">
        <v>34</v>
      </c>
      <c r="C87" s="5" t="s">
        <v>109</v>
      </c>
      <c r="D87" s="20" t="s">
        <v>29</v>
      </c>
      <c r="E87" s="35"/>
      <c r="F87" s="29" t="str" cm="1">
        <f t="array" ref="F87">IF(V87 &lt;&gt; "", V87, IFERROR(_xlfn.SINGLE(INDEX($G$1:G86,SUMPRODUCT(MAX(($W$1:W86=W87)*(ROW($W$1:W86))))))+IF(D87="Fiscal",30,90),""))</f>
        <v/>
      </c>
      <c r="G87" s="21">
        <v>45688</v>
      </c>
      <c r="H87" s="15">
        <f t="shared" si="55"/>
        <v>45698</v>
      </c>
      <c r="I87" s="15">
        <v>45695</v>
      </c>
      <c r="J87" s="32" t="s">
        <v>110</v>
      </c>
      <c r="K87" s="15">
        <f t="shared" si="56"/>
        <v>45708</v>
      </c>
      <c r="L87" s="15">
        <v>45699</v>
      </c>
      <c r="M87" s="15">
        <f t="shared" si="57"/>
        <v>45713</v>
      </c>
      <c r="N87" s="13">
        <v>45713</v>
      </c>
      <c r="O87" s="2" t="str">
        <f>IFERROR(IF(tblColetas[[#This Row],[Status Coleta]]="Reprovado","Reprovado",IF(ISERROR(SEARCH("Poço",D87)),IF(N87="","Erro",IF(Q87="Reprovado","",WORKDAY(N87,IF(D87="Operacional",10,3),FERIADOS!$A$3:$A$119))),"-")),"-")</f>
        <v>-</v>
      </c>
      <c r="P87" s="21"/>
      <c r="Q87" s="7"/>
      <c r="R87" s="13"/>
      <c r="S87" s="30"/>
      <c r="T87" s="43"/>
      <c r="W87" t="str">
        <f t="shared" si="45"/>
        <v>CDSPoço LL-106 (P-16)Poço PVT</v>
      </c>
      <c r="X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" spans="1:24" ht="12.5" x14ac:dyDescent="0.25">
      <c r="A88" s="10"/>
      <c r="B88" s="8" t="s">
        <v>52</v>
      </c>
      <c r="C88" s="5" t="s">
        <v>111</v>
      </c>
      <c r="D88" s="9" t="s">
        <v>26</v>
      </c>
      <c r="E88" s="36"/>
      <c r="F88" s="29" t="str" cm="1">
        <f t="array" ref="F88">IF(V88 &lt;&gt; "", V88, IFERROR(_xlfn.SINGLE(INDEX($G$1:G87,SUMPRODUCT(MAX(($W$1:W87=W88)*(ROW($W$1:W87))))))+IF(D88="Fiscal",30,90),""))</f>
        <v/>
      </c>
      <c r="G88" s="13">
        <v>45730</v>
      </c>
      <c r="H88" s="15">
        <f t="shared" ref="H88:H93" si="58">IF(G88="","Erro", G88+10)</f>
        <v>45740</v>
      </c>
      <c r="I88" s="15">
        <v>45734</v>
      </c>
      <c r="J88" s="32" t="s">
        <v>49</v>
      </c>
      <c r="K88" s="15">
        <f t="shared" ref="K88:K93" si="59">IF(G88="","Erro",G88+20)</f>
        <v>45750</v>
      </c>
      <c r="L88" s="15">
        <v>45742</v>
      </c>
      <c r="M88" s="15">
        <f t="shared" ref="M88:M93" si="60">IF(G88="","Erro",G88+IF(D88="Operacional",45,25))</f>
        <v>45755</v>
      </c>
      <c r="N88" s="13">
        <v>45755</v>
      </c>
      <c r="O88" s="2" t="str">
        <f>IFERROR(IF(tblColetas[[#This Row],[Status Coleta]]="Reprovado","Reprovado",IF(ISERROR(SEARCH("Poço",D88)),IF(N88="","Erro",IF(Q88="Reprovado","",WORKDAY(N88,IF(D88="Operacional",10,3),FERIADOS!$A$3:$A$119))),"-")),"-")</f>
        <v>-</v>
      </c>
      <c r="P88" s="13"/>
      <c r="Q88" s="7" t="s">
        <v>37</v>
      </c>
      <c r="R88" s="13"/>
      <c r="S88" s="30"/>
      <c r="T88" s="43"/>
      <c r="W88" t="str">
        <f t="shared" si="45"/>
        <v>SEPPoço 3-RJS-739A P-6Poço CG</v>
      </c>
      <c r="X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" spans="1:24" ht="12.5" x14ac:dyDescent="0.25">
      <c r="A89" s="10"/>
      <c r="B89" s="8" t="s">
        <v>52</v>
      </c>
      <c r="C89" s="5" t="s">
        <v>111</v>
      </c>
      <c r="D89" s="9" t="s">
        <v>29</v>
      </c>
      <c r="E89" s="36"/>
      <c r="F89" s="29" t="str" cm="1">
        <f t="array" ref="F89">IF(V89 &lt;&gt; "", V89, IFERROR(_xlfn.SINGLE(INDEX($G$1:G88,SUMPRODUCT(MAX(($W$1:W88=W89)*(ROW($W$1:W88))))))+IF(D89="Fiscal",30,90),""))</f>
        <v/>
      </c>
      <c r="G89" s="13">
        <v>45730</v>
      </c>
      <c r="H89" s="15">
        <f t="shared" si="58"/>
        <v>45740</v>
      </c>
      <c r="I89" s="15">
        <v>45734</v>
      </c>
      <c r="J89" s="32" t="s">
        <v>49</v>
      </c>
      <c r="K89" s="15">
        <f t="shared" si="59"/>
        <v>45750</v>
      </c>
      <c r="L89" s="15">
        <v>45742</v>
      </c>
      <c r="M89" s="15">
        <f t="shared" si="60"/>
        <v>45755</v>
      </c>
      <c r="N89" s="13">
        <v>45755</v>
      </c>
      <c r="O89" s="2" t="str">
        <f>IFERROR(IF(tblColetas[[#This Row],[Status Coleta]]="Reprovado","Reprovado",IF(ISERROR(SEARCH("Poço",D89)),IF(N89="","Erro",IF(Q89="Reprovado","",WORKDAY(N89,IF(D89="Operacional",10,3),FERIADOS!$A$3:$A$119))),"-")),"-")</f>
        <v>-</v>
      </c>
      <c r="P89" s="13"/>
      <c r="Q89" s="7" t="s">
        <v>37</v>
      </c>
      <c r="R89" s="13"/>
      <c r="S89" s="30"/>
      <c r="T89" s="43"/>
      <c r="W89" t="str">
        <f t="shared" si="45"/>
        <v>SEPPoço 3-RJS-739A P-6Poço PVT</v>
      </c>
      <c r="X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" spans="1:24" ht="12.5" x14ac:dyDescent="0.25">
      <c r="A90" s="10"/>
      <c r="B90" s="19" t="s">
        <v>52</v>
      </c>
      <c r="C90" s="5" t="s">
        <v>112</v>
      </c>
      <c r="D90" s="20" t="s">
        <v>72</v>
      </c>
      <c r="E90" s="35"/>
      <c r="F90" s="29" t="str" cm="1">
        <f t="array" ref="F90">IF(V90 &lt;&gt; "", V90, IFERROR(_xlfn.SINGLE(INDEX($G$1:G89,SUMPRODUCT(MAX(($W$1:W89=W90)*(ROW($W$1:W89))))))+IF(D90="Fiscal",30,90),""))</f>
        <v/>
      </c>
      <c r="G90" s="21">
        <v>45664</v>
      </c>
      <c r="H90" s="15">
        <f t="shared" si="58"/>
        <v>45674</v>
      </c>
      <c r="I90" s="15"/>
      <c r="J90" s="32"/>
      <c r="K90" s="15">
        <f t="shared" si="59"/>
        <v>45684</v>
      </c>
      <c r="L90" s="15"/>
      <c r="M90" s="15">
        <f t="shared" si="60"/>
        <v>45689</v>
      </c>
      <c r="N90" s="13">
        <v>45688</v>
      </c>
      <c r="O90" s="2">
        <f>IFERROR(IF(tblColetas[[#This Row],[Status Coleta]]="Reprovado","Reprovado",IF(ISERROR(SEARCH("Poço",D90)),IF(N90="","Erro",IF(Q90="Reprovado","",WORKDAY(N90,IF(D90="Operacional",10,3),FERIADOS!$A$3:$A$119))),"-")),"-")</f>
        <v>45693</v>
      </c>
      <c r="P90" s="21">
        <v>45692</v>
      </c>
      <c r="Q90" s="7" t="s">
        <v>37</v>
      </c>
      <c r="R90" s="13"/>
      <c r="S90" s="30"/>
      <c r="T90" s="43"/>
      <c r="W90" t="str">
        <f t="shared" si="45"/>
        <v>SEP776-AP-0006 (HP Flare)Fiscal</v>
      </c>
      <c r="X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" spans="1:24" ht="12.5" x14ac:dyDescent="0.25">
      <c r="A91" s="10"/>
      <c r="B91" s="19" t="s">
        <v>52</v>
      </c>
      <c r="C91" s="5" t="s">
        <v>113</v>
      </c>
      <c r="D91" s="20" t="s">
        <v>72</v>
      </c>
      <c r="E91" s="35"/>
      <c r="F91" s="29" t="str" cm="1">
        <f t="array" ref="F91">IF(V91 &lt;&gt; "", V91, IFERROR(_xlfn.SINGLE(INDEX($G$1:G90,SUMPRODUCT(MAX(($W$1:W90=W91)*(ROW($W$1:W90))))))+IF(D91="Fiscal",30,90),""))</f>
        <v/>
      </c>
      <c r="G91" s="21">
        <v>45664</v>
      </c>
      <c r="H91" s="15">
        <f t="shared" si="58"/>
        <v>45674</v>
      </c>
      <c r="I91" s="15"/>
      <c r="J91" s="32"/>
      <c r="K91" s="15">
        <f t="shared" si="59"/>
        <v>45684</v>
      </c>
      <c r="L91" s="15"/>
      <c r="M91" s="15">
        <f t="shared" si="60"/>
        <v>45689</v>
      </c>
      <c r="N91" s="13">
        <v>45688</v>
      </c>
      <c r="O91" s="2" t="str">
        <f>IFERROR(IF(tblColetas[[#This Row],[Status Coleta]]="Reprovado","Reprovado",IF(ISERROR(SEARCH("Poço",D91)),IF(N91="","Erro",IF(Q91="Reprovado","",WORKDAY(N91,IF(D91="Operacional",10,3),FERIADOS!$A$3:$A$119))),"-")),"-")</f>
        <v>Reprovado</v>
      </c>
      <c r="P91" s="21"/>
      <c r="Q91" s="7" t="s">
        <v>81</v>
      </c>
      <c r="R91" s="13"/>
      <c r="S91" s="30"/>
      <c r="T91" s="43"/>
      <c r="W91" t="str">
        <f t="shared" si="45"/>
        <v>SEP776-AP-0030 (LP Flare)Fiscal</v>
      </c>
      <c r="X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" spans="1:24" ht="12.5" x14ac:dyDescent="0.25">
      <c r="A92" s="10"/>
      <c r="B92" s="19" t="s">
        <v>52</v>
      </c>
      <c r="C92" s="5" t="s">
        <v>114</v>
      </c>
      <c r="D92" s="20" t="s">
        <v>72</v>
      </c>
      <c r="E92" s="35"/>
      <c r="F92" s="29" t="str" cm="1">
        <f t="array" ref="F92">IF(V92 &lt;&gt; "", V92, IFERROR(_xlfn.SINGLE(INDEX($G$1:G91,SUMPRODUCT(MAX(($W$1:W91=W92)*(ROW($W$1:W91))))))+IF(D92="Fiscal",30,90),""))</f>
        <v/>
      </c>
      <c r="G92" s="21">
        <v>45664</v>
      </c>
      <c r="H92" s="15">
        <f t="shared" si="58"/>
        <v>45674</v>
      </c>
      <c r="I92" s="15"/>
      <c r="J92" s="32"/>
      <c r="K92" s="15">
        <f t="shared" si="59"/>
        <v>45684</v>
      </c>
      <c r="L92" s="15"/>
      <c r="M92" s="15">
        <f t="shared" si="60"/>
        <v>45689</v>
      </c>
      <c r="N92" s="13">
        <v>45688</v>
      </c>
      <c r="O92" s="2">
        <f>IFERROR(IF(tblColetas[[#This Row],[Status Coleta]]="Reprovado","Reprovado",IF(ISERROR(SEARCH("Poço",D92)),IF(N92="","Erro",IF(Q92="Reprovado","",WORKDAY(N92,IF(D92="Operacional",10,3),FERIADOS!$A$3:$A$119))),"-")),"-")</f>
        <v>45693</v>
      </c>
      <c r="P92" s="21">
        <v>45692</v>
      </c>
      <c r="Q92" s="7" t="s">
        <v>37</v>
      </c>
      <c r="R92" s="13"/>
      <c r="S92" s="30"/>
      <c r="T92" s="43"/>
      <c r="W92" t="str">
        <f t="shared" si="45"/>
        <v>SEP777-AP-1104 (Fuel Gas)Fiscal</v>
      </c>
      <c r="X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" spans="1:24" ht="12.5" x14ac:dyDescent="0.25">
      <c r="A93" s="10"/>
      <c r="B93" s="19" t="s">
        <v>52</v>
      </c>
      <c r="C93" s="5" t="s">
        <v>115</v>
      </c>
      <c r="D93" s="20" t="s">
        <v>72</v>
      </c>
      <c r="E93" s="35"/>
      <c r="F93" s="29" t="str" cm="1">
        <f t="array" ref="F93">IF(V93 &lt;&gt; "", V93, IFERROR(_xlfn.SINGLE(INDEX($G$1:G92,SUMPRODUCT(MAX(($W$1:W92=W93)*(ROW($W$1:W92))))))+IF(D93="Fiscal",30,90),""))</f>
        <v/>
      </c>
      <c r="G93" s="21">
        <v>45664</v>
      </c>
      <c r="H93" s="15">
        <f t="shared" si="58"/>
        <v>45674</v>
      </c>
      <c r="I93" s="15"/>
      <c r="J93" s="32"/>
      <c r="K93" s="15">
        <f t="shared" si="59"/>
        <v>45684</v>
      </c>
      <c r="L93" s="15"/>
      <c r="M93" s="15">
        <f t="shared" si="60"/>
        <v>45689</v>
      </c>
      <c r="N93" s="13">
        <v>45688</v>
      </c>
      <c r="O93" s="2">
        <f>IFERROR(IF(tblColetas[[#This Row],[Status Coleta]]="Reprovado","Reprovado",IF(ISERROR(SEARCH("Poço",D93)),IF(N93="","Erro",IF(Q93="Reprovado","",WORKDAY(N93,IF(D93="Operacional",10,3),FERIADOS!$A$3:$A$119))),"-")),"-")</f>
        <v>45693</v>
      </c>
      <c r="P93" s="21">
        <v>45692</v>
      </c>
      <c r="Q93" s="7" t="s">
        <v>37</v>
      </c>
      <c r="R93" s="13"/>
      <c r="S93" s="30"/>
      <c r="T93" s="43"/>
      <c r="W93" t="str">
        <f t="shared" si="45"/>
        <v>SEP771-AP-0221 (Flare Assist)Fiscal</v>
      </c>
      <c r="X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" spans="1:24" ht="12.5" x14ac:dyDescent="0.25">
      <c r="A94" s="10"/>
      <c r="B94" s="19" t="s">
        <v>46</v>
      </c>
      <c r="C94" s="5" t="s">
        <v>116</v>
      </c>
      <c r="D94" s="20" t="s">
        <v>26</v>
      </c>
      <c r="E94" s="35"/>
      <c r="F94" s="29" t="str" cm="1">
        <f t="array" ref="F94">IF(V94 &lt;&gt; "", V94, IFERROR(_xlfn.SINGLE(INDEX($G$1:G93,SUMPRODUCT(MAX(($W$1:W93=W94)*(ROW($W$1:W93))))))+IF(D94="Fiscal",30,90),""))</f>
        <v/>
      </c>
      <c r="G94" s="21">
        <v>45659</v>
      </c>
      <c r="H94" s="15">
        <f t="shared" ref="H94:H99" si="61">IF(G94="","Erro", G94+10)</f>
        <v>45669</v>
      </c>
      <c r="I94" s="15">
        <v>45665</v>
      </c>
      <c r="J94" s="32" t="s">
        <v>49</v>
      </c>
      <c r="K94" s="15">
        <f t="shared" ref="K94:K99" si="62">IF(G94="","Erro",G94+20)</f>
        <v>45679</v>
      </c>
      <c r="L94" s="15">
        <v>45680</v>
      </c>
      <c r="M94" s="15">
        <f t="shared" ref="M94:M99" si="63">IF(G94="","Erro",G94+IF(D94="Operacional",45,25))</f>
        <v>45684</v>
      </c>
      <c r="N94" s="13">
        <v>45684</v>
      </c>
      <c r="O94" s="2" t="str">
        <f>IFERROR(IF(tblColetas[[#This Row],[Status Coleta]]="Reprovado","Reprovado",IF(ISERROR(SEARCH("Poço",D94)),IF(N94="","Erro",IF(Q94="Reprovado","",WORKDAY(N94,IF(D94="Operacional",10,3),FERIADOS!$A$3:$A$119))),"-")),"-")</f>
        <v>-</v>
      </c>
      <c r="P94" s="21"/>
      <c r="Q94" s="7" t="s">
        <v>37</v>
      </c>
      <c r="R94" s="13"/>
      <c r="S94" s="33" t="s">
        <v>117</v>
      </c>
      <c r="T94" s="43"/>
      <c r="W94" t="str">
        <f t="shared" si="45"/>
        <v>CDMPoço LL-58 (P-03)Poço CG</v>
      </c>
      <c r="X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" spans="1:24" ht="12.5" x14ac:dyDescent="0.25">
      <c r="A95" s="10"/>
      <c r="B95" s="19" t="s">
        <v>46</v>
      </c>
      <c r="C95" s="5" t="s">
        <v>116</v>
      </c>
      <c r="D95" s="20" t="s">
        <v>29</v>
      </c>
      <c r="E95" s="35"/>
      <c r="F95" s="29" t="str" cm="1">
        <f t="array" ref="F95">IF(V95 &lt;&gt; "", V95, IFERROR(_xlfn.SINGLE(INDEX($G$1:G94,SUMPRODUCT(MAX(($W$1:W94=W95)*(ROW($W$1:W94))))))+IF(D95="Fiscal",30,90),""))</f>
        <v/>
      </c>
      <c r="G95" s="21">
        <v>45659</v>
      </c>
      <c r="H95" s="15">
        <f t="shared" si="61"/>
        <v>45669</v>
      </c>
      <c r="I95" s="15">
        <v>45665</v>
      </c>
      <c r="J95" s="32" t="s">
        <v>49</v>
      </c>
      <c r="K95" s="15">
        <f t="shared" si="62"/>
        <v>45679</v>
      </c>
      <c r="L95" s="15">
        <v>45680</v>
      </c>
      <c r="M95" s="15">
        <f t="shared" si="63"/>
        <v>45684</v>
      </c>
      <c r="N95" s="13">
        <v>45684</v>
      </c>
      <c r="O95" s="2" t="str">
        <f>IFERROR(IF(tblColetas[[#This Row],[Status Coleta]]="Reprovado","Reprovado",IF(ISERROR(SEARCH("Poço",D95)),IF(N95="","Erro",IF(Q95="Reprovado","",WORKDAY(N95,IF(D95="Operacional",10,3),FERIADOS!$A$3:$A$119))),"-")),"-")</f>
        <v>-</v>
      </c>
      <c r="P95" s="21"/>
      <c r="Q95" s="7" t="s">
        <v>37</v>
      </c>
      <c r="R95" s="13"/>
      <c r="S95" s="33" t="s">
        <v>117</v>
      </c>
      <c r="T95" s="43"/>
      <c r="W95" t="str">
        <f t="shared" si="45"/>
        <v>CDMPoço LL-58 (P-03)Poço PVT</v>
      </c>
      <c r="X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" spans="1:24" ht="12.5" x14ac:dyDescent="0.25">
      <c r="A96" s="10"/>
      <c r="B96" s="19" t="s">
        <v>46</v>
      </c>
      <c r="C96" s="5" t="s">
        <v>116</v>
      </c>
      <c r="D96" s="20" t="s">
        <v>26</v>
      </c>
      <c r="E96" s="35"/>
      <c r="F96" s="29" cm="1">
        <f t="array" ref="F96">IF(V96 &lt;&gt; "", V96, IFERROR(_xlfn.SINGLE(INDEX($G$1:G95,SUMPRODUCT(MAX(($W$1:W95=W96)*(ROW($W$1:W95))))))+IF(D96="Fiscal",30,90),""))</f>
        <v>45749</v>
      </c>
      <c r="G96" s="21">
        <v>45727</v>
      </c>
      <c r="H96" s="15">
        <f t="shared" si="61"/>
        <v>45737</v>
      </c>
      <c r="I96" s="15">
        <v>45731</v>
      </c>
      <c r="J96" s="32" t="s">
        <v>118</v>
      </c>
      <c r="K96" s="15">
        <f t="shared" si="62"/>
        <v>45747</v>
      </c>
      <c r="L96" s="15">
        <v>45742</v>
      </c>
      <c r="M96" s="15">
        <f t="shared" si="63"/>
        <v>45752</v>
      </c>
      <c r="N96" s="13">
        <v>45751</v>
      </c>
      <c r="O96" s="2" t="str">
        <f>IFERROR(IF(tblColetas[[#This Row],[Status Coleta]]="Reprovado","Reprovado",IF(ISERROR(SEARCH("Poço",D96)),IF(N96="","Erro",IF(Q96="Reprovado","",WORKDAY(N96,IF(D96="Operacional",10,3),FERIADOS!$A$3:$A$119))),"-")),"-")</f>
        <v>-</v>
      </c>
      <c r="P96" s="21"/>
      <c r="Q96" s="7" t="s">
        <v>37</v>
      </c>
      <c r="R96" s="13"/>
      <c r="S96" s="30"/>
      <c r="T96" s="43"/>
      <c r="W96" t="str">
        <f t="shared" ref="W96:W159" si="64">B96&amp;C96&amp;D96</f>
        <v>CDMPoço LL-58 (P-03)Poço CG</v>
      </c>
      <c r="X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" spans="1:24" ht="12.5" x14ac:dyDescent="0.25">
      <c r="A97" s="10"/>
      <c r="B97" s="19" t="s">
        <v>46</v>
      </c>
      <c r="C97" s="5" t="s">
        <v>116</v>
      </c>
      <c r="D97" s="20" t="s">
        <v>29</v>
      </c>
      <c r="E97" s="35"/>
      <c r="F97" s="29" cm="1">
        <f t="array" ref="F97">IF(V97 &lt;&gt; "", V97, IFERROR(_xlfn.SINGLE(INDEX($G$1:G96,SUMPRODUCT(MAX(($W$1:W96=W97)*(ROW($W$1:W96))))))+IF(D97="Fiscal",30,90),""))</f>
        <v>45749</v>
      </c>
      <c r="G97" s="21">
        <v>45727</v>
      </c>
      <c r="H97" s="15">
        <f t="shared" si="61"/>
        <v>45737</v>
      </c>
      <c r="I97" s="15">
        <v>45731</v>
      </c>
      <c r="J97" s="32" t="s">
        <v>118</v>
      </c>
      <c r="K97" s="15">
        <f t="shared" si="62"/>
        <v>45747</v>
      </c>
      <c r="L97" s="15">
        <v>45742</v>
      </c>
      <c r="M97" s="15">
        <f t="shared" si="63"/>
        <v>45752</v>
      </c>
      <c r="N97" s="13">
        <v>45751</v>
      </c>
      <c r="O97" s="2" t="str">
        <f>IFERROR(IF(tblColetas[[#This Row],[Status Coleta]]="Reprovado","Reprovado",IF(ISERROR(SEARCH("Poço",D97)),IF(N97="","Erro",IF(Q97="Reprovado","",WORKDAY(N97,IF(D97="Operacional",10,3),FERIADOS!$A$3:$A$119))),"-")),"-")</f>
        <v>-</v>
      </c>
      <c r="P97" s="21"/>
      <c r="Q97" s="7" t="s">
        <v>37</v>
      </c>
      <c r="R97" s="13"/>
      <c r="S97" s="30"/>
      <c r="T97" s="43"/>
      <c r="W97" t="str">
        <f t="shared" si="64"/>
        <v>CDMPoço LL-58 (P-03)Poço PVT</v>
      </c>
      <c r="X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" spans="1:24" ht="12.5" x14ac:dyDescent="0.25">
      <c r="A98" s="10"/>
      <c r="B98" s="19" t="s">
        <v>34</v>
      </c>
      <c r="C98" s="5" t="s">
        <v>35</v>
      </c>
      <c r="D98" s="20" t="s">
        <v>26</v>
      </c>
      <c r="E98" s="35"/>
      <c r="F98" s="29" cm="1">
        <f t="array" ref="F98">IF(V98 &lt;&gt; "", V98, IFERROR(_xlfn.SINGLE(INDEX($G$1:G97,SUMPRODUCT(MAX(($W$1:W97=W98)*(ROW($W$1:W97))))))+IF(D98="Fiscal",30,90),""))</f>
        <v>45750</v>
      </c>
      <c r="G98" s="21">
        <v>45740</v>
      </c>
      <c r="H98" s="15">
        <f t="shared" si="61"/>
        <v>45750</v>
      </c>
      <c r="I98" s="15">
        <v>45744</v>
      </c>
      <c r="J98" s="32" t="s">
        <v>119</v>
      </c>
      <c r="K98" s="15">
        <f t="shared" si="62"/>
        <v>45760</v>
      </c>
      <c r="L98" s="15">
        <v>45749</v>
      </c>
      <c r="M98" s="15">
        <f t="shared" si="63"/>
        <v>45765</v>
      </c>
      <c r="N98" s="13">
        <v>45764</v>
      </c>
      <c r="O98" s="2" t="str">
        <f>IFERROR(IF(tblColetas[[#This Row],[Status Coleta]]="Reprovado","Reprovado",IF(ISERROR(SEARCH("Poço",D98)),IF(N98="","Erro",IF(Q98="Reprovado","",WORKDAY(N98,IF(D98="Operacional",10,3),FERIADOS!$A$3:$A$119))),"-")),"-")</f>
        <v>-</v>
      </c>
      <c r="P98" s="21"/>
      <c r="Q98" s="7" t="s">
        <v>37</v>
      </c>
      <c r="R98" s="13"/>
      <c r="S98" s="30"/>
      <c r="T98" s="43"/>
      <c r="W98" t="str">
        <f t="shared" si="64"/>
        <v>CDSPoço LL-07 (P-03)Poço CG</v>
      </c>
      <c r="X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" spans="1:24" ht="12.5" x14ac:dyDescent="0.25">
      <c r="A99" s="10"/>
      <c r="B99" s="19" t="s">
        <v>34</v>
      </c>
      <c r="C99" s="5" t="s">
        <v>35</v>
      </c>
      <c r="D99" s="20" t="s">
        <v>29</v>
      </c>
      <c r="E99" s="35"/>
      <c r="F99" s="29" cm="1">
        <f t="array" ref="F99">IF(V99 &lt;&gt; "", V99, IFERROR(_xlfn.SINGLE(INDEX($G$1:G98,SUMPRODUCT(MAX(($W$1:W98=W99)*(ROW($W$1:W98))))))+IF(D99="Fiscal",30,90),""))</f>
        <v>45750</v>
      </c>
      <c r="G99" s="21">
        <v>45740</v>
      </c>
      <c r="H99" s="15">
        <f t="shared" si="61"/>
        <v>45750</v>
      </c>
      <c r="I99" s="15">
        <v>45744</v>
      </c>
      <c r="J99" s="32" t="s">
        <v>119</v>
      </c>
      <c r="K99" s="15">
        <f t="shared" si="62"/>
        <v>45760</v>
      </c>
      <c r="L99" s="15">
        <v>45749</v>
      </c>
      <c r="M99" s="15">
        <f t="shared" si="63"/>
        <v>45765</v>
      </c>
      <c r="N99" s="13">
        <v>45764</v>
      </c>
      <c r="O99" s="2" t="str">
        <f>IFERROR(IF(tblColetas[[#This Row],[Status Coleta]]="Reprovado","Reprovado",IF(ISERROR(SEARCH("Poço",D99)),IF(N99="","Erro",IF(Q99="Reprovado","",WORKDAY(N99,IF(D99="Operacional",10,3),FERIADOS!$A$3:$A$119))),"-")),"-")</f>
        <v>-</v>
      </c>
      <c r="P99" s="21"/>
      <c r="Q99" s="7" t="s">
        <v>37</v>
      </c>
      <c r="R99" s="13"/>
      <c r="S99" s="30"/>
      <c r="T99" s="43"/>
      <c r="W99" t="str">
        <f t="shared" si="64"/>
        <v>CDSPoço LL-07 (P-03)Poço PVT</v>
      </c>
      <c r="X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" spans="1:24" ht="12.5" x14ac:dyDescent="0.25">
      <c r="A100" s="10"/>
      <c r="B100" s="19" t="s">
        <v>38</v>
      </c>
      <c r="C100" s="5" t="s">
        <v>39</v>
      </c>
      <c r="D100" s="20" t="s">
        <v>26</v>
      </c>
      <c r="E100" s="35"/>
      <c r="F100" s="29" cm="1">
        <f t="array" ref="F100">IF(V100 &lt;&gt; "", V100, IFERROR(_xlfn.SINGLE(INDEX($G$1:G99,SUMPRODUCT(MAX(($W$1:W99=W100)*(ROW($W$1:W99))))))+IF(D100="Fiscal",30,90),""))</f>
        <v>45751</v>
      </c>
      <c r="G100" s="21">
        <v>45739</v>
      </c>
      <c r="H100" s="15">
        <f t="shared" ref="H100:H107" si="65">IF(G100="","Erro", G100+10)</f>
        <v>45749</v>
      </c>
      <c r="I100" s="15">
        <v>45741</v>
      </c>
      <c r="J100" s="32" t="s">
        <v>120</v>
      </c>
      <c r="K100" s="15">
        <f t="shared" ref="K100:K107" si="66">IF(G100="","Erro",G100+20)</f>
        <v>45759</v>
      </c>
      <c r="L100" s="15">
        <v>45749</v>
      </c>
      <c r="M100" s="15">
        <f t="shared" ref="M100:M107" si="67">IF(G100="","Erro",G100+IF(D100="Operacional",45,25))</f>
        <v>45764</v>
      </c>
      <c r="N100" s="13">
        <v>45763</v>
      </c>
      <c r="O100" s="2" t="str">
        <f>IFERROR(IF(tblColetas[[#This Row],[Status Coleta]]="Reprovado","Reprovado",IF(ISERROR(SEARCH("Poço",D100)),IF(N100="","Erro",IF(Q100="Reprovado","",WORKDAY(N100,IF(D100="Operacional",10,3),FERIADOS!$A$3:$A$119))),"-")),"-")</f>
        <v>-</v>
      </c>
      <c r="P100" s="21"/>
      <c r="Q100" s="7" t="s">
        <v>37</v>
      </c>
      <c r="R100" s="13"/>
      <c r="S100" s="30"/>
      <c r="T100" s="43"/>
      <c r="W100" t="str">
        <f t="shared" si="64"/>
        <v>CDPPoço LL-119 (P-02)Poço CG</v>
      </c>
      <c r="X1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" spans="1:24" ht="12.5" x14ac:dyDescent="0.25">
      <c r="A101" s="10"/>
      <c r="B101" s="19" t="s">
        <v>38</v>
      </c>
      <c r="C101" s="5" t="s">
        <v>39</v>
      </c>
      <c r="D101" s="20" t="s">
        <v>29</v>
      </c>
      <c r="E101" s="35"/>
      <c r="F101" s="29" cm="1">
        <f t="array" ref="F101">IF(V101 &lt;&gt; "", V101, IFERROR(_xlfn.SINGLE(INDEX($G$1:G100,SUMPRODUCT(MAX(($W$1:W100=W101)*(ROW($W$1:W100))))))+IF(D101="Fiscal",30,90),""))</f>
        <v>45751</v>
      </c>
      <c r="G101" s="21">
        <v>45739</v>
      </c>
      <c r="H101" s="15">
        <f t="shared" si="65"/>
        <v>45749</v>
      </c>
      <c r="I101" s="15">
        <v>45741</v>
      </c>
      <c r="J101" s="32" t="s">
        <v>120</v>
      </c>
      <c r="K101" s="15">
        <f t="shared" si="66"/>
        <v>45759</v>
      </c>
      <c r="L101" s="15">
        <v>45749</v>
      </c>
      <c r="M101" s="15">
        <f t="shared" si="67"/>
        <v>45764</v>
      </c>
      <c r="N101" s="13">
        <v>45763</v>
      </c>
      <c r="O101" s="2" t="str">
        <f>IFERROR(IF(tblColetas[[#This Row],[Status Coleta]]="Reprovado","Reprovado",IF(ISERROR(SEARCH("Poço",D101)),IF(N101="","Erro",IF(Q101="Reprovado","",WORKDAY(N101,IF(D101="Operacional",10,3),FERIADOS!$A$3:$A$119))),"-")),"-")</f>
        <v>-</v>
      </c>
      <c r="P101" s="21"/>
      <c r="Q101" s="7" t="s">
        <v>37</v>
      </c>
      <c r="R101" s="13"/>
      <c r="S101" s="30"/>
      <c r="T101" s="43"/>
      <c r="W101" t="str">
        <f t="shared" si="64"/>
        <v>CDPPoço LL-119 (P-02)Poço PVT</v>
      </c>
      <c r="X1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" spans="1:24" ht="12.5" x14ac:dyDescent="0.25">
      <c r="A102" s="10"/>
      <c r="B102" s="19" t="s">
        <v>34</v>
      </c>
      <c r="C102" s="5" t="s">
        <v>71</v>
      </c>
      <c r="D102" s="20" t="s">
        <v>72</v>
      </c>
      <c r="E102" s="35"/>
      <c r="F102" s="29" cm="1">
        <f t="array" ref="F102">IF(V102 &lt;&gt; "", V102, IFERROR(_xlfn.SINGLE(INDEX($G$1:G101,SUMPRODUCT(MAX(($W$1:W101=W102)*(ROW($W$1:W101))))))+IF(D102="Fiscal",30,90),""))</f>
        <v>45690</v>
      </c>
      <c r="G102" s="21">
        <v>45688</v>
      </c>
      <c r="H102" s="15">
        <f t="shared" si="65"/>
        <v>45698</v>
      </c>
      <c r="I102" s="15"/>
      <c r="J102" s="32"/>
      <c r="K102" s="15">
        <f t="shared" si="66"/>
        <v>45708</v>
      </c>
      <c r="L102" s="15"/>
      <c r="M102" s="15">
        <f t="shared" si="67"/>
        <v>45713</v>
      </c>
      <c r="N102" s="13">
        <v>45713</v>
      </c>
      <c r="O102" s="2">
        <f>IFERROR(IF(tblColetas[[#This Row],[Status Coleta]]="Reprovado","Reprovado",IF(ISERROR(SEARCH("Poço",D102)),IF(N102="","Erro",IF(Q102="Reprovado","",WORKDAY(N102,IF(D102="Operacional",10,3),FERIADOS!$A$3:$A$119))),"-")),"-")</f>
        <v>45716</v>
      </c>
      <c r="P102" s="21">
        <v>45714</v>
      </c>
      <c r="Q102" s="7" t="s">
        <v>37</v>
      </c>
      <c r="R102" s="13"/>
      <c r="S102" s="30"/>
      <c r="T102" s="43"/>
      <c r="W102" t="str">
        <f t="shared" si="64"/>
        <v>CDST77-FT-0103 (Fuel Gas)Fiscal</v>
      </c>
      <c r="X1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" spans="1:24" ht="12.5" x14ac:dyDescent="0.25">
      <c r="A103" s="10"/>
      <c r="B103" s="19" t="s">
        <v>34</v>
      </c>
      <c r="C103" s="5" t="s">
        <v>73</v>
      </c>
      <c r="D103" s="20" t="s">
        <v>72</v>
      </c>
      <c r="E103" s="35"/>
      <c r="F103" s="29" cm="1">
        <f t="array" ref="F103">IF(V103 &lt;&gt; "", V103, IFERROR(_xlfn.SINGLE(INDEX($G$1:G102,SUMPRODUCT(MAX(($W$1:W102=W103)*(ROW($W$1:W102))))))+IF(D103="Fiscal",30,90),""))</f>
        <v>45690</v>
      </c>
      <c r="G103" s="21">
        <v>45688</v>
      </c>
      <c r="H103" s="15">
        <f t="shared" si="65"/>
        <v>45698</v>
      </c>
      <c r="I103" s="15"/>
      <c r="J103" s="32"/>
      <c r="K103" s="15">
        <f t="shared" si="66"/>
        <v>45708</v>
      </c>
      <c r="L103" s="15"/>
      <c r="M103" s="15">
        <f t="shared" si="67"/>
        <v>45713</v>
      </c>
      <c r="N103" s="13">
        <v>45713</v>
      </c>
      <c r="O103" s="2">
        <f>IFERROR(IF(tblColetas[[#This Row],[Status Coleta]]="Reprovado","Reprovado",IF(ISERROR(SEARCH("Poço",D103)),IF(N103="","Erro",IF(Q103="Reprovado","",WORKDAY(N103,IF(D103="Operacional",10,3),FERIADOS!$A$3:$A$119))),"-")),"-")</f>
        <v>45716</v>
      </c>
      <c r="P103" s="21">
        <v>45714</v>
      </c>
      <c r="Q103" s="7" t="s">
        <v>37</v>
      </c>
      <c r="R103" s="13"/>
      <c r="S103" s="30"/>
      <c r="T103" s="43"/>
      <c r="W103" t="str">
        <f t="shared" si="64"/>
        <v>CDST74-AX-6911 (Export Gas)Fiscal</v>
      </c>
      <c r="X1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" spans="1:24" ht="12.5" x14ac:dyDescent="0.25">
      <c r="A104" s="10"/>
      <c r="B104" s="19" t="s">
        <v>34</v>
      </c>
      <c r="C104" s="5" t="s">
        <v>74</v>
      </c>
      <c r="D104" s="20" t="s">
        <v>72</v>
      </c>
      <c r="E104" s="35"/>
      <c r="F104" s="29" cm="1">
        <f t="array" ref="F104">IF(V104 &lt;&gt; "", V104, IFERROR(_xlfn.SINGLE(INDEX($G$1:G103,SUMPRODUCT(MAX(($W$1:W103=W104)*(ROW($W$1:W103))))))+IF(D104="Fiscal",30,90),""))</f>
        <v>45690</v>
      </c>
      <c r="G104" s="21">
        <v>45688</v>
      </c>
      <c r="H104" s="15">
        <f t="shared" si="65"/>
        <v>45698</v>
      </c>
      <c r="I104" s="15"/>
      <c r="J104" s="32"/>
      <c r="K104" s="15">
        <f t="shared" si="66"/>
        <v>45708</v>
      </c>
      <c r="L104" s="15"/>
      <c r="M104" s="15">
        <f t="shared" si="67"/>
        <v>45713</v>
      </c>
      <c r="N104" s="13">
        <v>45713</v>
      </c>
      <c r="O104" s="2">
        <f>IFERROR(IF(tblColetas[[#This Row],[Status Coleta]]="Reprovado","Reprovado",IF(ISERROR(SEARCH("Poço",D104)),IF(N104="","Erro",IF(Q104="Reprovado","",WORKDAY(N104,IF(D104="Operacional",10,3),FERIADOS!$A$3:$A$119))),"-")),"-")</f>
        <v>45716</v>
      </c>
      <c r="P104" s="21">
        <v>45714</v>
      </c>
      <c r="Q104" s="7" t="s">
        <v>37</v>
      </c>
      <c r="R104" s="13"/>
      <c r="S104" s="30"/>
      <c r="T104" s="43"/>
      <c r="W104" t="str">
        <f t="shared" si="64"/>
        <v>CDST76-FT-0014 (HP Flare)Fiscal</v>
      </c>
      <c r="X1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" spans="1:24" ht="12.5" x14ac:dyDescent="0.25">
      <c r="A105" s="10"/>
      <c r="B105" s="19" t="s">
        <v>34</v>
      </c>
      <c r="C105" s="5" t="s">
        <v>75</v>
      </c>
      <c r="D105" s="20" t="s">
        <v>72</v>
      </c>
      <c r="E105" s="35"/>
      <c r="F105" s="29" cm="1">
        <f t="array" ref="F105">IF(V105 &lt;&gt; "", V105, IFERROR(_xlfn.SINGLE(INDEX($G$1:G104,SUMPRODUCT(MAX(($W$1:W104=W105)*(ROW($W$1:W104))))))+IF(D105="Fiscal",30,90),""))</f>
        <v>45690</v>
      </c>
      <c r="G105" s="21">
        <v>45688</v>
      </c>
      <c r="H105" s="15">
        <f t="shared" si="65"/>
        <v>45698</v>
      </c>
      <c r="I105" s="15"/>
      <c r="J105" s="32"/>
      <c r="K105" s="15">
        <f t="shared" si="66"/>
        <v>45708</v>
      </c>
      <c r="L105" s="15"/>
      <c r="M105" s="15">
        <f t="shared" si="67"/>
        <v>45713</v>
      </c>
      <c r="N105" s="13">
        <v>45713</v>
      </c>
      <c r="O105" s="2">
        <f>IFERROR(IF(tblColetas[[#This Row],[Status Coleta]]="Reprovado","Reprovado",IF(ISERROR(SEARCH("Poço",D105)),IF(N105="","Erro",IF(Q105="Reprovado","",WORKDAY(N105,IF(D105="Operacional",10,3),FERIADOS!$A$3:$A$119))),"-")),"-")</f>
        <v>45716</v>
      </c>
      <c r="P105" s="21">
        <v>45714</v>
      </c>
      <c r="Q105" s="7" t="s">
        <v>37</v>
      </c>
      <c r="R105" s="13"/>
      <c r="S105" s="30"/>
      <c r="T105" s="43"/>
      <c r="W105" t="str">
        <f t="shared" si="64"/>
        <v>CDST76-FT-0034 (LP Flare)Fiscal</v>
      </c>
      <c r="X1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" spans="1:24" ht="12.5" x14ac:dyDescent="0.25">
      <c r="A106" s="10"/>
      <c r="B106" s="19" t="s">
        <v>24</v>
      </c>
      <c r="C106" s="5" t="s">
        <v>76</v>
      </c>
      <c r="D106" s="20" t="s">
        <v>72</v>
      </c>
      <c r="E106" s="35"/>
      <c r="F106" s="29" cm="1">
        <f t="array" ref="F106">IF(V106 &lt;&gt; "", V106, IFERROR(_xlfn.SINGLE(INDEX($G$1:G105,SUMPRODUCT(MAX(($W$1:W105=W106)*(ROW($W$1:W105))))))+IF(D106="Fiscal",30,90),""))</f>
        <v>45692</v>
      </c>
      <c r="G106" s="21">
        <v>45691</v>
      </c>
      <c r="H106" s="15">
        <f t="shared" si="65"/>
        <v>45701</v>
      </c>
      <c r="I106" s="15">
        <v>45693</v>
      </c>
      <c r="J106" s="32" t="s">
        <v>54</v>
      </c>
      <c r="K106" s="15">
        <f t="shared" si="66"/>
        <v>45711</v>
      </c>
      <c r="L106" s="15">
        <v>45708</v>
      </c>
      <c r="M106" s="15">
        <f t="shared" si="67"/>
        <v>45716</v>
      </c>
      <c r="N106" s="13">
        <v>45715</v>
      </c>
      <c r="O106" s="2" t="str">
        <f>IFERROR(IF(tblColetas[[#This Row],[Status Coleta]]="Reprovado","Reprovado",IF(ISERROR(SEARCH("Poço",D106)),IF(N106="","Erro",IF(Q106="Reprovado","",WORKDAY(N106,IF(D106="Operacional",10,3),FERIADOS!$A$3:$A$119))),"-")),"-")</f>
        <v>Reprovado</v>
      </c>
      <c r="P106" s="21"/>
      <c r="Q106" s="7" t="s">
        <v>81</v>
      </c>
      <c r="R106" s="13"/>
      <c r="S106" s="30"/>
      <c r="T106" s="43"/>
      <c r="W106" t="str">
        <f t="shared" si="64"/>
        <v>CDAM74-FT-005 (Export gas)Fiscal</v>
      </c>
      <c r="X1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" spans="1:24" ht="12.5" x14ac:dyDescent="0.25">
      <c r="A107" s="10"/>
      <c r="B107" s="19" t="s">
        <v>24</v>
      </c>
      <c r="C107" s="5" t="s">
        <v>78</v>
      </c>
      <c r="D107" s="20" t="s">
        <v>72</v>
      </c>
      <c r="E107" s="35"/>
      <c r="F107" s="29" cm="1">
        <f t="array" ref="F107">IF(V107 &lt;&gt; "", V107, IFERROR(_xlfn.SINGLE(INDEX($G$1:G106,SUMPRODUCT(MAX(($W$1:W106=W107)*(ROW($W$1:W106))))))+IF(D107="Fiscal",30,90),""))</f>
        <v>45692</v>
      </c>
      <c r="G107" s="21">
        <v>45691</v>
      </c>
      <c r="H107" s="15">
        <f t="shared" si="65"/>
        <v>45701</v>
      </c>
      <c r="I107" s="15">
        <v>45693</v>
      </c>
      <c r="J107" s="32" t="s">
        <v>54</v>
      </c>
      <c r="K107" s="15">
        <f t="shared" si="66"/>
        <v>45711</v>
      </c>
      <c r="L107" s="15">
        <v>45708</v>
      </c>
      <c r="M107" s="15">
        <f t="shared" si="67"/>
        <v>45716</v>
      </c>
      <c r="N107" s="13">
        <v>45715</v>
      </c>
      <c r="O107" s="2">
        <f>IFERROR(IF(tblColetas[[#This Row],[Status Coleta]]="Reprovado","Reprovado",IF(ISERROR(SEARCH("Poço",D107)),IF(N107="","Erro",IF(Q107="Reprovado","",WORKDAY(N107,IF(D107="Operacional",10,3),FERIADOS!$A$3:$A$119))),"-")),"-")</f>
        <v>45721</v>
      </c>
      <c r="P107" s="21">
        <v>45716</v>
      </c>
      <c r="Q107" s="7" t="s">
        <v>37</v>
      </c>
      <c r="R107" s="13"/>
      <c r="S107" s="30"/>
      <c r="T107" s="43"/>
      <c r="W107" t="str">
        <f t="shared" si="64"/>
        <v>CDAT77-FT-001 (Fuel Gas)Fiscal</v>
      </c>
      <c r="X1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8" spans="1:24" ht="12.5" x14ac:dyDescent="0.25">
      <c r="A108" s="10"/>
      <c r="B108" s="8" t="s">
        <v>52</v>
      </c>
      <c r="C108" s="5" t="s">
        <v>121</v>
      </c>
      <c r="D108" s="9" t="s">
        <v>70</v>
      </c>
      <c r="E108" s="36"/>
      <c r="F108" s="29" t="str" cm="1">
        <f t="array" ref="F108">IF(V108 &lt;&gt; "", V108, IFERROR(_xlfn.SINGLE(INDEX($G$1:G107,SUMPRODUCT(MAX(($W$1:W107=W108)*(ROW($W$1:W107))))))+IF(D108="Fiscal",30,90),""))</f>
        <v/>
      </c>
      <c r="G108" s="13">
        <v>45664</v>
      </c>
      <c r="H108" s="15">
        <f t="shared" ref="H108:H116" si="68">IF(G108="","Erro", G108+10)</f>
        <v>45674</v>
      </c>
      <c r="I108" s="15"/>
      <c r="J108" s="32"/>
      <c r="K108" s="15">
        <f t="shared" ref="K108:K116" si="69">IF(G108="","Erro",G108+20)</f>
        <v>45684</v>
      </c>
      <c r="L108" s="15"/>
      <c r="M108" s="15">
        <f t="shared" ref="M108:M116" si="70">IF(G108="","Erro",G108+IF(D108="Operacional",45,25))</f>
        <v>45689</v>
      </c>
      <c r="N108" s="13">
        <v>45688</v>
      </c>
      <c r="O108" s="2" t="str">
        <f>IFERROR(IF(tblColetas[[#This Row],[Status Coleta]]="Reprovado","Reprovado",IF(ISERROR(SEARCH("Poço",D108)),IF(N108="","Erro",IF(Q108="Reprovado","",WORKDAY(N108,IF(D108="Operacional",10,3),FERIADOS!$A$3:$A$119))),"-")),"-")</f>
        <v>Reprovado</v>
      </c>
      <c r="P108" s="13"/>
      <c r="Q108" s="7" t="s">
        <v>81</v>
      </c>
      <c r="R108" s="13"/>
      <c r="S108" s="33"/>
      <c r="T108" s="43"/>
      <c r="W108" t="str">
        <f t="shared" si="64"/>
        <v>SEP773-AP-0011 (Gas Lift Total)Gas Lift</v>
      </c>
      <c r="X1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9" spans="1:24" ht="12.5" x14ac:dyDescent="0.25">
      <c r="A109" s="10"/>
      <c r="B109" s="8" t="s">
        <v>31</v>
      </c>
      <c r="C109" s="5" t="s">
        <v>122</v>
      </c>
      <c r="D109" s="9" t="s">
        <v>72</v>
      </c>
      <c r="E109" s="36"/>
      <c r="F109" s="29" t="str" cm="1">
        <f t="array" ref="F109">IF(V109 &lt;&gt; "", V109, IFERROR(_xlfn.SINGLE(INDEX($G$1:G108,SUMPRODUCT(MAX(($W$1:W108=W109)*(ROW($W$1:W108))))))+IF(D109="Fiscal",30,90),""))</f>
        <v/>
      </c>
      <c r="G109" s="13">
        <v>45681</v>
      </c>
      <c r="H109" s="15">
        <f t="shared" si="68"/>
        <v>45691</v>
      </c>
      <c r="I109" s="15"/>
      <c r="J109" s="32"/>
      <c r="K109" s="15">
        <f t="shared" si="69"/>
        <v>45701</v>
      </c>
      <c r="L109" s="15"/>
      <c r="M109" s="15">
        <f t="shared" si="70"/>
        <v>45706</v>
      </c>
      <c r="N109" s="13">
        <v>45706</v>
      </c>
      <c r="O109" s="2">
        <f>IFERROR(IF(tblColetas[[#This Row],[Status Coleta]]="Reprovado","Reprovado",IF(ISERROR(SEARCH("Poço",D109)),IF(N109="","Erro",IF(Q109="Reprovado","",WORKDAY(N109,IF(D109="Operacional",10,3),FERIADOS!$A$3:$A$119))),"-")),"-")</f>
        <v>45709</v>
      </c>
      <c r="P109" s="13">
        <v>45709</v>
      </c>
      <c r="Q109" s="7" t="s">
        <v>37</v>
      </c>
      <c r="R109" s="13"/>
      <c r="S109" s="30"/>
      <c r="T109" s="43"/>
      <c r="W109" t="str">
        <f t="shared" si="64"/>
        <v>CDIT77-FT-6911 (Export gas)Fiscal</v>
      </c>
      <c r="X1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0" spans="1:24" ht="12.5" x14ac:dyDescent="0.25">
      <c r="A110" s="10"/>
      <c r="B110" s="8" t="s">
        <v>31</v>
      </c>
      <c r="C110" s="5" t="s">
        <v>71</v>
      </c>
      <c r="D110" s="9" t="s">
        <v>72</v>
      </c>
      <c r="E110" s="36"/>
      <c r="F110" s="29" t="str" cm="1">
        <f t="array" ref="F110">IF(V110 &lt;&gt; "", V110, IFERROR(_xlfn.SINGLE(INDEX($G$1:G109,SUMPRODUCT(MAX(($W$1:W109=W110)*(ROW($W$1:W109))))))+IF(D110="Fiscal",30,90),""))</f>
        <v/>
      </c>
      <c r="G110" s="13">
        <v>45681</v>
      </c>
      <c r="H110" s="15">
        <f t="shared" si="68"/>
        <v>45691</v>
      </c>
      <c r="I110" s="15"/>
      <c r="J110" s="32"/>
      <c r="K110" s="15">
        <f t="shared" si="69"/>
        <v>45701</v>
      </c>
      <c r="L110" s="15"/>
      <c r="M110" s="15">
        <f t="shared" si="70"/>
        <v>45706</v>
      </c>
      <c r="N110" s="13">
        <v>45706</v>
      </c>
      <c r="O110" s="2">
        <f>IFERROR(IF(tblColetas[[#This Row],[Status Coleta]]="Reprovado","Reprovado",IF(ISERROR(SEARCH("Poço",D110)),IF(N110="","Erro",IF(Q110="Reprovado","",WORKDAY(N110,IF(D110="Operacional",10,3),FERIADOS!$A$3:$A$119))),"-")),"-")</f>
        <v>45709</v>
      </c>
      <c r="P110" s="13">
        <v>45709</v>
      </c>
      <c r="Q110" s="7" t="s">
        <v>37</v>
      </c>
      <c r="R110" s="13"/>
      <c r="S110" s="30"/>
      <c r="T110" s="43"/>
      <c r="W110" t="str">
        <f t="shared" si="64"/>
        <v>CDIT77-FT-0103 (Fuel Gas)Fiscal</v>
      </c>
      <c r="X1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1" spans="1:24" ht="12.5" x14ac:dyDescent="0.25">
      <c r="A111" s="10"/>
      <c r="B111" s="8" t="s">
        <v>31</v>
      </c>
      <c r="C111" s="5" t="s">
        <v>74</v>
      </c>
      <c r="D111" s="9" t="s">
        <v>72</v>
      </c>
      <c r="E111" s="36"/>
      <c r="F111" s="29" t="str" cm="1">
        <f t="array" ref="F111">IF(V111 &lt;&gt; "", V111, IFERROR(_xlfn.SINGLE(INDEX($G$1:G110,SUMPRODUCT(MAX(($W$1:W110=W111)*(ROW($W$1:W110))))))+IF(D111="Fiscal",30,90),""))</f>
        <v/>
      </c>
      <c r="G111" s="13">
        <v>45681</v>
      </c>
      <c r="H111" s="15">
        <f t="shared" si="68"/>
        <v>45691</v>
      </c>
      <c r="I111" s="15"/>
      <c r="J111" s="32"/>
      <c r="K111" s="15">
        <f t="shared" si="69"/>
        <v>45701</v>
      </c>
      <c r="L111" s="15"/>
      <c r="M111" s="15">
        <f t="shared" si="70"/>
        <v>45706</v>
      </c>
      <c r="N111" s="13">
        <v>45706</v>
      </c>
      <c r="O111" s="2">
        <f>IFERROR(IF(tblColetas[[#This Row],[Status Coleta]]="Reprovado","Reprovado",IF(ISERROR(SEARCH("Poço",D111)),IF(N111="","Erro",IF(Q111="Reprovado","",WORKDAY(N111,IF(D111="Operacional",10,3),FERIADOS!$A$3:$A$119))),"-")),"-")</f>
        <v>45709</v>
      </c>
      <c r="P111" s="13">
        <v>45709</v>
      </c>
      <c r="Q111" s="7" t="s">
        <v>37</v>
      </c>
      <c r="R111" s="13"/>
      <c r="S111" s="30"/>
      <c r="T111" s="43"/>
      <c r="W111" t="str">
        <f t="shared" si="64"/>
        <v>CDIT76-FT-0014 (HP Flare)Fiscal</v>
      </c>
      <c r="X1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2" spans="1:24" ht="12.5" x14ac:dyDescent="0.25">
      <c r="A112" s="10"/>
      <c r="B112" s="8" t="s">
        <v>31</v>
      </c>
      <c r="C112" s="5" t="s">
        <v>75</v>
      </c>
      <c r="D112" s="9" t="s">
        <v>72</v>
      </c>
      <c r="E112" s="36"/>
      <c r="F112" s="29" t="str" cm="1">
        <f t="array" ref="F112">IF(V112 &lt;&gt; "", V112, IFERROR(_xlfn.SINGLE(INDEX($G$1:G111,SUMPRODUCT(MAX(($W$1:W111=W112)*(ROW($W$1:W111))))))+IF(D112="Fiscal",30,90),""))</f>
        <v/>
      </c>
      <c r="G112" s="13">
        <v>45681</v>
      </c>
      <c r="H112" s="15">
        <f t="shared" si="68"/>
        <v>45691</v>
      </c>
      <c r="I112" s="15"/>
      <c r="J112" s="32"/>
      <c r="K112" s="15">
        <f t="shared" si="69"/>
        <v>45701</v>
      </c>
      <c r="L112" s="15"/>
      <c r="M112" s="15">
        <f t="shared" si="70"/>
        <v>45706</v>
      </c>
      <c r="N112" s="13">
        <v>45706</v>
      </c>
      <c r="O112" s="2">
        <f>IFERROR(IF(tblColetas[[#This Row],[Status Coleta]]="Reprovado","Reprovado",IF(ISERROR(SEARCH("Poço",D112)),IF(N112="","Erro",IF(Q112="Reprovado","",WORKDAY(N112,IF(D112="Operacional",10,3),FERIADOS!$A$3:$A$119))),"-")),"-")</f>
        <v>45709</v>
      </c>
      <c r="P112" s="13">
        <v>45709</v>
      </c>
      <c r="Q112" s="7" t="s">
        <v>37</v>
      </c>
      <c r="R112" s="13"/>
      <c r="S112" s="30"/>
      <c r="T112" s="43"/>
      <c r="W112" t="str">
        <f t="shared" si="64"/>
        <v>CDIT76-FT-0034 (LP Flare)Fiscal</v>
      </c>
      <c r="X1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3" spans="1:24" ht="12.5" x14ac:dyDescent="0.25">
      <c r="A113" s="10"/>
      <c r="B113" s="17" t="s">
        <v>52</v>
      </c>
      <c r="C113" s="6" t="s">
        <v>123</v>
      </c>
      <c r="D113" s="18" t="s">
        <v>26</v>
      </c>
      <c r="E113" s="35"/>
      <c r="F113" s="25" t="str" cm="1">
        <f t="array" ref="F113">IF(V113 &lt;&gt; "", V113, IFERROR(_xlfn.SINGLE(INDEX($G$1:G112,SUMPRODUCT(MAX(($W$1:W112=W113)*(ROW($W$1:W112))))))+IF(D113="Fiscal",30,90),""))</f>
        <v/>
      </c>
      <c r="G113" s="16">
        <v>45664</v>
      </c>
      <c r="H113" s="15">
        <f t="shared" si="68"/>
        <v>45674</v>
      </c>
      <c r="I113" s="15">
        <v>45669</v>
      </c>
      <c r="J113" s="32" t="s">
        <v>40</v>
      </c>
      <c r="K113" s="15">
        <f t="shared" si="69"/>
        <v>45684</v>
      </c>
      <c r="L113" s="15">
        <v>45680</v>
      </c>
      <c r="M113" s="14">
        <f t="shared" si="70"/>
        <v>45689</v>
      </c>
      <c r="N113" s="12">
        <v>45688</v>
      </c>
      <c r="O113" s="1" t="str">
        <f>IFERROR(IF(tblColetas[[#This Row],[Status Coleta]]="Reprovado","Reprovado",IF(ISERROR(SEARCH("Poço",D113)),IF(N113="","Erro",IF(Q113="Reprovado","",WORKDAY(N113,IF(D113="Operacional",10,3),FERIADOS!$A$3:$A$119))),"-")),"-")</f>
        <v>-</v>
      </c>
      <c r="P113" s="16"/>
      <c r="Q113" s="7" t="s">
        <v>37</v>
      </c>
      <c r="R113" s="12"/>
      <c r="S113" s="27"/>
      <c r="T113" s="42"/>
      <c r="W113" t="str">
        <f t="shared" si="64"/>
        <v>SEPPoço P-10Poço CG</v>
      </c>
      <c r="X1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4" spans="1:24" ht="12.5" x14ac:dyDescent="0.25">
      <c r="A114" s="10"/>
      <c r="B114" s="17" t="s">
        <v>52</v>
      </c>
      <c r="C114" s="6" t="s">
        <v>123</v>
      </c>
      <c r="D114" s="18" t="s">
        <v>29</v>
      </c>
      <c r="E114" s="35"/>
      <c r="F114" s="25" t="str" cm="1">
        <f t="array" ref="F114">IF(V114 &lt;&gt; "", V114, IFERROR(_xlfn.SINGLE(INDEX($G$1:G113,SUMPRODUCT(MAX(($W$1:W113=W114)*(ROW($W$1:W113))))))+IF(D114="Fiscal",30,90),""))</f>
        <v/>
      </c>
      <c r="G114" s="16">
        <v>45664</v>
      </c>
      <c r="H114" s="15">
        <f t="shared" si="68"/>
        <v>45674</v>
      </c>
      <c r="I114" s="15">
        <v>45669</v>
      </c>
      <c r="J114" s="32" t="s">
        <v>40</v>
      </c>
      <c r="K114" s="15">
        <f t="shared" si="69"/>
        <v>45684</v>
      </c>
      <c r="L114" s="15">
        <v>45680</v>
      </c>
      <c r="M114" s="14">
        <f t="shared" si="70"/>
        <v>45689</v>
      </c>
      <c r="N114" s="12">
        <v>45688</v>
      </c>
      <c r="O114" s="1" t="str">
        <f>IFERROR(IF(tblColetas[[#This Row],[Status Coleta]]="Reprovado","Reprovado",IF(ISERROR(SEARCH("Poço",D114)),IF(N114="","Erro",IF(Q114="Reprovado","",WORKDAY(N114,IF(D114="Operacional",10,3),FERIADOS!$A$3:$A$119))),"-")),"-")</f>
        <v>-</v>
      </c>
      <c r="P114" s="16"/>
      <c r="Q114" s="7" t="s">
        <v>37</v>
      </c>
      <c r="R114" s="12"/>
      <c r="S114" s="27"/>
      <c r="T114" s="42"/>
      <c r="W114" t="str">
        <f t="shared" si="64"/>
        <v>SEPPoço P-10Poço PVT</v>
      </c>
      <c r="X1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5" spans="1:24" ht="12.5" x14ac:dyDescent="0.25">
      <c r="A115" s="10"/>
      <c r="B115" s="19" t="s">
        <v>38</v>
      </c>
      <c r="C115" s="5" t="s">
        <v>41</v>
      </c>
      <c r="D115" s="20" t="s">
        <v>26</v>
      </c>
      <c r="E115" s="35"/>
      <c r="F115" s="29" cm="1">
        <f t="array" ref="F115">IF(V115 &lt;&gt; "", V115, IFERROR(_xlfn.SINGLE(INDEX($G$1:G114,SUMPRODUCT(MAX(($W$1:W114=W115)*(ROW($W$1:W114))))))+IF(D115="Fiscal",30,90),""))</f>
        <v>45754</v>
      </c>
      <c r="G115" s="21">
        <v>45744</v>
      </c>
      <c r="H115" s="15">
        <f t="shared" si="68"/>
        <v>45754</v>
      </c>
      <c r="I115" s="15">
        <v>45746</v>
      </c>
      <c r="J115" s="32" t="s">
        <v>124</v>
      </c>
      <c r="K115" s="15">
        <f t="shared" si="69"/>
        <v>45764</v>
      </c>
      <c r="L115" s="15">
        <v>45759</v>
      </c>
      <c r="M115" s="15">
        <f t="shared" si="70"/>
        <v>45769</v>
      </c>
      <c r="N115" s="13">
        <v>45769</v>
      </c>
      <c r="O115" s="2" t="str">
        <f>IFERROR(IF(tblColetas[[#This Row],[Status Coleta]]="Reprovado","Reprovado",IF(ISERROR(SEARCH("Poço",D115)),IF(N115="","Erro",IF(Q115="Reprovado","",WORKDAY(N115,IF(D115="Operacional",10,3),FERIADOS!$A$3:$A$119))),"-")),"-")</f>
        <v>-</v>
      </c>
      <c r="P115" s="21"/>
      <c r="Q115" s="7" t="s">
        <v>37</v>
      </c>
      <c r="R115" s="13"/>
      <c r="S115" s="30"/>
      <c r="T115" s="43"/>
      <c r="W115" t="str">
        <f t="shared" si="64"/>
        <v>CDPPoço LL-15 (P-3)Poço CG</v>
      </c>
      <c r="X1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6" spans="1:24" ht="12.5" x14ac:dyDescent="0.25">
      <c r="A116" s="10"/>
      <c r="B116" s="19" t="s">
        <v>38</v>
      </c>
      <c r="C116" s="5" t="s">
        <v>41</v>
      </c>
      <c r="D116" s="20" t="s">
        <v>29</v>
      </c>
      <c r="E116" s="35"/>
      <c r="F116" s="29" cm="1">
        <f t="array" ref="F116">IF(V116 &lt;&gt; "", V116, IFERROR(_xlfn.SINGLE(INDEX($G$1:G115,SUMPRODUCT(MAX(($W$1:W115=W116)*(ROW($W$1:W115))))))+IF(D116="Fiscal",30,90),""))</f>
        <v>45754</v>
      </c>
      <c r="G116" s="21">
        <v>45744</v>
      </c>
      <c r="H116" s="15">
        <f t="shared" si="68"/>
        <v>45754</v>
      </c>
      <c r="I116" s="15">
        <v>45746</v>
      </c>
      <c r="J116" s="32" t="s">
        <v>124</v>
      </c>
      <c r="K116" s="15">
        <f t="shared" si="69"/>
        <v>45764</v>
      </c>
      <c r="L116" s="15">
        <v>45759</v>
      </c>
      <c r="M116" s="15">
        <f t="shared" si="70"/>
        <v>45769</v>
      </c>
      <c r="N116" s="13">
        <v>45769</v>
      </c>
      <c r="O116" s="2" t="str">
        <f>IFERROR(IF(tblColetas[[#This Row],[Status Coleta]]="Reprovado","Reprovado",IF(ISERROR(SEARCH("Poço",D116)),IF(N116="","Erro",IF(Q116="Reprovado","",WORKDAY(N116,IF(D116="Operacional",10,3),FERIADOS!$A$3:$A$119))),"-")),"-")</f>
        <v>-</v>
      </c>
      <c r="P116" s="21"/>
      <c r="Q116" s="7" t="s">
        <v>37</v>
      </c>
      <c r="R116" s="13"/>
      <c r="S116" s="30"/>
      <c r="T116" s="43"/>
      <c r="W116" t="str">
        <f t="shared" si="64"/>
        <v>CDPPoço LL-15 (P-3)Poço PVT</v>
      </c>
      <c r="X1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7" spans="1:24" ht="12.5" x14ac:dyDescent="0.25">
      <c r="A117" s="10"/>
      <c r="B117" s="19" t="s">
        <v>46</v>
      </c>
      <c r="C117" s="5" t="s">
        <v>74</v>
      </c>
      <c r="D117" s="20" t="s">
        <v>72</v>
      </c>
      <c r="E117" s="35"/>
      <c r="F117" s="29" t="str" cm="1">
        <f t="array" ref="F117">IF(V117 &lt;&gt; "", V117, IFERROR(_xlfn.SINGLE(INDEX($G$1:G116,SUMPRODUCT(MAX(($W$1:W116=W117)*(ROW($W$1:W116))))))+IF(D117="Fiscal",30,90),""))</f>
        <v/>
      </c>
      <c r="G117" s="21">
        <v>45667</v>
      </c>
      <c r="H117" s="15">
        <f t="shared" ref="H117:H123" si="71">IF(G117="","Erro", G117+10)</f>
        <v>45677</v>
      </c>
      <c r="I117" s="15"/>
      <c r="J117" s="32"/>
      <c r="K117" s="15">
        <f t="shared" ref="K117:K123" si="72">IF(G117="","Erro",G117+20)</f>
        <v>45687</v>
      </c>
      <c r="L117" s="15"/>
      <c r="M117" s="15">
        <f t="shared" ref="M117:M123" si="73">IF(G117="","Erro",G117+IF(D117="Operacional",45,25))</f>
        <v>45692</v>
      </c>
      <c r="N117" s="13">
        <v>45692</v>
      </c>
      <c r="O117" s="2">
        <f>IFERROR(IF(tblColetas[[#This Row],[Status Coleta]]="Reprovado","Reprovado",IF(ISERROR(SEARCH("Poço",D117)),IF(N117="","Erro",IF(Q117="Reprovado","",WORKDAY(N117,IF(D117="Operacional",10,3),FERIADOS!$A$3:$A$119))),"-")),"-")</f>
        <v>45695</v>
      </c>
      <c r="P117" s="21">
        <v>45695</v>
      </c>
      <c r="Q117" s="7" t="s">
        <v>37</v>
      </c>
      <c r="R117" s="13"/>
      <c r="S117" s="30"/>
      <c r="T117" s="43"/>
      <c r="W117" t="str">
        <f t="shared" si="64"/>
        <v>CDMT76-FT-0014 (HP Flare)Fiscal</v>
      </c>
      <c r="X1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8" spans="1:24" ht="12.5" x14ac:dyDescent="0.25">
      <c r="A118" s="10"/>
      <c r="B118" s="19" t="s">
        <v>46</v>
      </c>
      <c r="C118" s="5" t="s">
        <v>75</v>
      </c>
      <c r="D118" s="20" t="s">
        <v>72</v>
      </c>
      <c r="E118" s="35"/>
      <c r="F118" s="29" t="str" cm="1">
        <f t="array" ref="F118">IF(V118 &lt;&gt; "", V118, IFERROR(_xlfn.SINGLE(INDEX($G$1:G117,SUMPRODUCT(MAX(($W$1:W117=W118)*(ROW($W$1:W117))))))+IF(D118="Fiscal",30,90),""))</f>
        <v/>
      </c>
      <c r="G118" s="21">
        <v>45667</v>
      </c>
      <c r="H118" s="15">
        <f t="shared" si="71"/>
        <v>45677</v>
      </c>
      <c r="I118" s="15"/>
      <c r="J118" s="32"/>
      <c r="K118" s="15">
        <f t="shared" si="72"/>
        <v>45687</v>
      </c>
      <c r="L118" s="15"/>
      <c r="M118" s="15">
        <f t="shared" si="73"/>
        <v>45692</v>
      </c>
      <c r="N118" s="13">
        <v>45692</v>
      </c>
      <c r="O118" s="2">
        <f>IFERROR(IF(tblColetas[[#This Row],[Status Coleta]]="Reprovado","Reprovado",IF(ISERROR(SEARCH("Poço",D118)),IF(N118="","Erro",IF(Q118="Reprovado","",WORKDAY(N118,IF(D118="Operacional",10,3),FERIADOS!$A$3:$A$119))),"-")),"-")</f>
        <v>45695</v>
      </c>
      <c r="P118" s="21">
        <v>45695</v>
      </c>
      <c r="Q118" s="7" t="s">
        <v>37</v>
      </c>
      <c r="R118" s="13"/>
      <c r="S118" s="30"/>
      <c r="T118" s="43"/>
      <c r="W118" t="str">
        <f t="shared" si="64"/>
        <v>CDMT76-FT-0034 (LP Flare)Fiscal</v>
      </c>
      <c r="X1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19" spans="1:24" ht="12.5" x14ac:dyDescent="0.25">
      <c r="A119" s="10"/>
      <c r="B119" s="19" t="s">
        <v>46</v>
      </c>
      <c r="C119" s="5" t="s">
        <v>71</v>
      </c>
      <c r="D119" s="20" t="s">
        <v>72</v>
      </c>
      <c r="E119" s="35"/>
      <c r="F119" s="29" t="str" cm="1">
        <f t="array" ref="F119">IF(V119 &lt;&gt; "", V119, IFERROR(_xlfn.SINGLE(INDEX($G$1:G118,SUMPRODUCT(MAX(($W$1:W118=W119)*(ROW($W$1:W118))))))+IF(D119="Fiscal",30,90),""))</f>
        <v/>
      </c>
      <c r="G119" s="21">
        <v>45667</v>
      </c>
      <c r="H119" s="15">
        <f t="shared" si="71"/>
        <v>45677</v>
      </c>
      <c r="I119" s="15"/>
      <c r="J119" s="32"/>
      <c r="K119" s="15">
        <f t="shared" si="72"/>
        <v>45687</v>
      </c>
      <c r="L119" s="15"/>
      <c r="M119" s="15">
        <f t="shared" si="73"/>
        <v>45692</v>
      </c>
      <c r="N119" s="13">
        <v>45692</v>
      </c>
      <c r="O119" s="2">
        <f>IFERROR(IF(tblColetas[[#This Row],[Status Coleta]]="Reprovado","Reprovado",IF(ISERROR(SEARCH("Poço",D119)),IF(N119="","Erro",IF(Q119="Reprovado","",WORKDAY(N119,IF(D119="Operacional",10,3),FERIADOS!$A$3:$A$119))),"-")),"-")</f>
        <v>45695</v>
      </c>
      <c r="P119" s="21">
        <v>45695</v>
      </c>
      <c r="Q119" s="7" t="s">
        <v>37</v>
      </c>
      <c r="R119" s="13"/>
      <c r="S119" s="30"/>
      <c r="T119" s="43"/>
      <c r="W119" t="str">
        <f t="shared" si="64"/>
        <v>CDMT77-FT-0103 (Fuel Gas)Fiscal</v>
      </c>
      <c r="X1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0" spans="1:24" ht="12.5" x14ac:dyDescent="0.25">
      <c r="A120" s="10"/>
      <c r="B120" s="19" t="s">
        <v>46</v>
      </c>
      <c r="C120" s="5" t="s">
        <v>125</v>
      </c>
      <c r="D120" s="20" t="s">
        <v>72</v>
      </c>
      <c r="E120" s="35"/>
      <c r="F120" s="29" t="str" cm="1">
        <f t="array" ref="F120">IF(V120 &lt;&gt; "", V120, IFERROR(_xlfn.SINGLE(INDEX($G$1:G119,SUMPRODUCT(MAX(($W$1:W119=W120)*(ROW($W$1:W119))))))+IF(D120="Fiscal",30,90),""))</f>
        <v/>
      </c>
      <c r="G120" s="21">
        <v>45667</v>
      </c>
      <c r="H120" s="15">
        <f t="shared" si="71"/>
        <v>45677</v>
      </c>
      <c r="I120" s="15"/>
      <c r="J120" s="32"/>
      <c r="K120" s="15">
        <f t="shared" si="72"/>
        <v>45687</v>
      </c>
      <c r="L120" s="15"/>
      <c r="M120" s="15">
        <f t="shared" si="73"/>
        <v>45692</v>
      </c>
      <c r="N120" s="13">
        <v>45692</v>
      </c>
      <c r="O120" s="2">
        <f>IFERROR(IF(tblColetas[[#This Row],[Status Coleta]]="Reprovado","Reprovado",IF(ISERROR(SEARCH("Poço",D120)),IF(N120="","Erro",IF(Q120="Reprovado","",WORKDAY(N120,IF(D120="Operacional",10,3),FERIADOS!$A$3:$A$119))),"-")),"-")</f>
        <v>45695</v>
      </c>
      <c r="P120" s="21">
        <v>45695</v>
      </c>
      <c r="Q120" s="7" t="s">
        <v>37</v>
      </c>
      <c r="R120" s="13"/>
      <c r="S120" s="30"/>
      <c r="T120" s="43"/>
      <c r="W120" t="str">
        <f t="shared" si="64"/>
        <v>CDMT74-FT-6901 (Export Gas)Fiscal</v>
      </c>
      <c r="X1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1" spans="1:24" ht="12.5" x14ac:dyDescent="0.25">
      <c r="A121" s="10"/>
      <c r="B121" s="8" t="s">
        <v>46</v>
      </c>
      <c r="C121" s="5" t="s">
        <v>69</v>
      </c>
      <c r="D121" s="9" t="s">
        <v>70</v>
      </c>
      <c r="E121" s="36"/>
      <c r="F121" s="29" t="str" cm="1">
        <f t="array" ref="F121">IF(V121 &lt;&gt; "", V121, IFERROR(_xlfn.SINGLE(INDEX($G$1:G120,SUMPRODUCT(MAX(($W$1:W120=W121)*(ROW($W$1:W120))))))+IF(D121="Fiscal",30,90),""))</f>
        <v/>
      </c>
      <c r="G121" s="13">
        <v>45724</v>
      </c>
      <c r="H121" s="15">
        <f t="shared" si="71"/>
        <v>45734</v>
      </c>
      <c r="I121" s="15"/>
      <c r="J121" s="32"/>
      <c r="K121" s="15">
        <f t="shared" si="72"/>
        <v>45744</v>
      </c>
      <c r="L121" s="15"/>
      <c r="M121" s="15">
        <f t="shared" si="73"/>
        <v>45749</v>
      </c>
      <c r="N121" s="13">
        <v>45749</v>
      </c>
      <c r="O121" s="2">
        <f>IFERROR(IF(tblColetas[[#This Row],[Status Coleta]]="Reprovado","Reprovado",IF(ISERROR(SEARCH("Poço",D121)),IF(N121="","Erro",IF(Q121="Reprovado","",WORKDAY(N121,IF(D121="Operacional",10,3),FERIADOS!$A$3:$A$119))),"-")),"-")</f>
        <v>45754</v>
      </c>
      <c r="P121" s="13">
        <v>45751</v>
      </c>
      <c r="Q121" s="7" t="s">
        <v>37</v>
      </c>
      <c r="R121" s="13"/>
      <c r="S121" s="30"/>
      <c r="T121" s="43"/>
      <c r="W121" t="str">
        <f t="shared" si="64"/>
        <v>CDMT73-AP-0001 (Gas Lift)Gas Lift</v>
      </c>
      <c r="X1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2" spans="1:24" ht="12.5" x14ac:dyDescent="0.25">
      <c r="A122" s="10"/>
      <c r="B122" s="19" t="s">
        <v>38</v>
      </c>
      <c r="C122" s="5" t="s">
        <v>50</v>
      </c>
      <c r="D122" s="20" t="s">
        <v>29</v>
      </c>
      <c r="E122" s="35"/>
      <c r="F122" s="29" cm="1">
        <f t="array" ref="F122">IF(V122 &lt;&gt; "", V122, IFERROR(_xlfn.SINGLE(INDEX($G$1:G121,SUMPRODUCT(MAX(($W$1:W121=W122)*(ROW($W$1:W121))))))+IF(D122="Fiscal",30,90),""))</f>
        <v>45757</v>
      </c>
      <c r="G122" s="21">
        <v>45747</v>
      </c>
      <c r="H122" s="15">
        <f t="shared" si="71"/>
        <v>45757</v>
      </c>
      <c r="I122" s="15">
        <v>45746</v>
      </c>
      <c r="J122" s="32" t="s">
        <v>124</v>
      </c>
      <c r="K122" s="15">
        <f t="shared" si="72"/>
        <v>45767</v>
      </c>
      <c r="L122" s="15">
        <v>45759</v>
      </c>
      <c r="M122" s="15">
        <f t="shared" si="73"/>
        <v>45772</v>
      </c>
      <c r="N122" s="13">
        <v>45772</v>
      </c>
      <c r="O122" s="2" t="str">
        <f>IFERROR(IF(tblColetas[[#This Row],[Status Coleta]]="Reprovado","Reprovado",IF(ISERROR(SEARCH("Poço",D122)),IF(N122="","Erro",IF(Q122="Reprovado","",WORKDAY(N122,IF(D122="Operacional",10,3),FERIADOS!$A$3:$A$119))),"-")),"-")</f>
        <v>Reprovado</v>
      </c>
      <c r="P122" s="21"/>
      <c r="Q122" s="7" t="s">
        <v>81</v>
      </c>
      <c r="R122" s="13"/>
      <c r="S122" s="30"/>
      <c r="T122" s="43"/>
      <c r="W122" t="str">
        <f t="shared" si="64"/>
        <v>CDPPoço LL-28 (P-1)Poço PVT</v>
      </c>
      <c r="X1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3" spans="1:24" ht="12.5" x14ac:dyDescent="0.25">
      <c r="A123" s="10"/>
      <c r="B123" s="19" t="s">
        <v>38</v>
      </c>
      <c r="C123" s="5" t="s">
        <v>50</v>
      </c>
      <c r="D123" s="20" t="s">
        <v>26</v>
      </c>
      <c r="E123" s="35"/>
      <c r="F123" s="29" cm="1">
        <f t="array" ref="F123">IF(V123 &lt;&gt; "", V123, IFERROR(_xlfn.SINGLE(INDEX($G$1:G122,SUMPRODUCT(MAX(($W$1:W122=W123)*(ROW($W$1:W122))))))+IF(D123="Fiscal",30,90),""))</f>
        <v>45757</v>
      </c>
      <c r="G123" s="21">
        <v>45747</v>
      </c>
      <c r="H123" s="15">
        <f t="shared" si="71"/>
        <v>45757</v>
      </c>
      <c r="I123" s="15">
        <v>45746</v>
      </c>
      <c r="J123" s="32" t="s">
        <v>124</v>
      </c>
      <c r="K123" s="15">
        <f t="shared" si="72"/>
        <v>45767</v>
      </c>
      <c r="L123" s="15">
        <v>45759</v>
      </c>
      <c r="M123" s="15">
        <f t="shared" si="73"/>
        <v>45772</v>
      </c>
      <c r="N123" s="13">
        <v>45772</v>
      </c>
      <c r="O123" s="2" t="str">
        <f>IFERROR(IF(tblColetas[[#This Row],[Status Coleta]]="Reprovado","Reprovado",IF(ISERROR(SEARCH("Poço",D123)),IF(N123="","Erro",IF(Q123="Reprovado","",WORKDAY(N123,IF(D123="Operacional",10,3),FERIADOS!$A$3:$A$119))),"-")),"-")</f>
        <v>-</v>
      </c>
      <c r="P123" s="21"/>
      <c r="Q123" s="7" t="s">
        <v>37</v>
      </c>
      <c r="R123" s="13"/>
      <c r="S123" s="30"/>
      <c r="T123" s="43"/>
      <c r="W123" t="str">
        <f t="shared" si="64"/>
        <v>CDPPoço LL-28 (P-1)Poço CG</v>
      </c>
      <c r="X1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4" spans="1:24" ht="12.5" x14ac:dyDescent="0.25">
      <c r="A124" s="10"/>
      <c r="B124" s="19" t="s">
        <v>46</v>
      </c>
      <c r="C124" s="5" t="s">
        <v>74</v>
      </c>
      <c r="D124" s="20" t="s">
        <v>72</v>
      </c>
      <c r="E124" s="35"/>
      <c r="F124" s="29" cm="1">
        <f t="array" ref="F124">IF(V124 &lt;&gt; "", V124, IFERROR(_xlfn.SINGLE(INDEX($G$1:G123,SUMPRODUCT(MAX(($W$1:W123=W124)*(ROW($W$1:W123))))))+IF(D124="Fiscal",30,90),""))</f>
        <v>45697</v>
      </c>
      <c r="G124" s="21">
        <v>45695</v>
      </c>
      <c r="H124" s="15">
        <f t="shared" ref="H124:H129" si="74">IF(G124="","Erro", G124+10)</f>
        <v>45705</v>
      </c>
      <c r="I124" s="15"/>
      <c r="J124" s="32"/>
      <c r="K124" s="15">
        <f t="shared" ref="K124:K129" si="75">IF(G124="","Erro",G124+20)</f>
        <v>45715</v>
      </c>
      <c r="L124" s="15"/>
      <c r="M124" s="15">
        <f t="shared" ref="M124:M129" si="76">IF(G124="","Erro",G124+IF(D124="Operacional",45,25))</f>
        <v>45720</v>
      </c>
      <c r="N124" s="13">
        <v>45715</v>
      </c>
      <c r="O124" s="2">
        <f>IFERROR(IF(tblColetas[[#This Row],[Status Coleta]]="Reprovado","Reprovado",IF(ISERROR(SEARCH("Poço",D124)),IF(N124="","Erro",IF(Q124="Reprovado","",WORKDAY(N124,IF(D124="Operacional",10,3),FERIADOS!$A$3:$A$119))),"-")),"-")</f>
        <v>45721</v>
      </c>
      <c r="P124" s="21">
        <v>45716</v>
      </c>
      <c r="Q124" s="7" t="s">
        <v>37</v>
      </c>
      <c r="R124" s="13"/>
      <c r="S124" s="30"/>
      <c r="T124" s="43"/>
      <c r="W124" t="str">
        <f t="shared" si="64"/>
        <v>CDMT76-FT-0014 (HP Flare)Fiscal</v>
      </c>
      <c r="X1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5" spans="1:24" ht="12.5" x14ac:dyDescent="0.25">
      <c r="A125" s="10"/>
      <c r="B125" s="19" t="s">
        <v>46</v>
      </c>
      <c r="C125" s="5" t="s">
        <v>75</v>
      </c>
      <c r="D125" s="20" t="s">
        <v>72</v>
      </c>
      <c r="E125" s="35"/>
      <c r="F125" s="29" cm="1">
        <f t="array" ref="F125">IF(V125 &lt;&gt; "", V125, IFERROR(_xlfn.SINGLE(INDEX($G$1:G124,SUMPRODUCT(MAX(($W$1:W124=W125)*(ROW($W$1:W124))))))+IF(D125="Fiscal",30,90),""))</f>
        <v>45697</v>
      </c>
      <c r="G125" s="21">
        <v>45695</v>
      </c>
      <c r="H125" s="15">
        <f t="shared" si="74"/>
        <v>45705</v>
      </c>
      <c r="I125" s="15"/>
      <c r="J125" s="32"/>
      <c r="K125" s="15">
        <f t="shared" si="75"/>
        <v>45715</v>
      </c>
      <c r="L125" s="15"/>
      <c r="M125" s="15">
        <f t="shared" si="76"/>
        <v>45720</v>
      </c>
      <c r="N125" s="13">
        <v>45715</v>
      </c>
      <c r="O125" s="2">
        <f>IFERROR(IF(tblColetas[[#This Row],[Status Coleta]]="Reprovado","Reprovado",IF(ISERROR(SEARCH("Poço",D125)),IF(N125="","Erro",IF(Q125="Reprovado","",WORKDAY(N125,IF(D125="Operacional",10,3),FERIADOS!$A$3:$A$119))),"-")),"-")</f>
        <v>45721</v>
      </c>
      <c r="P125" s="21">
        <v>45716</v>
      </c>
      <c r="Q125" s="7" t="s">
        <v>37</v>
      </c>
      <c r="R125" s="13"/>
      <c r="S125" s="30"/>
      <c r="T125" s="43"/>
      <c r="W125" t="str">
        <f t="shared" si="64"/>
        <v>CDMT76-FT-0034 (LP Flare)Fiscal</v>
      </c>
      <c r="X1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6" spans="1:24" ht="12.5" x14ac:dyDescent="0.25">
      <c r="A126" s="10"/>
      <c r="B126" s="19" t="s">
        <v>46</v>
      </c>
      <c r="C126" s="5" t="s">
        <v>71</v>
      </c>
      <c r="D126" s="20" t="s">
        <v>72</v>
      </c>
      <c r="E126" s="35"/>
      <c r="F126" s="29" cm="1">
        <f t="array" ref="F126">IF(V126 &lt;&gt; "", V126, IFERROR(_xlfn.SINGLE(INDEX($G$1:G125,SUMPRODUCT(MAX(($W$1:W125=W126)*(ROW($W$1:W125))))))+IF(D126="Fiscal",30,90),""))</f>
        <v>45697</v>
      </c>
      <c r="G126" s="21">
        <v>45695</v>
      </c>
      <c r="H126" s="15">
        <f t="shared" si="74"/>
        <v>45705</v>
      </c>
      <c r="I126" s="15"/>
      <c r="J126" s="32"/>
      <c r="K126" s="15">
        <f t="shared" si="75"/>
        <v>45715</v>
      </c>
      <c r="L126" s="15"/>
      <c r="M126" s="15">
        <f t="shared" si="76"/>
        <v>45720</v>
      </c>
      <c r="N126" s="13">
        <v>45715</v>
      </c>
      <c r="O126" s="2">
        <f>IFERROR(IF(tblColetas[[#This Row],[Status Coleta]]="Reprovado","Reprovado",IF(ISERROR(SEARCH("Poço",D126)),IF(N126="","Erro",IF(Q126="Reprovado","",WORKDAY(N126,IF(D126="Operacional",10,3),FERIADOS!$A$3:$A$119))),"-")),"-")</f>
        <v>45721</v>
      </c>
      <c r="P126" s="21">
        <v>45716</v>
      </c>
      <c r="Q126" s="7" t="s">
        <v>37</v>
      </c>
      <c r="R126" s="13"/>
      <c r="S126" s="30"/>
      <c r="T126" s="43"/>
      <c r="W126" t="str">
        <f t="shared" si="64"/>
        <v>CDMT77-FT-0103 (Fuel Gas)Fiscal</v>
      </c>
      <c r="X1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7" spans="1:24" ht="12.5" x14ac:dyDescent="0.25">
      <c r="A127" s="10"/>
      <c r="B127" s="19" t="s">
        <v>46</v>
      </c>
      <c r="C127" s="5" t="s">
        <v>125</v>
      </c>
      <c r="D127" s="20" t="s">
        <v>72</v>
      </c>
      <c r="E127" s="35"/>
      <c r="F127" s="29" cm="1">
        <f t="array" ref="F127">IF(V127 &lt;&gt; "", V127, IFERROR(_xlfn.SINGLE(INDEX($G$1:G126,SUMPRODUCT(MAX(($W$1:W126=W127)*(ROW($W$1:W126))))))+IF(D127="Fiscal",30,90),""))</f>
        <v>45697</v>
      </c>
      <c r="G127" s="21">
        <v>45695</v>
      </c>
      <c r="H127" s="15">
        <f t="shared" si="74"/>
        <v>45705</v>
      </c>
      <c r="I127" s="15"/>
      <c r="J127" s="32"/>
      <c r="K127" s="15">
        <f t="shared" si="75"/>
        <v>45715</v>
      </c>
      <c r="L127" s="15"/>
      <c r="M127" s="15">
        <f t="shared" si="76"/>
        <v>45720</v>
      </c>
      <c r="N127" s="13">
        <v>45715</v>
      </c>
      <c r="O127" s="2">
        <f>IFERROR(IF(tblColetas[[#This Row],[Status Coleta]]="Reprovado","Reprovado",IF(ISERROR(SEARCH("Poço",D127)),IF(N127="","Erro",IF(Q127="Reprovado","",WORKDAY(N127,IF(D127="Operacional",10,3),FERIADOS!$A$3:$A$119))),"-")),"-")</f>
        <v>45721</v>
      </c>
      <c r="P127" s="21">
        <v>45716</v>
      </c>
      <c r="Q127" s="7" t="s">
        <v>37</v>
      </c>
      <c r="R127" s="13"/>
      <c r="S127" s="30"/>
      <c r="T127" s="43"/>
      <c r="W127" t="str">
        <f t="shared" si="64"/>
        <v>CDMT74-FT-6901 (Export Gas)Fiscal</v>
      </c>
      <c r="X1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8" spans="1:24" ht="12.5" x14ac:dyDescent="0.25">
      <c r="A128" s="10"/>
      <c r="B128" s="19" t="s">
        <v>46</v>
      </c>
      <c r="C128" s="5" t="s">
        <v>47</v>
      </c>
      <c r="D128" s="20" t="s">
        <v>26</v>
      </c>
      <c r="E128" s="35"/>
      <c r="F128" s="29" cm="1">
        <f t="array" ref="F128">IF(V128 &lt;&gt; "", V128, IFERROR(_xlfn.SINGLE(INDEX($G$1:G127,SUMPRODUCT(MAX(($W$1:W127=W128)*(ROW($W$1:W127))))))+IF(D128="Fiscal",30,90),""))</f>
        <v>45757</v>
      </c>
      <c r="G128" s="21">
        <v>45674</v>
      </c>
      <c r="H128" s="15">
        <f t="shared" si="74"/>
        <v>45684</v>
      </c>
      <c r="I128" s="15">
        <v>45678</v>
      </c>
      <c r="J128" s="32" t="s">
        <v>60</v>
      </c>
      <c r="K128" s="15">
        <f t="shared" si="75"/>
        <v>45694</v>
      </c>
      <c r="L128" s="15">
        <v>45692</v>
      </c>
      <c r="M128" s="15">
        <f t="shared" si="76"/>
        <v>45699</v>
      </c>
      <c r="N128" s="13">
        <v>45699</v>
      </c>
      <c r="O128" s="2" t="str">
        <f>IFERROR(IF(tblColetas[[#This Row],[Status Coleta]]="Reprovado","Reprovado",IF(ISERROR(SEARCH("Poço",D128)),IF(N128="","Erro",IF(Q128="Reprovado","",WORKDAY(N128,IF(D128="Operacional",10,3),FERIADOS!$A$3:$A$119))),"-")),"-")</f>
        <v>-</v>
      </c>
      <c r="P128" s="21"/>
      <c r="Q128" s="7" t="s">
        <v>37</v>
      </c>
      <c r="R128" s="13"/>
      <c r="S128" s="30"/>
      <c r="T128" s="43"/>
      <c r="W128" t="str">
        <f t="shared" si="64"/>
        <v>CDMPoço LL-87 (P-14)Poço CG</v>
      </c>
      <c r="X1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29" spans="1:24" ht="12.5" x14ac:dyDescent="0.25">
      <c r="A129" s="10"/>
      <c r="B129" s="19" t="s">
        <v>46</v>
      </c>
      <c r="C129" s="5" t="s">
        <v>47</v>
      </c>
      <c r="D129" s="20" t="s">
        <v>29</v>
      </c>
      <c r="E129" s="35"/>
      <c r="F129" s="29" cm="1">
        <f t="array" ref="F129">IF(V129 &lt;&gt; "", V129, IFERROR(_xlfn.SINGLE(INDEX($G$1:G128,SUMPRODUCT(MAX(($W$1:W128=W129)*(ROW($W$1:W128))))))+IF(D129="Fiscal",30,90),""))</f>
        <v>45757</v>
      </c>
      <c r="G129" s="21">
        <v>45674</v>
      </c>
      <c r="H129" s="15">
        <f t="shared" si="74"/>
        <v>45684</v>
      </c>
      <c r="I129" s="15">
        <v>45678</v>
      </c>
      <c r="J129" s="32" t="s">
        <v>60</v>
      </c>
      <c r="K129" s="15">
        <f t="shared" si="75"/>
        <v>45694</v>
      </c>
      <c r="L129" s="15">
        <v>45692</v>
      </c>
      <c r="M129" s="15">
        <f t="shared" si="76"/>
        <v>45699</v>
      </c>
      <c r="N129" s="13">
        <v>45699</v>
      </c>
      <c r="O129" s="2" t="str">
        <f>IFERROR(IF(tblColetas[[#This Row],[Status Coleta]]="Reprovado","Reprovado",IF(ISERROR(SEARCH("Poço",D129)),IF(N129="","Erro",IF(Q129="Reprovado","",WORKDAY(N129,IF(D129="Operacional",10,3),FERIADOS!$A$3:$A$119))),"-")),"-")</f>
        <v>-</v>
      </c>
      <c r="P129" s="21"/>
      <c r="Q129" s="7" t="s">
        <v>37</v>
      </c>
      <c r="R129" s="13"/>
      <c r="S129" s="30"/>
      <c r="T129" s="43"/>
      <c r="W129" t="str">
        <f t="shared" si="64"/>
        <v>CDMPoço LL-87 (P-14)Poço PVT</v>
      </c>
      <c r="X1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0" spans="1:24" ht="12.5" x14ac:dyDescent="0.25">
      <c r="A130" s="10"/>
      <c r="B130" s="19" t="s">
        <v>34</v>
      </c>
      <c r="C130" s="5" t="s">
        <v>43</v>
      </c>
      <c r="D130" s="20" t="s">
        <v>26</v>
      </c>
      <c r="E130" s="35"/>
      <c r="F130" s="29" cm="1">
        <f t="array" ref="F130">IF(V130 &lt;&gt; "", V130, IFERROR(_xlfn.SINGLE(INDEX($G$1:G129,SUMPRODUCT(MAX(($W$1:W129=W130)*(ROW($W$1:W129))))))+IF(D130="Fiscal",30,90),""))</f>
        <v>45759</v>
      </c>
      <c r="G130" s="21">
        <v>45745</v>
      </c>
      <c r="H130" s="15">
        <f t="shared" ref="H130:H135" si="77">IF(G130="","Erro", G130+10)</f>
        <v>45755</v>
      </c>
      <c r="I130" s="15">
        <v>45755</v>
      </c>
      <c r="J130" s="32" t="s">
        <v>126</v>
      </c>
      <c r="K130" s="15">
        <f t="shared" ref="K130:K135" si="78">IF(G130="","Erro",G130+20)</f>
        <v>45765</v>
      </c>
      <c r="L130" s="15">
        <v>45755</v>
      </c>
      <c r="M130" s="15">
        <f t="shared" ref="M130:M135" si="79">IF(G130="","Erro",G130+IF(D130="Operacional",45,25))</f>
        <v>45770</v>
      </c>
      <c r="N130" s="13">
        <v>45769</v>
      </c>
      <c r="O130" s="2" t="str">
        <f>IFERROR(IF(tblColetas[[#This Row],[Status Coleta]]="Reprovado","Reprovado",IF(ISERROR(SEARCH("Poço",D130)),IF(N130="","Erro",IF(Q130="Reprovado","",WORKDAY(N130,IF(D130="Operacional",10,3),FERIADOS!$A$3:$A$119))),"-")),"-")</f>
        <v>-</v>
      </c>
      <c r="P130" s="21"/>
      <c r="Q130" s="7" t="s">
        <v>37</v>
      </c>
      <c r="R130" s="13"/>
      <c r="S130" s="30"/>
      <c r="T130" s="43"/>
      <c r="W130" t="str">
        <f t="shared" si="64"/>
        <v>CDSPoço LL-59 (P-10)Poço CG</v>
      </c>
      <c r="X1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1" spans="1:24" ht="12.5" x14ac:dyDescent="0.25">
      <c r="A131" s="10"/>
      <c r="B131" s="19" t="s">
        <v>34</v>
      </c>
      <c r="C131" s="5" t="s">
        <v>43</v>
      </c>
      <c r="D131" s="20" t="s">
        <v>29</v>
      </c>
      <c r="E131" s="35"/>
      <c r="F131" s="29" cm="1">
        <f t="array" ref="F131">IF(V131 &lt;&gt; "", V131, IFERROR(_xlfn.SINGLE(INDEX($G$1:G130,SUMPRODUCT(MAX(($W$1:W130=W131)*(ROW($W$1:W130))))))+IF(D131="Fiscal",30,90),""))</f>
        <v>45759</v>
      </c>
      <c r="G131" s="21">
        <v>45745</v>
      </c>
      <c r="H131" s="15">
        <f t="shared" si="77"/>
        <v>45755</v>
      </c>
      <c r="I131" s="15">
        <v>45755</v>
      </c>
      <c r="J131" s="32" t="s">
        <v>126</v>
      </c>
      <c r="K131" s="15">
        <f t="shared" si="78"/>
        <v>45765</v>
      </c>
      <c r="L131" s="15">
        <v>45755</v>
      </c>
      <c r="M131" s="15">
        <f t="shared" si="79"/>
        <v>45770</v>
      </c>
      <c r="N131" s="13">
        <v>45769</v>
      </c>
      <c r="O131" s="2" t="str">
        <f>IFERROR(IF(tblColetas[[#This Row],[Status Coleta]]="Reprovado","Reprovado",IF(ISERROR(SEARCH("Poço",D131)),IF(N131="","Erro",IF(Q131="Reprovado","",WORKDAY(N131,IF(D131="Operacional",10,3),FERIADOS!$A$3:$A$119))),"-")),"-")</f>
        <v>-</v>
      </c>
      <c r="P131" s="21"/>
      <c r="Q131" s="7" t="s">
        <v>37</v>
      </c>
      <c r="R131" s="13"/>
      <c r="S131" s="30"/>
      <c r="T131" s="43"/>
      <c r="W131" t="str">
        <f t="shared" si="64"/>
        <v>CDSPoço LL-59 (P-10)Poço PVT</v>
      </c>
      <c r="X1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2" spans="1:24" ht="12.5" x14ac:dyDescent="0.25">
      <c r="A132" s="10"/>
      <c r="B132" s="19" t="s">
        <v>34</v>
      </c>
      <c r="C132" s="5" t="s">
        <v>91</v>
      </c>
      <c r="D132" s="20" t="s">
        <v>26</v>
      </c>
      <c r="E132" s="35"/>
      <c r="F132" s="29" cm="1">
        <f t="array" ref="F132">IF(V132 &lt;&gt; "", V132, IFERROR(_xlfn.SINGLE(INDEX($G$1:G131,SUMPRODUCT(MAX(($W$1:W131=W132)*(ROW($W$1:W131))))))+IF(D132="Fiscal",30,90),""))</f>
        <v>45763</v>
      </c>
      <c r="G132" s="21">
        <v>45755</v>
      </c>
      <c r="H132" s="15">
        <f t="shared" si="77"/>
        <v>45765</v>
      </c>
      <c r="I132" s="15">
        <v>45755</v>
      </c>
      <c r="J132" s="32" t="s">
        <v>126</v>
      </c>
      <c r="K132" s="15">
        <f t="shared" si="78"/>
        <v>45775</v>
      </c>
      <c r="L132" s="15">
        <v>45762</v>
      </c>
      <c r="M132" s="15">
        <f t="shared" si="79"/>
        <v>45780</v>
      </c>
      <c r="N132" s="13">
        <v>45779</v>
      </c>
      <c r="O132" s="2" t="str">
        <f>IFERROR(IF(tblColetas[[#This Row],[Status Coleta]]="Reprovado","Reprovado",IF(ISERROR(SEARCH("Poço",D132)),IF(N132="","Erro",IF(Q132="Reprovado","",WORKDAY(N132,IF(D132="Operacional",10,3),FERIADOS!$A$3:$A$119))),"-")),"-")</f>
        <v>-</v>
      </c>
      <c r="P132" s="21"/>
      <c r="Q132" s="7" t="s">
        <v>37</v>
      </c>
      <c r="R132" s="13"/>
      <c r="S132" s="30"/>
      <c r="T132" s="43"/>
      <c r="W132" t="str">
        <f t="shared" si="64"/>
        <v>CDSPoço LL-80 (P-08)Poço CG</v>
      </c>
      <c r="X1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3" spans="1:24" ht="12.5" x14ac:dyDescent="0.25">
      <c r="A133" s="10"/>
      <c r="B133" s="19" t="s">
        <v>34</v>
      </c>
      <c r="C133" s="5" t="s">
        <v>91</v>
      </c>
      <c r="D133" s="20" t="s">
        <v>29</v>
      </c>
      <c r="E133" s="35"/>
      <c r="F133" s="29" cm="1">
        <f t="array" ref="F133">IF(V133 &lt;&gt; "", V133, IFERROR(_xlfn.SINGLE(INDEX($G$1:G132,SUMPRODUCT(MAX(($W$1:W132=W133)*(ROW($W$1:W132))))))+IF(D133="Fiscal",30,90),""))</f>
        <v>45763</v>
      </c>
      <c r="G133" s="21">
        <v>45755</v>
      </c>
      <c r="H133" s="15">
        <f t="shared" si="77"/>
        <v>45765</v>
      </c>
      <c r="I133" s="15">
        <v>45755</v>
      </c>
      <c r="J133" s="32" t="s">
        <v>126</v>
      </c>
      <c r="K133" s="15">
        <f t="shared" si="78"/>
        <v>45775</v>
      </c>
      <c r="L133" s="15">
        <v>45762</v>
      </c>
      <c r="M133" s="15">
        <f t="shared" si="79"/>
        <v>45780</v>
      </c>
      <c r="N133" s="13">
        <v>45779</v>
      </c>
      <c r="O133" s="2" t="str">
        <f>IFERROR(IF(tblColetas[[#This Row],[Status Coleta]]="Reprovado","Reprovado",IF(ISERROR(SEARCH("Poço",D133)),IF(N133="","Erro",IF(Q133="Reprovado","",WORKDAY(N133,IF(D133="Operacional",10,3),FERIADOS!$A$3:$A$119))),"-")),"-")</f>
        <v>Reprovado</v>
      </c>
      <c r="P133" s="21"/>
      <c r="Q133" s="7" t="s">
        <v>81</v>
      </c>
      <c r="R133" s="13"/>
      <c r="S133" s="30" t="s">
        <v>127</v>
      </c>
      <c r="T133" s="43"/>
      <c r="W133" t="str">
        <f t="shared" si="64"/>
        <v>CDSPoço LL-80 (P-08)Poço PVT</v>
      </c>
      <c r="X1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4" spans="1:24" ht="12.5" x14ac:dyDescent="0.25">
      <c r="A134" s="10"/>
      <c r="B134" s="19" t="s">
        <v>46</v>
      </c>
      <c r="C134" s="5" t="s">
        <v>47</v>
      </c>
      <c r="D134" s="20" t="s">
        <v>26</v>
      </c>
      <c r="E134" s="35"/>
      <c r="F134" s="29" cm="1">
        <f t="array" ref="F134">IF(V134 &lt;&gt; "", V134, IFERROR(_xlfn.SINGLE(INDEX($G$1:G133,SUMPRODUCT(MAX(($W$1:W133=W134)*(ROW($W$1:W133))))))+IF(D134="Fiscal",30,90),""))</f>
        <v>45764</v>
      </c>
      <c r="G134" s="21">
        <v>45744</v>
      </c>
      <c r="H134" s="15">
        <f t="shared" si="77"/>
        <v>45754</v>
      </c>
      <c r="I134" s="15">
        <v>45749</v>
      </c>
      <c r="J134" s="32" t="s">
        <v>128</v>
      </c>
      <c r="K134" s="15">
        <f t="shared" si="78"/>
        <v>45764</v>
      </c>
      <c r="L134" s="15">
        <v>45755</v>
      </c>
      <c r="M134" s="15">
        <f t="shared" si="79"/>
        <v>45769</v>
      </c>
      <c r="N134" s="13">
        <v>45769</v>
      </c>
      <c r="O134" s="2" t="str">
        <f>IFERROR(IF(tblColetas[[#This Row],[Status Coleta]]="Reprovado","Reprovado",IF(ISERROR(SEARCH("Poço",D134)),IF(N134="","Erro",IF(Q134="Reprovado","",WORKDAY(N134,IF(D134="Operacional",10,3),FERIADOS!$A$3:$A$119))),"-")),"-")</f>
        <v>-</v>
      </c>
      <c r="P134" s="21"/>
      <c r="Q134" s="7" t="s">
        <v>37</v>
      </c>
      <c r="R134" s="13"/>
      <c r="S134" s="30"/>
      <c r="T134" s="43"/>
      <c r="W134" t="str">
        <f t="shared" si="64"/>
        <v>CDMPoço LL-87 (P-14)Poço CG</v>
      </c>
      <c r="X1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5" spans="1:24" ht="12.5" x14ac:dyDescent="0.25">
      <c r="A135" s="10"/>
      <c r="B135" s="19" t="s">
        <v>46</v>
      </c>
      <c r="C135" s="5" t="s">
        <v>47</v>
      </c>
      <c r="D135" s="20" t="s">
        <v>29</v>
      </c>
      <c r="E135" s="35"/>
      <c r="F135" s="29" cm="1">
        <f t="array" ref="F135">IF(V135 &lt;&gt; "", V135, IFERROR(_xlfn.SINGLE(INDEX($G$1:G134,SUMPRODUCT(MAX(($W$1:W134=W135)*(ROW($W$1:W134))))))+IF(D135="Fiscal",30,90),""))</f>
        <v>45764</v>
      </c>
      <c r="G135" s="21">
        <v>45744</v>
      </c>
      <c r="H135" s="15">
        <f t="shared" si="77"/>
        <v>45754</v>
      </c>
      <c r="I135" s="15">
        <v>45749</v>
      </c>
      <c r="J135" s="32" t="s">
        <v>128</v>
      </c>
      <c r="K135" s="15">
        <f t="shared" si="78"/>
        <v>45764</v>
      </c>
      <c r="L135" s="15">
        <v>45755</v>
      </c>
      <c r="M135" s="15">
        <f t="shared" si="79"/>
        <v>45769</v>
      </c>
      <c r="N135" s="13">
        <v>45769</v>
      </c>
      <c r="O135" s="2" t="str">
        <f>IFERROR(IF(tblColetas[[#This Row],[Status Coleta]]="Reprovado","Reprovado",IF(ISERROR(SEARCH("Poço",D135)),IF(N135="","Erro",IF(Q135="Reprovado","",WORKDAY(N135,IF(D135="Operacional",10,3),FERIADOS!$A$3:$A$119))),"-")),"-")</f>
        <v>-</v>
      </c>
      <c r="P135" s="21"/>
      <c r="Q135" s="7" t="s">
        <v>37</v>
      </c>
      <c r="R135" s="13"/>
      <c r="S135" s="30"/>
      <c r="T135" s="43"/>
      <c r="W135" t="str">
        <f t="shared" si="64"/>
        <v>CDMPoço LL-87 (P-14)Poço PVT</v>
      </c>
      <c r="X1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6" spans="1:24" ht="12.5" x14ac:dyDescent="0.25">
      <c r="A136" s="10"/>
      <c r="B136" s="19" t="s">
        <v>38</v>
      </c>
      <c r="C136" s="5" t="s">
        <v>74</v>
      </c>
      <c r="D136" s="20" t="s">
        <v>72</v>
      </c>
      <c r="E136" s="35"/>
      <c r="F136" s="29" cm="1">
        <f t="array" ref="F136">IF(V136 &lt;&gt; "", V136, IFERROR(_xlfn.SINGLE(INDEX($G$1:G135,SUMPRODUCT(MAX(($W$1:W135=W136)*(ROW($W$1:W135))))))+IF(D136="Fiscal",30,90),""))</f>
        <v>45701</v>
      </c>
      <c r="G136" s="21">
        <v>45696</v>
      </c>
      <c r="H136" s="15">
        <f t="shared" ref="H136:H143" si="80">IF(G136="","Erro", G136+10)</f>
        <v>45706</v>
      </c>
      <c r="I136" s="15"/>
      <c r="J136" s="32"/>
      <c r="K136" s="15">
        <f t="shared" ref="K136:K143" si="81">IF(G136="","Erro",G136+20)</f>
        <v>45716</v>
      </c>
      <c r="L136" s="15"/>
      <c r="M136" s="15">
        <f t="shared" ref="M136:M143" si="82">IF(G136="","Erro",G136+IF(D136="Operacional",45,25))</f>
        <v>45721</v>
      </c>
      <c r="N136" s="13">
        <v>45721</v>
      </c>
      <c r="O136" s="2">
        <f>IFERROR(IF(tblColetas[[#This Row],[Status Coleta]]="Reprovado","Reprovado",IF(ISERROR(SEARCH("Poço",D136)),IF(N136="","Erro",IF(Q136="Reprovado","",WORKDAY(N136,IF(D136="Operacional",10,3),FERIADOS!$A$3:$A$119))),"-")),"-")</f>
        <v>45726</v>
      </c>
      <c r="P136" s="21">
        <v>45723</v>
      </c>
      <c r="Q136" s="7" t="s">
        <v>37</v>
      </c>
      <c r="R136" s="13"/>
      <c r="S136" s="30"/>
      <c r="T136" s="43"/>
      <c r="W136" t="str">
        <f t="shared" si="64"/>
        <v>CDPT76-FT-0014 (HP Flare)Fiscal</v>
      </c>
      <c r="X1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7" spans="1:24" ht="12.5" x14ac:dyDescent="0.25">
      <c r="A137" s="10"/>
      <c r="B137" s="19" t="s">
        <v>38</v>
      </c>
      <c r="C137" s="5" t="s">
        <v>75</v>
      </c>
      <c r="D137" s="20" t="s">
        <v>72</v>
      </c>
      <c r="E137" s="35"/>
      <c r="F137" s="29" cm="1">
        <f t="array" ref="F137">IF(V137 &lt;&gt; "", V137, IFERROR(_xlfn.SINGLE(INDEX($G$1:G136,SUMPRODUCT(MAX(($W$1:W136=W137)*(ROW($W$1:W136))))))+IF(D137="Fiscal",30,90),""))</f>
        <v>45701</v>
      </c>
      <c r="G137" s="21">
        <v>45696</v>
      </c>
      <c r="H137" s="15">
        <f t="shared" si="80"/>
        <v>45706</v>
      </c>
      <c r="I137" s="15"/>
      <c r="J137" s="32"/>
      <c r="K137" s="15">
        <f t="shared" si="81"/>
        <v>45716</v>
      </c>
      <c r="L137" s="15"/>
      <c r="M137" s="15">
        <f t="shared" si="82"/>
        <v>45721</v>
      </c>
      <c r="N137" s="13">
        <v>45721</v>
      </c>
      <c r="O137" s="2">
        <f>IFERROR(IF(tblColetas[[#This Row],[Status Coleta]]="Reprovado","Reprovado",IF(ISERROR(SEARCH("Poço",D137)),IF(N137="","Erro",IF(Q137="Reprovado","",WORKDAY(N137,IF(D137="Operacional",10,3),FERIADOS!$A$3:$A$119))),"-")),"-")</f>
        <v>45726</v>
      </c>
      <c r="P137" s="21">
        <v>45723</v>
      </c>
      <c r="Q137" s="7" t="s">
        <v>37</v>
      </c>
      <c r="R137" s="13"/>
      <c r="S137" s="30"/>
      <c r="T137" s="43"/>
      <c r="W137" t="str">
        <f t="shared" si="64"/>
        <v>CDPT76-FT-0034 (LP Flare)Fiscal</v>
      </c>
      <c r="X1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8" spans="1:24" ht="12.5" x14ac:dyDescent="0.25">
      <c r="A138" s="10"/>
      <c r="B138" s="19" t="s">
        <v>38</v>
      </c>
      <c r="C138" s="5" t="s">
        <v>71</v>
      </c>
      <c r="D138" s="20" t="s">
        <v>72</v>
      </c>
      <c r="E138" s="35"/>
      <c r="F138" s="29" cm="1">
        <f t="array" ref="F138">IF(V138 &lt;&gt; "", V138, IFERROR(_xlfn.SINGLE(INDEX($G$1:G137,SUMPRODUCT(MAX(($W$1:W137=W138)*(ROW($W$1:W137))))))+IF(D138="Fiscal",30,90),""))</f>
        <v>45701</v>
      </c>
      <c r="G138" s="21">
        <v>45696</v>
      </c>
      <c r="H138" s="15">
        <f t="shared" si="80"/>
        <v>45706</v>
      </c>
      <c r="I138" s="15"/>
      <c r="J138" s="32"/>
      <c r="K138" s="15">
        <f t="shared" si="81"/>
        <v>45716</v>
      </c>
      <c r="L138" s="15"/>
      <c r="M138" s="15">
        <f t="shared" si="82"/>
        <v>45721</v>
      </c>
      <c r="N138" s="13">
        <v>45721</v>
      </c>
      <c r="O138" s="2">
        <f>IFERROR(IF(tblColetas[[#This Row],[Status Coleta]]="Reprovado","Reprovado",IF(ISERROR(SEARCH("Poço",D138)),IF(N138="","Erro",IF(Q138="Reprovado","",WORKDAY(N138,IF(D138="Operacional",10,3),FERIADOS!$A$3:$A$119))),"-")),"-")</f>
        <v>45726</v>
      </c>
      <c r="P138" s="21">
        <v>45723</v>
      </c>
      <c r="Q138" s="7" t="s">
        <v>37</v>
      </c>
      <c r="R138" s="13"/>
      <c r="S138" s="30"/>
      <c r="T138" s="43"/>
      <c r="W138" t="str">
        <f t="shared" si="64"/>
        <v>CDPT77-FT-0103 (Fuel Gas)Fiscal</v>
      </c>
      <c r="X1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39" spans="1:24" ht="12.5" x14ac:dyDescent="0.25">
      <c r="A139" s="10"/>
      <c r="B139" s="19" t="s">
        <v>38</v>
      </c>
      <c r="C139" s="5" t="s">
        <v>98</v>
      </c>
      <c r="D139" s="20" t="s">
        <v>72</v>
      </c>
      <c r="E139" s="35"/>
      <c r="F139" s="29" cm="1">
        <f t="array" ref="F139">IF(V139 &lt;&gt; "", V139, IFERROR(_xlfn.SINGLE(INDEX($G$1:G138,SUMPRODUCT(MAX(($W$1:W138=W139)*(ROW($W$1:W138))))))+IF(D139="Fiscal",30,90),""))</f>
        <v>45701</v>
      </c>
      <c r="G139" s="21">
        <v>45696</v>
      </c>
      <c r="H139" s="15">
        <f t="shared" si="80"/>
        <v>45706</v>
      </c>
      <c r="I139" s="15"/>
      <c r="J139" s="32"/>
      <c r="K139" s="15">
        <f t="shared" si="81"/>
        <v>45716</v>
      </c>
      <c r="L139" s="15"/>
      <c r="M139" s="15">
        <f t="shared" si="82"/>
        <v>45721</v>
      </c>
      <c r="N139" s="13">
        <v>45721</v>
      </c>
      <c r="O139" s="2">
        <f>IFERROR(IF(tblColetas[[#This Row],[Status Coleta]]="Reprovado","Reprovado",IF(ISERROR(SEARCH("Poço",D139)),IF(N139="","Erro",IF(Q139="Reprovado","",WORKDAY(N139,IF(D139="Operacional",10,3),FERIADOS!$A$3:$A$119))),"-")),"-")</f>
        <v>45726</v>
      </c>
      <c r="P139" s="21">
        <v>45723</v>
      </c>
      <c r="Q139" s="7" t="s">
        <v>37</v>
      </c>
      <c r="R139" s="13"/>
      <c r="S139" s="30"/>
      <c r="T139" s="43"/>
      <c r="W139" t="str">
        <f t="shared" si="64"/>
        <v>CDPT74-FT-6701 (Export Gas)Fiscal</v>
      </c>
      <c r="X1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0" spans="1:24" ht="12.5" x14ac:dyDescent="0.25">
      <c r="A140" s="10"/>
      <c r="B140" s="19" t="s">
        <v>52</v>
      </c>
      <c r="C140" s="5" t="s">
        <v>112</v>
      </c>
      <c r="D140" s="20" t="s">
        <v>72</v>
      </c>
      <c r="E140" s="35"/>
      <c r="F140" s="29" cm="1">
        <f t="array" ref="F140">IF(V140 &lt;&gt; "", V140, IFERROR(_xlfn.SINGLE(INDEX($G$1:G139,SUMPRODUCT(MAX(($W$1:W139=W140)*(ROW($W$1:W139))))))+IF(D140="Fiscal",30,90),""))</f>
        <v>45694</v>
      </c>
      <c r="G140" s="21">
        <v>45692</v>
      </c>
      <c r="H140" s="15">
        <f t="shared" si="80"/>
        <v>45702</v>
      </c>
      <c r="I140" s="15"/>
      <c r="J140" s="32"/>
      <c r="K140" s="15">
        <f t="shared" si="81"/>
        <v>45712</v>
      </c>
      <c r="L140" s="15"/>
      <c r="M140" s="15">
        <f t="shared" si="82"/>
        <v>45717</v>
      </c>
      <c r="N140" s="13">
        <v>45715</v>
      </c>
      <c r="O140" s="2">
        <f>IFERROR(IF(tblColetas[[#This Row],[Status Coleta]]="Reprovado","Reprovado",IF(ISERROR(SEARCH("Poço",D140)),IF(N140="","Erro",IF(Q140="Reprovado","",WORKDAY(N140,IF(D140="Operacional",10,3),FERIADOS!$A$3:$A$119))),"-")),"-")</f>
        <v>45721</v>
      </c>
      <c r="P140" s="21">
        <v>45716</v>
      </c>
      <c r="Q140" s="7" t="s">
        <v>37</v>
      </c>
      <c r="R140" s="13"/>
      <c r="S140" s="30"/>
      <c r="T140" s="43"/>
      <c r="W140" t="str">
        <f t="shared" si="64"/>
        <v>SEP776-AP-0006 (HP Flare)Fiscal</v>
      </c>
      <c r="X1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1" spans="1:24" ht="12.5" x14ac:dyDescent="0.25">
      <c r="A141" s="10"/>
      <c r="B141" s="19" t="s">
        <v>52</v>
      </c>
      <c r="C141" s="5" t="s">
        <v>113</v>
      </c>
      <c r="D141" s="20" t="s">
        <v>72</v>
      </c>
      <c r="E141" s="35"/>
      <c r="F141" s="29" cm="1">
        <f t="array" ref="F141">IF(V141 &lt;&gt; "", V141, IFERROR(_xlfn.SINGLE(INDEX($G$1:G140,SUMPRODUCT(MAX(($W$1:W140=W141)*(ROW($W$1:W140))))))+IF(D141="Fiscal",30,90),""))</f>
        <v>45694</v>
      </c>
      <c r="G141" s="21">
        <v>45692</v>
      </c>
      <c r="H141" s="15">
        <f t="shared" si="80"/>
        <v>45702</v>
      </c>
      <c r="I141" s="15"/>
      <c r="J141" s="32"/>
      <c r="K141" s="15">
        <f t="shared" si="81"/>
        <v>45712</v>
      </c>
      <c r="L141" s="15"/>
      <c r="M141" s="15">
        <f t="shared" si="82"/>
        <v>45717</v>
      </c>
      <c r="N141" s="13">
        <v>45715</v>
      </c>
      <c r="O141" s="2" t="str">
        <f>IFERROR(IF(tblColetas[[#This Row],[Status Coleta]]="Reprovado","Reprovado",IF(ISERROR(SEARCH("Poço",D141)),IF(N141="","Erro",IF(Q141="Reprovado","",WORKDAY(N141,IF(D141="Operacional",10,3),FERIADOS!$A$3:$A$119))),"-")),"-")</f>
        <v>Reprovado</v>
      </c>
      <c r="P141" s="21"/>
      <c r="Q141" s="7" t="s">
        <v>81</v>
      </c>
      <c r="R141" s="13"/>
      <c r="S141" s="30"/>
      <c r="T141" s="43"/>
      <c r="W141" t="str">
        <f t="shared" si="64"/>
        <v>SEP776-AP-0030 (LP Flare)Fiscal</v>
      </c>
      <c r="X1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2" spans="1:24" ht="12.5" x14ac:dyDescent="0.25">
      <c r="A142" s="10"/>
      <c r="B142" s="19" t="s">
        <v>52</v>
      </c>
      <c r="C142" s="5" t="s">
        <v>114</v>
      </c>
      <c r="D142" s="20" t="s">
        <v>72</v>
      </c>
      <c r="E142" s="35"/>
      <c r="F142" s="29" cm="1">
        <f t="array" ref="F142">IF(V142 &lt;&gt; "", V142, IFERROR(_xlfn.SINGLE(INDEX($G$1:G141,SUMPRODUCT(MAX(($W$1:W141=W142)*(ROW($W$1:W141))))))+IF(D142="Fiscal",30,90),""))</f>
        <v>45694</v>
      </c>
      <c r="G142" s="21">
        <v>45692</v>
      </c>
      <c r="H142" s="15">
        <f t="shared" si="80"/>
        <v>45702</v>
      </c>
      <c r="I142" s="15"/>
      <c r="J142" s="32"/>
      <c r="K142" s="15">
        <f t="shared" si="81"/>
        <v>45712</v>
      </c>
      <c r="L142" s="15"/>
      <c r="M142" s="15">
        <f t="shared" si="82"/>
        <v>45717</v>
      </c>
      <c r="N142" s="13">
        <v>45715</v>
      </c>
      <c r="O142" s="2">
        <f>IFERROR(IF(tblColetas[[#This Row],[Status Coleta]]="Reprovado","Reprovado",IF(ISERROR(SEARCH("Poço",D142)),IF(N142="","Erro",IF(Q142="Reprovado","",WORKDAY(N142,IF(D142="Operacional",10,3),FERIADOS!$A$3:$A$119))),"-")),"-")</f>
        <v>45721</v>
      </c>
      <c r="P142" s="21">
        <v>45716</v>
      </c>
      <c r="Q142" s="7" t="s">
        <v>37</v>
      </c>
      <c r="R142" s="13"/>
      <c r="S142" s="30"/>
      <c r="T142" s="43"/>
      <c r="W142" t="str">
        <f t="shared" si="64"/>
        <v>SEP777-AP-1104 (Fuel Gas)Fiscal</v>
      </c>
      <c r="X1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3" spans="1:24" ht="12.5" x14ac:dyDescent="0.25">
      <c r="A143" s="10"/>
      <c r="B143" s="19" t="s">
        <v>52</v>
      </c>
      <c r="C143" s="5" t="s">
        <v>115</v>
      </c>
      <c r="D143" s="20" t="s">
        <v>72</v>
      </c>
      <c r="E143" s="35"/>
      <c r="F143" s="29" cm="1">
        <f t="array" ref="F143">IF(V143 &lt;&gt; "", V143, IFERROR(_xlfn.SINGLE(INDEX($G$1:G142,SUMPRODUCT(MAX(($W$1:W142=W143)*(ROW($W$1:W142))))))+IF(D143="Fiscal",30,90),""))</f>
        <v>45694</v>
      </c>
      <c r="G143" s="21">
        <v>45692</v>
      </c>
      <c r="H143" s="15">
        <f t="shared" si="80"/>
        <v>45702</v>
      </c>
      <c r="I143" s="15"/>
      <c r="J143" s="32"/>
      <c r="K143" s="15">
        <f t="shared" si="81"/>
        <v>45712</v>
      </c>
      <c r="L143" s="15"/>
      <c r="M143" s="15">
        <f t="shared" si="82"/>
        <v>45717</v>
      </c>
      <c r="N143" s="13">
        <v>45715</v>
      </c>
      <c r="O143" s="2">
        <f>IFERROR(IF(tblColetas[[#This Row],[Status Coleta]]="Reprovado","Reprovado",IF(ISERROR(SEARCH("Poço",D143)),IF(N143="","Erro",IF(Q143="Reprovado","",WORKDAY(N143,IF(D143="Operacional",10,3),FERIADOS!$A$3:$A$119))),"-")),"-")</f>
        <v>45721</v>
      </c>
      <c r="P143" s="21">
        <v>45716</v>
      </c>
      <c r="Q143" s="7" t="s">
        <v>37</v>
      </c>
      <c r="R143" s="13"/>
      <c r="S143" s="30"/>
      <c r="T143" s="43"/>
      <c r="W143" t="str">
        <f t="shared" si="64"/>
        <v>SEP771-AP-0221 (Flare Assist)Fiscal</v>
      </c>
      <c r="X1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4" spans="1:24" ht="12.5" x14ac:dyDescent="0.25">
      <c r="A144" s="10"/>
      <c r="B144" s="19" t="s">
        <v>46</v>
      </c>
      <c r="C144" s="5" t="s">
        <v>48</v>
      </c>
      <c r="D144" s="20" t="s">
        <v>26</v>
      </c>
      <c r="E144" s="35"/>
      <c r="F144" s="29" cm="1">
        <f t="array" ref="F144">IF(V144 &lt;&gt; "", V144, IFERROR(_xlfn.SINGLE(INDEX($G$1:G143,SUMPRODUCT(MAX(($W$1:W143=W144)*(ROW($W$1:W143))))))+IF(D144="Fiscal",30,90),""))</f>
        <v>45753</v>
      </c>
      <c r="G144" s="21">
        <v>45735</v>
      </c>
      <c r="H144" s="15">
        <f t="shared" ref="H144:H149" si="83">IF(G144="","Erro", G144+10)</f>
        <v>45745</v>
      </c>
      <c r="I144" s="15">
        <v>45743</v>
      </c>
      <c r="J144" s="32" t="s">
        <v>129</v>
      </c>
      <c r="K144" s="15">
        <f t="shared" ref="K144:K149" si="84">IF(G144="","Erro",G144+20)</f>
        <v>45755</v>
      </c>
      <c r="L144" s="15">
        <v>45749</v>
      </c>
      <c r="M144" s="15">
        <f t="shared" ref="M144:M149" si="85">IF(G144="","Erro",G144+IF(D144="Operacional",45,25))</f>
        <v>45760</v>
      </c>
      <c r="N144" s="13">
        <v>45758</v>
      </c>
      <c r="O144" s="2" t="str">
        <f>IFERROR(IF(tblColetas[[#This Row],[Status Coleta]]="Reprovado","Reprovado",IF(ISERROR(SEARCH("Poço",D144)),IF(N144="","Erro",IF(Q144="Reprovado","",WORKDAY(N144,IF(D144="Operacional",10,3),FERIADOS!$A$3:$A$119))),"-")),"-")</f>
        <v>-</v>
      </c>
      <c r="P144" s="21"/>
      <c r="Q144" s="7" t="s">
        <v>37</v>
      </c>
      <c r="R144" s="13"/>
      <c r="S144" s="30"/>
      <c r="T144" s="43"/>
      <c r="W144" t="str">
        <f t="shared" si="64"/>
        <v>CDMPoço LL-66 (P-09)Poço CG</v>
      </c>
      <c r="X1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5" spans="1:24" ht="12.5" x14ac:dyDescent="0.25">
      <c r="A145" s="10"/>
      <c r="B145" s="19" t="s">
        <v>46</v>
      </c>
      <c r="C145" s="5" t="s">
        <v>48</v>
      </c>
      <c r="D145" s="20" t="s">
        <v>29</v>
      </c>
      <c r="E145" s="35"/>
      <c r="F145" s="29" cm="1">
        <f t="array" ref="F145">IF(V145 &lt;&gt; "", V145, IFERROR(_xlfn.SINGLE(INDEX($G$1:G144,SUMPRODUCT(MAX(($W$1:W144=W145)*(ROW($W$1:W144))))))+IF(D145="Fiscal",30,90),""))</f>
        <v>45753</v>
      </c>
      <c r="G145" s="21">
        <v>45735</v>
      </c>
      <c r="H145" s="15">
        <f t="shared" si="83"/>
        <v>45745</v>
      </c>
      <c r="I145" s="15">
        <v>45743</v>
      </c>
      <c r="J145" s="32" t="s">
        <v>129</v>
      </c>
      <c r="K145" s="15">
        <f t="shared" si="84"/>
        <v>45755</v>
      </c>
      <c r="L145" s="15">
        <v>45749</v>
      </c>
      <c r="M145" s="15">
        <f t="shared" si="85"/>
        <v>45760</v>
      </c>
      <c r="N145" s="13">
        <v>45758</v>
      </c>
      <c r="O145" s="2" t="str">
        <f>IFERROR(IF(tblColetas[[#This Row],[Status Coleta]]="Reprovado","Reprovado",IF(ISERROR(SEARCH("Poço",D145)),IF(N145="","Erro",IF(Q145="Reprovado","",WORKDAY(N145,IF(D145="Operacional",10,3),FERIADOS!$A$3:$A$119))),"-")),"-")</f>
        <v>-</v>
      </c>
      <c r="P145" s="21"/>
      <c r="Q145" s="7" t="s">
        <v>37</v>
      </c>
      <c r="R145" s="13"/>
      <c r="S145" s="30"/>
      <c r="T145" s="43"/>
      <c r="W145" t="str">
        <f t="shared" si="64"/>
        <v>CDMPoço LL-66 (P-09)Poço PVT</v>
      </c>
      <c r="X1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6" spans="1:24" ht="12.5" x14ac:dyDescent="0.25">
      <c r="A146" s="10"/>
      <c r="B146" s="19" t="s">
        <v>31</v>
      </c>
      <c r="C146" s="5" t="s">
        <v>122</v>
      </c>
      <c r="D146" s="20" t="s">
        <v>72</v>
      </c>
      <c r="E146" s="35"/>
      <c r="F146" s="29" cm="1">
        <f t="array" ref="F146">IF(V146 &lt;&gt; "", V146, IFERROR(_xlfn.SINGLE(INDEX($G$1:G145,SUMPRODUCT(MAX(($W$1:W145=W146)*(ROW($W$1:W145))))))+IF(D146="Fiscal",30,90),""))</f>
        <v>45711</v>
      </c>
      <c r="G146" s="21">
        <v>45708</v>
      </c>
      <c r="H146" s="15">
        <f t="shared" si="83"/>
        <v>45718</v>
      </c>
      <c r="I146" s="15"/>
      <c r="J146" s="32"/>
      <c r="K146" s="15">
        <f t="shared" si="84"/>
        <v>45728</v>
      </c>
      <c r="L146" s="15"/>
      <c r="M146" s="15">
        <f t="shared" si="85"/>
        <v>45733</v>
      </c>
      <c r="N146" s="13">
        <v>45733</v>
      </c>
      <c r="O146" s="2">
        <f>IFERROR(IF(tblColetas[[#This Row],[Status Coleta]]="Reprovado","Reprovado",IF(ISERROR(SEARCH("Poço",D146)),IF(N146="","Erro",IF(Q146="Reprovado","",WORKDAY(N146,IF(D146="Operacional",10,3),FERIADOS!$A$3:$A$119))),"-")),"-")</f>
        <v>45736</v>
      </c>
      <c r="P146" s="21">
        <v>45736</v>
      </c>
      <c r="Q146" s="7" t="s">
        <v>37</v>
      </c>
      <c r="R146" s="13"/>
      <c r="S146" s="30"/>
      <c r="T146" s="43"/>
      <c r="W146" t="str">
        <f t="shared" si="64"/>
        <v>CDIT77-FT-6911 (Export gas)Fiscal</v>
      </c>
      <c r="X1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7" spans="1:24" ht="12.5" x14ac:dyDescent="0.25">
      <c r="A147" s="10"/>
      <c r="B147" s="19" t="s">
        <v>31</v>
      </c>
      <c r="C147" s="5" t="s">
        <v>71</v>
      </c>
      <c r="D147" s="20" t="s">
        <v>72</v>
      </c>
      <c r="E147" s="35"/>
      <c r="F147" s="29" cm="1">
        <f t="array" ref="F147">IF(V147 &lt;&gt; "", V147, IFERROR(_xlfn.SINGLE(INDEX($G$1:G146,SUMPRODUCT(MAX(($W$1:W146=W147)*(ROW($W$1:W146))))))+IF(D147="Fiscal",30,90),""))</f>
        <v>45711</v>
      </c>
      <c r="G147" s="21">
        <v>45708</v>
      </c>
      <c r="H147" s="15">
        <f t="shared" si="83"/>
        <v>45718</v>
      </c>
      <c r="I147" s="15"/>
      <c r="J147" s="32"/>
      <c r="K147" s="15">
        <f t="shared" si="84"/>
        <v>45728</v>
      </c>
      <c r="L147" s="15"/>
      <c r="M147" s="15">
        <f t="shared" si="85"/>
        <v>45733</v>
      </c>
      <c r="N147" s="13">
        <v>45733</v>
      </c>
      <c r="O147" s="2">
        <f>IFERROR(IF(tblColetas[[#This Row],[Status Coleta]]="Reprovado","Reprovado",IF(ISERROR(SEARCH("Poço",D147)),IF(N147="","Erro",IF(Q147="Reprovado","",WORKDAY(N147,IF(D147="Operacional",10,3),FERIADOS!$A$3:$A$119))),"-")),"-")</f>
        <v>45736</v>
      </c>
      <c r="P147" s="21">
        <v>45736</v>
      </c>
      <c r="Q147" s="7" t="s">
        <v>37</v>
      </c>
      <c r="R147" s="13"/>
      <c r="S147" s="30"/>
      <c r="T147" s="43"/>
      <c r="W147" t="str">
        <f t="shared" si="64"/>
        <v>CDIT77-FT-0103 (Fuel Gas)Fiscal</v>
      </c>
      <c r="X1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8" spans="1:24" ht="12.5" x14ac:dyDescent="0.25">
      <c r="A148" s="10"/>
      <c r="B148" s="19" t="s">
        <v>31</v>
      </c>
      <c r="C148" s="5" t="s">
        <v>74</v>
      </c>
      <c r="D148" s="20" t="s">
        <v>72</v>
      </c>
      <c r="E148" s="35"/>
      <c r="F148" s="29" cm="1">
        <f t="array" ref="F148">IF(V148 &lt;&gt; "", V148, IFERROR(_xlfn.SINGLE(INDEX($G$1:G147,SUMPRODUCT(MAX(($W$1:W147=W148)*(ROW($W$1:W147))))))+IF(D148="Fiscal",30,90),""))</f>
        <v>45711</v>
      </c>
      <c r="G148" s="21">
        <v>45708</v>
      </c>
      <c r="H148" s="15">
        <f t="shared" si="83"/>
        <v>45718</v>
      </c>
      <c r="I148" s="15"/>
      <c r="J148" s="32"/>
      <c r="K148" s="15">
        <f t="shared" si="84"/>
        <v>45728</v>
      </c>
      <c r="L148" s="15"/>
      <c r="M148" s="15">
        <f t="shared" si="85"/>
        <v>45733</v>
      </c>
      <c r="N148" s="13">
        <v>45733</v>
      </c>
      <c r="O148" s="2">
        <f>IFERROR(IF(tblColetas[[#This Row],[Status Coleta]]="Reprovado","Reprovado",IF(ISERROR(SEARCH("Poço",D148)),IF(N148="","Erro",IF(Q148="Reprovado","",WORKDAY(N148,IF(D148="Operacional",10,3),FERIADOS!$A$3:$A$119))),"-")),"-")</f>
        <v>45736</v>
      </c>
      <c r="P148" s="21">
        <v>45736</v>
      </c>
      <c r="Q148" s="7" t="s">
        <v>37</v>
      </c>
      <c r="R148" s="13"/>
      <c r="S148" s="30"/>
      <c r="T148" s="43"/>
      <c r="W148" t="str">
        <f t="shared" si="64"/>
        <v>CDIT76-FT-0014 (HP Flare)Fiscal</v>
      </c>
      <c r="X1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49" spans="1:24" ht="12.5" x14ac:dyDescent="0.25">
      <c r="A149" s="10"/>
      <c r="B149" s="19" t="s">
        <v>31</v>
      </c>
      <c r="C149" s="5" t="s">
        <v>75</v>
      </c>
      <c r="D149" s="20" t="s">
        <v>72</v>
      </c>
      <c r="E149" s="35"/>
      <c r="F149" s="29" cm="1">
        <f t="array" ref="F149">IF(V149 &lt;&gt; "", V149, IFERROR(_xlfn.SINGLE(INDEX($G$1:G148,SUMPRODUCT(MAX(($W$1:W148=W149)*(ROW($W$1:W148))))))+IF(D149="Fiscal",30,90),""))</f>
        <v>45711</v>
      </c>
      <c r="G149" s="21">
        <v>45708</v>
      </c>
      <c r="H149" s="15">
        <f t="shared" si="83"/>
        <v>45718</v>
      </c>
      <c r="I149" s="15"/>
      <c r="J149" s="32"/>
      <c r="K149" s="15">
        <f t="shared" si="84"/>
        <v>45728</v>
      </c>
      <c r="L149" s="15"/>
      <c r="M149" s="15">
        <f t="shared" si="85"/>
        <v>45733</v>
      </c>
      <c r="N149" s="13">
        <v>45733</v>
      </c>
      <c r="O149" s="2">
        <f>IFERROR(IF(tblColetas[[#This Row],[Status Coleta]]="Reprovado","Reprovado",IF(ISERROR(SEARCH("Poço",D149)),IF(N149="","Erro",IF(Q149="Reprovado","",WORKDAY(N149,IF(D149="Operacional",10,3),FERIADOS!$A$3:$A$119))),"-")),"-")</f>
        <v>45736</v>
      </c>
      <c r="P149" s="21">
        <v>45736</v>
      </c>
      <c r="Q149" s="7" t="s">
        <v>37</v>
      </c>
      <c r="R149" s="13"/>
      <c r="S149" s="30"/>
      <c r="T149" s="43"/>
      <c r="W149" t="str">
        <f t="shared" si="64"/>
        <v>CDIT76-FT-0034 (LP Flare)Fiscal</v>
      </c>
      <c r="X1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0" spans="1:24" ht="12.5" x14ac:dyDescent="0.25">
      <c r="A150" s="10"/>
      <c r="B150" s="19" t="s">
        <v>34</v>
      </c>
      <c r="C150" s="5" t="s">
        <v>109</v>
      </c>
      <c r="D150" s="20" t="s">
        <v>26</v>
      </c>
      <c r="E150" s="35"/>
      <c r="F150" s="29" cm="1">
        <f t="array" ref="F150">IF(V150 &lt;&gt; "", V150, IFERROR(_xlfn.SINGLE(INDEX($G$1:G149,SUMPRODUCT(MAX(($W$1:W149=W150)*(ROW($W$1:W149))))))+IF(D150="Fiscal",30,90),""))</f>
        <v>45778</v>
      </c>
      <c r="G150" s="21">
        <v>45758</v>
      </c>
      <c r="H150" s="15">
        <f t="shared" ref="H150:H160" si="86">IF(G150="","Erro", G150+10)</f>
        <v>45768</v>
      </c>
      <c r="I150" s="15">
        <v>45763</v>
      </c>
      <c r="J150" s="32" t="s">
        <v>130</v>
      </c>
      <c r="K150" s="15">
        <f t="shared" ref="K150:K160" si="87">IF(G150="","Erro",G150+20)</f>
        <v>45778</v>
      </c>
      <c r="L150" s="15">
        <v>45771</v>
      </c>
      <c r="M150" s="15">
        <f t="shared" ref="M150:M160" si="88">IF(G150="","Erro",G150+IF(D150="Operacional",45,25))</f>
        <v>45783</v>
      </c>
      <c r="N150" s="13">
        <v>45783</v>
      </c>
      <c r="O150" s="2" t="str">
        <f>IFERROR(IF(tblColetas[[#This Row],[Status Coleta]]="Reprovado","Reprovado",IF(ISERROR(SEARCH("Poço",D150)),IF(N150="","Erro",IF(Q150="Reprovado","",WORKDAY(N150,IF(D150="Operacional",10,3),FERIADOS!$A$3:$A$119))),"-")),"-")</f>
        <v>-</v>
      </c>
      <c r="P150" s="21"/>
      <c r="Q150" s="7" t="s">
        <v>37</v>
      </c>
      <c r="R150" s="13"/>
      <c r="S150" s="30"/>
      <c r="T150" s="43"/>
      <c r="W150" t="str">
        <f t="shared" si="64"/>
        <v>CDSPoço LL-106 (P-16)Poço CG</v>
      </c>
      <c r="X1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1" spans="1:24" ht="12.5" x14ac:dyDescent="0.25">
      <c r="A151" s="10"/>
      <c r="B151" s="19" t="s">
        <v>34</v>
      </c>
      <c r="C151" s="5" t="s">
        <v>109</v>
      </c>
      <c r="D151" s="20" t="s">
        <v>29</v>
      </c>
      <c r="E151" s="35"/>
      <c r="F151" s="29" cm="1">
        <f t="array" ref="F151">IF(V151 &lt;&gt; "", V151, IFERROR(_xlfn.SINGLE(INDEX($G$1:G150,SUMPRODUCT(MAX(($W$1:W150=W151)*(ROW($W$1:W150))))))+IF(D151="Fiscal",30,90),""))</f>
        <v>45778</v>
      </c>
      <c r="G151" s="21">
        <v>45758</v>
      </c>
      <c r="H151" s="15">
        <f t="shared" si="86"/>
        <v>45768</v>
      </c>
      <c r="I151" s="15">
        <v>45763</v>
      </c>
      <c r="J151" s="32" t="s">
        <v>130</v>
      </c>
      <c r="K151" s="15">
        <f t="shared" si="87"/>
        <v>45778</v>
      </c>
      <c r="L151" s="15">
        <v>45771</v>
      </c>
      <c r="M151" s="15">
        <f t="shared" si="88"/>
        <v>45783</v>
      </c>
      <c r="N151" s="13">
        <v>45783</v>
      </c>
      <c r="O151" s="2" t="str">
        <f>IFERROR(IF(tblColetas[[#This Row],[Status Coleta]]="Reprovado","Reprovado",IF(ISERROR(SEARCH("Poço",D151)),IF(N151="","Erro",IF(Q151="Reprovado","",WORKDAY(N151,IF(D151="Operacional",10,3),FERIADOS!$A$3:$A$119))),"-")),"-")</f>
        <v>-</v>
      </c>
      <c r="P151" s="21"/>
      <c r="Q151" s="7" t="s">
        <v>37</v>
      </c>
      <c r="R151" s="13"/>
      <c r="S151" s="30"/>
      <c r="T151" s="43"/>
      <c r="W151" t="str">
        <f t="shared" si="64"/>
        <v>CDSPoço LL-106 (P-16)Poço PVT</v>
      </c>
      <c r="X1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2" spans="1:24" ht="12.5" x14ac:dyDescent="0.25">
      <c r="A152" s="10"/>
      <c r="B152" s="19" t="s">
        <v>52</v>
      </c>
      <c r="C152" s="5" t="s">
        <v>121</v>
      </c>
      <c r="D152" s="20" t="s">
        <v>70</v>
      </c>
      <c r="E152" s="35"/>
      <c r="F152" s="29" cm="1">
        <f t="array" ref="F152">IF(V152 &lt;&gt; "", V152, IFERROR(_xlfn.SINGLE(INDEX($G$1:G151,SUMPRODUCT(MAX(($W$1:W151=W152)*(ROW($W$1:W151))))))+IF(D152="Fiscal",30,90),""))</f>
        <v>45754</v>
      </c>
      <c r="G152" s="21">
        <v>45748</v>
      </c>
      <c r="H152" s="15">
        <f t="shared" si="86"/>
        <v>45758</v>
      </c>
      <c r="I152" s="15"/>
      <c r="J152" s="32"/>
      <c r="K152" s="15">
        <f t="shared" si="87"/>
        <v>45768</v>
      </c>
      <c r="L152" s="15"/>
      <c r="M152" s="15">
        <f t="shared" si="88"/>
        <v>45773</v>
      </c>
      <c r="N152" s="13">
        <v>45772</v>
      </c>
      <c r="O152" s="2" t="str">
        <f>IFERROR(IF(tblColetas[[#This Row],[Status Coleta]]="Reprovado","Reprovado",IF(ISERROR(SEARCH("Poço",D152)),IF(N152="","Erro",IF(Q152="Reprovado","",WORKDAY(N152,IF(D152="Operacional",10,3),FERIADOS!$A$3:$A$119))),"-")),"-")</f>
        <v>Reprovado</v>
      </c>
      <c r="P152" s="21"/>
      <c r="Q152" s="7" t="s">
        <v>81</v>
      </c>
      <c r="R152" s="13"/>
      <c r="S152" s="33" t="s">
        <v>131</v>
      </c>
      <c r="T152" s="43"/>
      <c r="W152" t="str">
        <f t="shared" si="64"/>
        <v>SEP773-AP-0011 (Gas Lift Total)Gas Lift</v>
      </c>
      <c r="X1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3" spans="1:24" ht="12.5" x14ac:dyDescent="0.25">
      <c r="A153" s="10"/>
      <c r="B153" s="19" t="s">
        <v>52</v>
      </c>
      <c r="C153" s="5" t="s">
        <v>53</v>
      </c>
      <c r="D153" s="20" t="s">
        <v>26</v>
      </c>
      <c r="E153" s="35"/>
      <c r="F153" s="29" cm="1">
        <f t="array" ref="F153">IF(V153 &lt;&gt; "", V153, IFERROR(_xlfn.SINGLE(INDEX($G$1:G152,SUMPRODUCT(MAX(($W$1:W152=W153)*(ROW($W$1:W152))))))+IF(D153="Fiscal",30,90),""))</f>
        <v>45769</v>
      </c>
      <c r="G153" s="21">
        <v>45763</v>
      </c>
      <c r="H153" s="15">
        <f t="shared" si="86"/>
        <v>45773</v>
      </c>
      <c r="I153" s="15">
        <v>45770</v>
      </c>
      <c r="J153" s="32" t="s">
        <v>132</v>
      </c>
      <c r="K153" s="15">
        <f t="shared" si="87"/>
        <v>45783</v>
      </c>
      <c r="L153" s="15">
        <v>45777</v>
      </c>
      <c r="M153" s="15">
        <f t="shared" si="88"/>
        <v>45788</v>
      </c>
      <c r="N153" s="13">
        <v>45786</v>
      </c>
      <c r="O153" s="2" t="str">
        <f>IFERROR(IF(tblColetas[[#This Row],[Status Coleta]]="Reprovado","Reprovado",IF(ISERROR(SEARCH("Poço",D153)),IF(N153="","Erro",IF(Q153="Reprovado","",WORKDAY(N153,IF(D153="Operacional",10,3),FERIADOS!$A$3:$A$119))),"-")),"-")</f>
        <v>-</v>
      </c>
      <c r="P153" s="21"/>
      <c r="Q153" s="7"/>
      <c r="R153" s="13"/>
      <c r="S153" s="30"/>
      <c r="T153" s="43"/>
      <c r="W153" t="str">
        <f t="shared" si="64"/>
        <v>SEPPoço MRO-27  P-8Poço CG</v>
      </c>
      <c r="X1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4" spans="1:24" ht="12.5" x14ac:dyDescent="0.25">
      <c r="A154" s="10"/>
      <c r="B154" s="19" t="s">
        <v>52</v>
      </c>
      <c r="C154" s="5" t="s">
        <v>53</v>
      </c>
      <c r="D154" s="20" t="s">
        <v>29</v>
      </c>
      <c r="E154" s="35"/>
      <c r="F154" s="29" cm="1">
        <f t="array" ref="F154">IF(V154 &lt;&gt; "", V154, IFERROR(_xlfn.SINGLE(INDEX($G$1:G153,SUMPRODUCT(MAX(($W$1:W153=W154)*(ROW($W$1:W153))))))+IF(D154="Fiscal",30,90),""))</f>
        <v>45769</v>
      </c>
      <c r="G154" s="21">
        <v>45763</v>
      </c>
      <c r="H154" s="15">
        <f t="shared" si="86"/>
        <v>45773</v>
      </c>
      <c r="I154" s="15">
        <v>45770</v>
      </c>
      <c r="J154" s="32" t="s">
        <v>132</v>
      </c>
      <c r="K154" s="15">
        <f t="shared" si="87"/>
        <v>45783</v>
      </c>
      <c r="L154" s="15">
        <v>45777</v>
      </c>
      <c r="M154" s="15">
        <f t="shared" si="88"/>
        <v>45788</v>
      </c>
      <c r="N154" s="13">
        <v>45786</v>
      </c>
      <c r="O154" s="2" t="str">
        <f>IFERROR(IF(tblColetas[[#This Row],[Status Coleta]]="Reprovado","Reprovado",IF(ISERROR(SEARCH("Poço",D154)),IF(N154="","Erro",IF(Q154="Reprovado","",WORKDAY(N154,IF(D154="Operacional",10,3),FERIADOS!$A$3:$A$119))),"-")),"-")</f>
        <v>-</v>
      </c>
      <c r="P154" s="21"/>
      <c r="Q154" s="7"/>
      <c r="R154" s="13"/>
      <c r="S154" s="30"/>
      <c r="T154" s="43"/>
      <c r="W154" t="str">
        <f t="shared" si="64"/>
        <v>SEPPoço MRO-27  P-8Poço PVT</v>
      </c>
      <c r="X1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5" spans="1:24" ht="12.5" x14ac:dyDescent="0.25">
      <c r="A155" s="10"/>
      <c r="B155" s="19" t="s">
        <v>34</v>
      </c>
      <c r="C155" s="5" t="s">
        <v>71</v>
      </c>
      <c r="D155" s="20" t="s">
        <v>72</v>
      </c>
      <c r="E155" s="35"/>
      <c r="F155" s="29" cm="1">
        <f t="array" ref="F155">IF(V155 &lt;&gt; "", V155, IFERROR(_xlfn.SINGLE(INDEX($G$1:G154,SUMPRODUCT(MAX(($W$1:W154=W155)*(ROW($W$1:W154))))))+IF(D155="Fiscal",30,90),""))</f>
        <v>45718</v>
      </c>
      <c r="G155" s="21">
        <v>45714</v>
      </c>
      <c r="H155" s="15">
        <f t="shared" si="86"/>
        <v>45724</v>
      </c>
      <c r="I155" s="15"/>
      <c r="J155" s="32"/>
      <c r="K155" s="15">
        <f t="shared" si="87"/>
        <v>45734</v>
      </c>
      <c r="L155" s="15"/>
      <c r="M155" s="15">
        <f t="shared" si="88"/>
        <v>45739</v>
      </c>
      <c r="N155" s="13">
        <v>45737</v>
      </c>
      <c r="O155" s="2">
        <f>IFERROR(IF(tblColetas[[#This Row],[Status Coleta]]="Reprovado","Reprovado",IF(ISERROR(SEARCH("Poço",D155)),IF(N155="","Erro",IF(Q155="Reprovado","",WORKDAY(N155,IF(D155="Operacional",10,3),FERIADOS!$A$3:$A$119))),"-")),"-")</f>
        <v>45742</v>
      </c>
      <c r="P155" s="21">
        <v>45742</v>
      </c>
      <c r="Q155" s="7" t="s">
        <v>37</v>
      </c>
      <c r="R155" s="13"/>
      <c r="S155" s="30"/>
      <c r="T155" s="43"/>
      <c r="W155" t="str">
        <f t="shared" si="64"/>
        <v>CDST77-FT-0103 (Fuel Gas)Fiscal</v>
      </c>
      <c r="X1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6" spans="1:24" ht="12.5" x14ac:dyDescent="0.25">
      <c r="A156" s="10"/>
      <c r="B156" s="19" t="s">
        <v>34</v>
      </c>
      <c r="C156" s="5" t="s">
        <v>73</v>
      </c>
      <c r="D156" s="20" t="s">
        <v>72</v>
      </c>
      <c r="E156" s="35"/>
      <c r="F156" s="29" cm="1">
        <f t="array" ref="F156">IF(V156 &lt;&gt; "", V156, IFERROR(_xlfn.SINGLE(INDEX($G$1:G155,SUMPRODUCT(MAX(($W$1:W155=W156)*(ROW($W$1:W155))))))+IF(D156="Fiscal",30,90),""))</f>
        <v>45718</v>
      </c>
      <c r="G156" s="21">
        <v>45714</v>
      </c>
      <c r="H156" s="15">
        <f t="shared" si="86"/>
        <v>45724</v>
      </c>
      <c r="I156" s="15"/>
      <c r="J156" s="32"/>
      <c r="K156" s="15">
        <f t="shared" si="87"/>
        <v>45734</v>
      </c>
      <c r="L156" s="15"/>
      <c r="M156" s="15">
        <f t="shared" si="88"/>
        <v>45739</v>
      </c>
      <c r="N156" s="13">
        <v>45737</v>
      </c>
      <c r="O156" s="2">
        <f>IFERROR(IF(tblColetas[[#This Row],[Status Coleta]]="Reprovado","Reprovado",IF(ISERROR(SEARCH("Poço",D156)),IF(N156="","Erro",IF(Q156="Reprovado","",WORKDAY(N156,IF(D156="Operacional",10,3),FERIADOS!$A$3:$A$119))),"-")),"-")</f>
        <v>45742</v>
      </c>
      <c r="P156" s="21">
        <v>45742</v>
      </c>
      <c r="Q156" s="7" t="s">
        <v>37</v>
      </c>
      <c r="R156" s="13"/>
      <c r="S156" s="30"/>
      <c r="T156" s="43"/>
      <c r="W156" t="str">
        <f t="shared" si="64"/>
        <v>CDST74-AX-6911 (Export Gas)Fiscal</v>
      </c>
      <c r="X1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7" spans="1:24" ht="12.5" x14ac:dyDescent="0.25">
      <c r="A157" s="10"/>
      <c r="B157" s="19" t="s">
        <v>34</v>
      </c>
      <c r="C157" s="5" t="s">
        <v>74</v>
      </c>
      <c r="D157" s="20" t="s">
        <v>72</v>
      </c>
      <c r="E157" s="35"/>
      <c r="F157" s="29" cm="1">
        <f t="array" ref="F157">IF(V157 &lt;&gt; "", V157, IFERROR(_xlfn.SINGLE(INDEX($G$1:G156,SUMPRODUCT(MAX(($W$1:W156=W157)*(ROW($W$1:W156))))))+IF(D157="Fiscal",30,90),""))</f>
        <v>45718</v>
      </c>
      <c r="G157" s="21">
        <v>45714</v>
      </c>
      <c r="H157" s="15">
        <f t="shared" si="86"/>
        <v>45724</v>
      </c>
      <c r="I157" s="15"/>
      <c r="J157" s="32"/>
      <c r="K157" s="15">
        <f t="shared" si="87"/>
        <v>45734</v>
      </c>
      <c r="L157" s="15"/>
      <c r="M157" s="15">
        <f t="shared" si="88"/>
        <v>45739</v>
      </c>
      <c r="N157" s="13">
        <v>45737</v>
      </c>
      <c r="O157" s="2">
        <f>IFERROR(IF(tblColetas[[#This Row],[Status Coleta]]="Reprovado","Reprovado",IF(ISERROR(SEARCH("Poço",D157)),IF(N157="","Erro",IF(Q157="Reprovado","",WORKDAY(N157,IF(D157="Operacional",10,3),FERIADOS!$A$3:$A$119))),"-")),"-")</f>
        <v>45742</v>
      </c>
      <c r="P157" s="21">
        <v>45742</v>
      </c>
      <c r="Q157" s="7" t="s">
        <v>37</v>
      </c>
      <c r="R157" s="13"/>
      <c r="S157" s="30"/>
      <c r="T157" s="43"/>
      <c r="W157" t="str">
        <f t="shared" si="64"/>
        <v>CDST76-FT-0014 (HP Flare)Fiscal</v>
      </c>
      <c r="X1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8" spans="1:24" ht="12.5" x14ac:dyDescent="0.25">
      <c r="A158" s="10"/>
      <c r="B158" s="19" t="s">
        <v>34</v>
      </c>
      <c r="C158" s="5" t="s">
        <v>75</v>
      </c>
      <c r="D158" s="20" t="s">
        <v>72</v>
      </c>
      <c r="E158" s="35"/>
      <c r="F158" s="29" cm="1">
        <f t="array" ref="F158">IF(V158 &lt;&gt; "", V158, IFERROR(_xlfn.SINGLE(INDEX($G$1:G157,SUMPRODUCT(MAX(($W$1:W157=W158)*(ROW($W$1:W157))))))+IF(D158="Fiscal",30,90),""))</f>
        <v>45718</v>
      </c>
      <c r="G158" s="21">
        <v>45714</v>
      </c>
      <c r="H158" s="15">
        <f t="shared" si="86"/>
        <v>45724</v>
      </c>
      <c r="I158" s="15"/>
      <c r="J158" s="32"/>
      <c r="K158" s="15">
        <f t="shared" si="87"/>
        <v>45734</v>
      </c>
      <c r="L158" s="15"/>
      <c r="M158" s="15">
        <f t="shared" si="88"/>
        <v>45739</v>
      </c>
      <c r="N158" s="13">
        <v>45737</v>
      </c>
      <c r="O158" s="2">
        <f>IFERROR(IF(tblColetas[[#This Row],[Status Coleta]]="Reprovado","Reprovado",IF(ISERROR(SEARCH("Poço",D158)),IF(N158="","Erro",IF(Q158="Reprovado","",WORKDAY(N158,IF(D158="Operacional",10,3),FERIADOS!$A$3:$A$119))),"-")),"-")</f>
        <v>45742</v>
      </c>
      <c r="P158" s="21">
        <v>45742</v>
      </c>
      <c r="Q158" s="7" t="s">
        <v>37</v>
      </c>
      <c r="R158" s="13"/>
      <c r="S158" s="30"/>
      <c r="T158" s="43"/>
      <c r="W158" t="str">
        <f t="shared" si="64"/>
        <v>CDST76-FT-0034 (LP Flare)Fiscal</v>
      </c>
      <c r="X1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59" spans="1:24" ht="12.5" x14ac:dyDescent="0.25">
      <c r="A159" s="10"/>
      <c r="B159" s="19" t="s">
        <v>52</v>
      </c>
      <c r="C159" s="5" t="s">
        <v>57</v>
      </c>
      <c r="D159" s="20" t="s">
        <v>26</v>
      </c>
      <c r="E159" s="35"/>
      <c r="F159" s="29" cm="1">
        <f t="array" ref="F159">IF(V159 &lt;&gt; "", V159, IFERROR(_xlfn.SINGLE(INDEX($G$1:G158,SUMPRODUCT(MAX(($W$1:W158=W159)*(ROW($W$1:W158))))))+IF(D159="Fiscal",30,90),""))</f>
        <v>45780</v>
      </c>
      <c r="G159" s="21">
        <v>45772</v>
      </c>
      <c r="H159" s="15">
        <f t="shared" si="86"/>
        <v>45782</v>
      </c>
      <c r="I159" s="15">
        <v>45776</v>
      </c>
      <c r="J159" s="32" t="s">
        <v>97</v>
      </c>
      <c r="K159" s="15">
        <f t="shared" si="87"/>
        <v>45792</v>
      </c>
      <c r="L159" s="15">
        <v>45783</v>
      </c>
      <c r="M159" s="15">
        <f t="shared" si="88"/>
        <v>45797</v>
      </c>
      <c r="N159" s="13">
        <v>45797</v>
      </c>
      <c r="O159" s="2" t="str">
        <f>IFERROR(IF(tblColetas[[#This Row],[Status Coleta]]="Reprovado","Reprovado",IF(ISERROR(SEARCH("Poço",D159)),IF(N159="","Erro",IF(Q159="Reprovado","",WORKDAY(N159,IF(D159="Operacional",10,3),FERIADOS!$A$3:$A$119))),"-")),"-")</f>
        <v>Reprovado</v>
      </c>
      <c r="P159" s="21"/>
      <c r="Q159" s="7" t="s">
        <v>81</v>
      </c>
      <c r="R159" s="13"/>
      <c r="S159" s="33" t="s">
        <v>133</v>
      </c>
      <c r="T159" s="43"/>
      <c r="W159" t="str">
        <f t="shared" si="64"/>
        <v>SEPPoço MRO-18D P-5Poço CG</v>
      </c>
      <c r="X1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0" spans="1:24" ht="12.5" x14ac:dyDescent="0.25">
      <c r="A160" s="10"/>
      <c r="B160" s="19" t="s">
        <v>52</v>
      </c>
      <c r="C160" s="5" t="s">
        <v>57</v>
      </c>
      <c r="D160" s="20" t="s">
        <v>29</v>
      </c>
      <c r="E160" s="35"/>
      <c r="F160" s="29" cm="1">
        <f t="array" ref="F160">IF(V160 &lt;&gt; "", V160, IFERROR(_xlfn.SINGLE(INDEX($G$1:G159,SUMPRODUCT(MAX(($W$1:W159=W160)*(ROW($W$1:W159))))))+IF(D160="Fiscal",30,90),""))</f>
        <v>45780</v>
      </c>
      <c r="G160" s="21">
        <v>45772</v>
      </c>
      <c r="H160" s="15">
        <f t="shared" si="86"/>
        <v>45782</v>
      </c>
      <c r="I160" s="15">
        <v>45776</v>
      </c>
      <c r="J160" s="32" t="s">
        <v>97</v>
      </c>
      <c r="K160" s="15">
        <f t="shared" si="87"/>
        <v>45792</v>
      </c>
      <c r="L160" s="15">
        <v>45783</v>
      </c>
      <c r="M160" s="15">
        <f t="shared" si="88"/>
        <v>45797</v>
      </c>
      <c r="N160" s="13">
        <v>45797</v>
      </c>
      <c r="O160" s="2" t="str">
        <f>IFERROR(IF(tblColetas[[#This Row],[Status Coleta]]="Reprovado","Reprovado",IF(ISERROR(SEARCH("Poço",D160)),IF(N160="","Erro",IF(Q160="Reprovado","",WORKDAY(N160,IF(D160="Operacional",10,3),FERIADOS!$A$3:$A$119))),"-")),"-")</f>
        <v>Reprovado</v>
      </c>
      <c r="P160" s="21"/>
      <c r="Q160" s="7" t="s">
        <v>81</v>
      </c>
      <c r="R160" s="13"/>
      <c r="S160" s="30"/>
      <c r="T160" s="43"/>
      <c r="W160" t="str">
        <f t="shared" ref="W160:W223" si="89">B160&amp;C160&amp;D160</f>
        <v>SEPPoço MRO-18D P-5Poço PVT</v>
      </c>
      <c r="X1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1" spans="1:24" ht="12.5" x14ac:dyDescent="0.25">
      <c r="A161" s="10"/>
      <c r="B161" s="19" t="s">
        <v>34</v>
      </c>
      <c r="C161" s="5" t="s">
        <v>61</v>
      </c>
      <c r="D161" s="20" t="s">
        <v>26</v>
      </c>
      <c r="E161" s="35"/>
      <c r="F161" s="29" cm="1">
        <f t="array" ref="F161">IF(V161 &lt;&gt; "", V161, IFERROR(_xlfn.SINGLE(INDEX($G$1:G160,SUMPRODUCT(MAX(($W$1:W160=W161)*(ROW($W$1:W160))))))+IF(D161="Fiscal",30,90),""))</f>
        <v>45783</v>
      </c>
      <c r="G161" s="21">
        <v>45773</v>
      </c>
      <c r="H161" s="15">
        <f t="shared" ref="H161:H168" si="90">IF(G161="","Erro", G161+10)</f>
        <v>45783</v>
      </c>
      <c r="I161" s="15">
        <v>45780</v>
      </c>
      <c r="J161" s="32" t="s">
        <v>64</v>
      </c>
      <c r="K161" s="15">
        <f t="shared" ref="K161:K168" si="91">IF(G161="","Erro",G161+20)</f>
        <v>45793</v>
      </c>
      <c r="L161" s="15">
        <v>45785</v>
      </c>
      <c r="M161" s="15">
        <f t="shared" ref="M161:M168" si="92">IF(G161="","Erro",G161+IF(D161="Operacional",45,25))</f>
        <v>45798</v>
      </c>
      <c r="N161" s="13">
        <v>45798</v>
      </c>
      <c r="O161" s="2" t="str">
        <f>IFERROR(IF(tblColetas[[#This Row],[Status Coleta]]="Reprovado","Reprovado",IF(ISERROR(SEARCH("Poço",D161)),IF(N161="","Erro",IF(Q161="Reprovado","",WORKDAY(N161,IF(D161="Operacional",10,3),FERIADOS!$A$3:$A$119))),"-")),"-")</f>
        <v>-</v>
      </c>
      <c r="P161" s="21"/>
      <c r="Q161" s="7" t="s">
        <v>37</v>
      </c>
      <c r="R161" s="13"/>
      <c r="S161" s="30"/>
      <c r="T161" s="43"/>
      <c r="W161" t="str">
        <f t="shared" si="89"/>
        <v>CDSPoço LL-91 (P-02)Poço CG</v>
      </c>
      <c r="X1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2" spans="1:24" ht="12.5" x14ac:dyDescent="0.25">
      <c r="A162" s="10"/>
      <c r="B162" s="19" t="s">
        <v>34</v>
      </c>
      <c r="C162" s="5" t="s">
        <v>61</v>
      </c>
      <c r="D162" s="20" t="s">
        <v>29</v>
      </c>
      <c r="E162" s="35"/>
      <c r="F162" s="29" cm="1">
        <f t="array" ref="F162">IF(V162 &lt;&gt; "", V162, IFERROR(_xlfn.SINGLE(INDEX($G$1:G161,SUMPRODUCT(MAX(($W$1:W161=W162)*(ROW($W$1:W161))))))+IF(D162="Fiscal",30,90),""))</f>
        <v>45783</v>
      </c>
      <c r="G162" s="21">
        <v>45773</v>
      </c>
      <c r="H162" s="15">
        <f t="shared" si="90"/>
        <v>45783</v>
      </c>
      <c r="I162" s="15">
        <v>45780</v>
      </c>
      <c r="J162" s="32" t="s">
        <v>64</v>
      </c>
      <c r="K162" s="15">
        <f t="shared" si="91"/>
        <v>45793</v>
      </c>
      <c r="L162" s="15">
        <v>45785</v>
      </c>
      <c r="M162" s="15">
        <f t="shared" si="92"/>
        <v>45798</v>
      </c>
      <c r="N162" s="13">
        <v>45798</v>
      </c>
      <c r="O162" s="2" t="str">
        <f>IFERROR(IF(tblColetas[[#This Row],[Status Coleta]]="Reprovado","Reprovado",IF(ISERROR(SEARCH("Poço",D162)),IF(N162="","Erro",IF(Q162="Reprovado","",WORKDAY(N162,IF(D162="Operacional",10,3),FERIADOS!$A$3:$A$119))),"-")),"-")</f>
        <v>-</v>
      </c>
      <c r="P162" s="21"/>
      <c r="Q162" s="7" t="s">
        <v>37</v>
      </c>
      <c r="R162" s="13"/>
      <c r="S162" s="30"/>
      <c r="T162" s="43"/>
      <c r="W162" t="str">
        <f t="shared" si="89"/>
        <v>CDSPoço LL-91 (P-02)Poço PVT</v>
      </c>
      <c r="X1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3" spans="1:24" ht="12.5" x14ac:dyDescent="0.25">
      <c r="A163" s="10"/>
      <c r="B163" s="19" t="s">
        <v>24</v>
      </c>
      <c r="C163" s="5" t="s">
        <v>76</v>
      </c>
      <c r="D163" s="20" t="s">
        <v>72</v>
      </c>
      <c r="E163" s="35"/>
      <c r="F163" s="29" cm="1">
        <f t="array" ref="F163">IF(V163 &lt;&gt; "", V163, IFERROR(_xlfn.SINGLE(INDEX($G$1:G162,SUMPRODUCT(MAX(($W$1:W162=W163)*(ROW($W$1:W162))))))+IF(D163="Fiscal",30,90),""))</f>
        <v>45721</v>
      </c>
      <c r="G163" s="21">
        <v>45717</v>
      </c>
      <c r="H163" s="15">
        <f t="shared" si="90"/>
        <v>45727</v>
      </c>
      <c r="I163" s="15">
        <v>45717</v>
      </c>
      <c r="J163" s="32" t="s">
        <v>134</v>
      </c>
      <c r="K163" s="15">
        <f t="shared" si="91"/>
        <v>45737</v>
      </c>
      <c r="L163" s="15">
        <v>45728</v>
      </c>
      <c r="M163" s="15">
        <f t="shared" si="92"/>
        <v>45742</v>
      </c>
      <c r="N163" s="13">
        <v>45742</v>
      </c>
      <c r="O163" s="2" t="str">
        <f>IFERROR(IF(tblColetas[[#This Row],[Status Coleta]]="Reprovado","Reprovado",IF(ISERROR(SEARCH("Poço",D163)),IF(N163="","Erro",IF(Q163="Reprovado","",WORKDAY(N163,IF(D163="Operacional",10,3),FERIADOS!$A$3:$A$119))),"-")),"-")</f>
        <v>Reprovado</v>
      </c>
      <c r="P163" s="21"/>
      <c r="Q163" s="7" t="s">
        <v>81</v>
      </c>
      <c r="R163" s="13"/>
      <c r="S163" s="30"/>
      <c r="T163" s="43"/>
      <c r="W163" t="str">
        <f t="shared" si="89"/>
        <v>CDAM74-FT-005 (Export gas)Fiscal</v>
      </c>
      <c r="X1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4" spans="1:24" ht="12.5" x14ac:dyDescent="0.25">
      <c r="A164" s="10"/>
      <c r="B164" s="19" t="s">
        <v>24</v>
      </c>
      <c r="C164" s="5" t="s">
        <v>78</v>
      </c>
      <c r="D164" s="20" t="s">
        <v>72</v>
      </c>
      <c r="E164" s="35"/>
      <c r="F164" s="29" cm="1">
        <f t="array" ref="F164">IF(V164 &lt;&gt; "", V164, IFERROR(_xlfn.SINGLE(INDEX($G$1:G163,SUMPRODUCT(MAX(($W$1:W163=W164)*(ROW($W$1:W163))))))+IF(D164="Fiscal",30,90),""))</f>
        <v>45721</v>
      </c>
      <c r="G164" s="21">
        <v>45717</v>
      </c>
      <c r="H164" s="15">
        <f t="shared" si="90"/>
        <v>45727</v>
      </c>
      <c r="I164" s="15">
        <v>45717</v>
      </c>
      <c r="J164" s="32" t="s">
        <v>134</v>
      </c>
      <c r="K164" s="15">
        <f t="shared" si="91"/>
        <v>45737</v>
      </c>
      <c r="L164" s="15">
        <v>45728</v>
      </c>
      <c r="M164" s="15">
        <f t="shared" si="92"/>
        <v>45742</v>
      </c>
      <c r="N164" s="13">
        <v>45742</v>
      </c>
      <c r="O164" s="2">
        <f>IFERROR(IF(tblColetas[[#This Row],[Status Coleta]]="Reprovado","Reprovado",IF(ISERROR(SEARCH("Poço",D164)),IF(N164="","Erro",IF(Q164="Reprovado","",WORKDAY(N164,IF(D164="Operacional",10,3),FERIADOS!$A$3:$A$119))),"-")),"-")</f>
        <v>45747</v>
      </c>
      <c r="P164" s="21">
        <v>45744</v>
      </c>
      <c r="Q164" s="7" t="s">
        <v>37</v>
      </c>
      <c r="R164" s="13"/>
      <c r="S164" s="30"/>
      <c r="T164" s="43"/>
      <c r="W164" t="str">
        <f t="shared" si="89"/>
        <v>CDAT77-FT-001 (Fuel Gas)Fiscal</v>
      </c>
      <c r="X1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5" spans="1:24" ht="12.5" x14ac:dyDescent="0.25">
      <c r="A165" s="10"/>
      <c r="B165" s="19" t="s">
        <v>52</v>
      </c>
      <c r="C165" s="5" t="s">
        <v>112</v>
      </c>
      <c r="D165" s="20" t="s">
        <v>72</v>
      </c>
      <c r="E165" s="35"/>
      <c r="F165" s="29" cm="1">
        <f t="array" ref="F165">IF(V165 &lt;&gt; "", V165, IFERROR(_xlfn.SINGLE(INDEX($G$1:G164,SUMPRODUCT(MAX(($W$1:W164=W165)*(ROW($W$1:W164))))))+IF(D165="Fiscal",30,90),""))</f>
        <v>45722</v>
      </c>
      <c r="G165" s="21">
        <v>45720</v>
      </c>
      <c r="H165" s="15">
        <f t="shared" si="90"/>
        <v>45730</v>
      </c>
      <c r="I165" s="15"/>
      <c r="J165" s="32"/>
      <c r="K165" s="15">
        <f t="shared" si="91"/>
        <v>45740</v>
      </c>
      <c r="L165" s="15"/>
      <c r="M165" s="15">
        <f t="shared" si="92"/>
        <v>45745</v>
      </c>
      <c r="N165" s="13">
        <v>45744</v>
      </c>
      <c r="O165" s="2">
        <f>IFERROR(IF(tblColetas[[#This Row],[Status Coleta]]="Reprovado","Reprovado",IF(ISERROR(SEARCH("Poço",D165)),IF(N165="","Erro",IF(Q165="Reprovado","",WORKDAY(N165,IF(D165="Operacional",10,3),FERIADOS!$A$3:$A$119))),"-")),"-")</f>
        <v>45749</v>
      </c>
      <c r="P165" s="21">
        <v>45749</v>
      </c>
      <c r="Q165" s="7" t="s">
        <v>37</v>
      </c>
      <c r="R165" s="13"/>
      <c r="S165" s="30"/>
      <c r="T165" s="43"/>
      <c r="W165" t="str">
        <f t="shared" si="89"/>
        <v>SEP776-AP-0006 (HP Flare)Fiscal</v>
      </c>
      <c r="X1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6" spans="1:24" ht="12.5" x14ac:dyDescent="0.25">
      <c r="A166" s="10"/>
      <c r="B166" s="19" t="s">
        <v>52</v>
      </c>
      <c r="C166" s="5" t="s">
        <v>113</v>
      </c>
      <c r="D166" s="20" t="s">
        <v>72</v>
      </c>
      <c r="E166" s="35"/>
      <c r="F166" s="29" cm="1">
        <f t="array" ref="F166">IF(V166 &lt;&gt; "", V166, IFERROR(_xlfn.SINGLE(INDEX($G$1:G165,SUMPRODUCT(MAX(($W$1:W165=W166)*(ROW($W$1:W165))))))+IF(D166="Fiscal",30,90),""))</f>
        <v>45722</v>
      </c>
      <c r="G166" s="21">
        <v>45720</v>
      </c>
      <c r="H166" s="15">
        <f t="shared" si="90"/>
        <v>45730</v>
      </c>
      <c r="I166" s="15"/>
      <c r="J166" s="32"/>
      <c r="K166" s="15">
        <f t="shared" si="91"/>
        <v>45740</v>
      </c>
      <c r="L166" s="15"/>
      <c r="M166" s="15">
        <f t="shared" si="92"/>
        <v>45745</v>
      </c>
      <c r="N166" s="13">
        <v>45744</v>
      </c>
      <c r="O166" s="2" t="str">
        <f>IFERROR(IF(tblColetas[[#This Row],[Status Coleta]]="Reprovado","Reprovado",IF(ISERROR(SEARCH("Poço",D166)),IF(N166="","Erro",IF(Q166="Reprovado","",WORKDAY(N166,IF(D166="Operacional",10,3),FERIADOS!$A$3:$A$119))),"-")),"-")</f>
        <v>Reprovado</v>
      </c>
      <c r="P166" s="21"/>
      <c r="Q166" s="7" t="s">
        <v>81</v>
      </c>
      <c r="R166" s="13"/>
      <c r="S166" s="33" t="s">
        <v>135</v>
      </c>
      <c r="T166" s="43"/>
      <c r="W166" t="str">
        <f t="shared" si="89"/>
        <v>SEP776-AP-0030 (LP Flare)Fiscal</v>
      </c>
      <c r="X1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7" spans="1:24" ht="12.5" x14ac:dyDescent="0.25">
      <c r="A167" s="10"/>
      <c r="B167" s="19" t="s">
        <v>52</v>
      </c>
      <c r="C167" s="5" t="s">
        <v>114</v>
      </c>
      <c r="D167" s="20" t="s">
        <v>72</v>
      </c>
      <c r="E167" s="35"/>
      <c r="F167" s="29" cm="1">
        <f t="array" ref="F167">IF(V167 &lt;&gt; "", V167, IFERROR(_xlfn.SINGLE(INDEX($G$1:G166,SUMPRODUCT(MAX(($W$1:W166=W167)*(ROW($W$1:W166))))))+IF(D167="Fiscal",30,90),""))</f>
        <v>45722</v>
      </c>
      <c r="G167" s="21">
        <v>45720</v>
      </c>
      <c r="H167" s="15">
        <f t="shared" si="90"/>
        <v>45730</v>
      </c>
      <c r="I167" s="15"/>
      <c r="J167" s="32"/>
      <c r="K167" s="15">
        <f t="shared" si="91"/>
        <v>45740</v>
      </c>
      <c r="L167" s="15"/>
      <c r="M167" s="15">
        <f t="shared" si="92"/>
        <v>45745</v>
      </c>
      <c r="N167" s="13">
        <v>45744</v>
      </c>
      <c r="O167" s="2">
        <f>IFERROR(IF(tblColetas[[#This Row],[Status Coleta]]="Reprovado","Reprovado",IF(ISERROR(SEARCH("Poço",D167)),IF(N167="","Erro",IF(Q167="Reprovado","",WORKDAY(N167,IF(D167="Operacional",10,3),FERIADOS!$A$3:$A$119))),"-")),"-")</f>
        <v>45749</v>
      </c>
      <c r="P167" s="21">
        <v>45749</v>
      </c>
      <c r="Q167" s="7" t="s">
        <v>37</v>
      </c>
      <c r="R167" s="13"/>
      <c r="S167" s="30"/>
      <c r="T167" s="43"/>
      <c r="W167" t="str">
        <f t="shared" si="89"/>
        <v>SEP777-AP-1104 (Fuel Gas)Fiscal</v>
      </c>
      <c r="X1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8" spans="1:24" ht="12.5" x14ac:dyDescent="0.25">
      <c r="A168" s="10"/>
      <c r="B168" s="19" t="s">
        <v>52</v>
      </c>
      <c r="C168" s="5" t="s">
        <v>115</v>
      </c>
      <c r="D168" s="20" t="s">
        <v>72</v>
      </c>
      <c r="E168" s="35"/>
      <c r="F168" s="29" cm="1">
        <f t="array" ref="F168">IF(V168 &lt;&gt; "", V168, IFERROR(_xlfn.SINGLE(INDEX($G$1:G167,SUMPRODUCT(MAX(($W$1:W167=W168)*(ROW($W$1:W167))))))+IF(D168="Fiscal",30,90),""))</f>
        <v>45722</v>
      </c>
      <c r="G168" s="21">
        <v>45720</v>
      </c>
      <c r="H168" s="15">
        <f t="shared" si="90"/>
        <v>45730</v>
      </c>
      <c r="I168" s="15"/>
      <c r="J168" s="32"/>
      <c r="K168" s="15">
        <f t="shared" si="91"/>
        <v>45740</v>
      </c>
      <c r="L168" s="15"/>
      <c r="M168" s="15">
        <f t="shared" si="92"/>
        <v>45745</v>
      </c>
      <c r="N168" s="13">
        <v>45744</v>
      </c>
      <c r="O168" s="2">
        <f>IFERROR(IF(tblColetas[[#This Row],[Status Coleta]]="Reprovado","Reprovado",IF(ISERROR(SEARCH("Poço",D168)),IF(N168="","Erro",IF(Q168="Reprovado","",WORKDAY(N168,IF(D168="Operacional",10,3),FERIADOS!$A$3:$A$119))),"-")),"-")</f>
        <v>45749</v>
      </c>
      <c r="P168" s="21">
        <v>45749</v>
      </c>
      <c r="Q168" s="7" t="s">
        <v>37</v>
      </c>
      <c r="R168" s="13"/>
      <c r="S168" s="30"/>
      <c r="T168" s="43"/>
      <c r="W168" t="str">
        <f t="shared" si="89"/>
        <v>SEP771-AP-0221 (Flare Assist)Fiscal</v>
      </c>
      <c r="X1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69" spans="1:24" ht="12.5" x14ac:dyDescent="0.25">
      <c r="A169" s="10"/>
      <c r="B169" s="19" t="s">
        <v>24</v>
      </c>
      <c r="C169" s="5" t="s">
        <v>100</v>
      </c>
      <c r="D169" s="20" t="s">
        <v>26</v>
      </c>
      <c r="E169" s="35"/>
      <c r="F169" s="29" cm="1">
        <f t="array" ref="F169">IF(V169 &lt;&gt; "", V169, IFERROR(_xlfn.SINGLE(INDEX($G$1:G168,SUMPRODUCT(MAX(($W$1:W168=W169)*(ROW($W$1:W168))))))+IF(D169="Fiscal",30,90),""))</f>
        <v>45786</v>
      </c>
      <c r="G169" s="21">
        <v>45779</v>
      </c>
      <c r="H169" s="15">
        <f t="shared" ref="H169:H174" si="93">IF(G169="","Erro", G169+10)</f>
        <v>45789</v>
      </c>
      <c r="I169" s="15">
        <v>45782</v>
      </c>
      <c r="J169" s="32" t="s">
        <v>136</v>
      </c>
      <c r="K169" s="15">
        <f t="shared" ref="K169:K174" si="94">IF(G169="","Erro",G169+20)</f>
        <v>45799</v>
      </c>
      <c r="L169" s="15">
        <v>45792</v>
      </c>
      <c r="M169" s="15">
        <f t="shared" ref="M169:M174" si="95">IF(G169="","Erro",G169+IF(D169="Operacional",45,25))</f>
        <v>45804</v>
      </c>
      <c r="N169" s="13">
        <v>45804</v>
      </c>
      <c r="O169" s="2" t="str">
        <f>IFERROR(IF(tblColetas[[#This Row],[Status Coleta]]="Reprovado","Reprovado",IF(ISERROR(SEARCH("Poço",D169)),IF(N169="","Erro",IF(Q169="Reprovado","",WORKDAY(N169,IF(D169="Operacional",10,3),FERIADOS!$A$3:$A$119))),"-")),"-")</f>
        <v>-</v>
      </c>
      <c r="P169" s="21"/>
      <c r="Q169" s="7" t="s">
        <v>37</v>
      </c>
      <c r="R169" s="13"/>
      <c r="S169" s="30"/>
      <c r="T169" s="43"/>
      <c r="W169" t="str">
        <f t="shared" si="89"/>
        <v>CDAPoço JUB-63Poço CG</v>
      </c>
      <c r="X1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0" spans="1:24" ht="12.5" x14ac:dyDescent="0.25">
      <c r="A170" s="10"/>
      <c r="B170" s="19" t="s">
        <v>24</v>
      </c>
      <c r="C170" s="5" t="s">
        <v>100</v>
      </c>
      <c r="D170" s="20" t="s">
        <v>29</v>
      </c>
      <c r="E170" s="35"/>
      <c r="F170" s="29" cm="1">
        <f t="array" ref="F170">IF(V170 &lt;&gt; "", V170, IFERROR(_xlfn.SINGLE(INDEX($G$1:G169,SUMPRODUCT(MAX(($W$1:W169=W170)*(ROW($W$1:W169))))))+IF(D170="Fiscal",30,90),""))</f>
        <v>45786</v>
      </c>
      <c r="G170" s="21">
        <v>45779</v>
      </c>
      <c r="H170" s="15">
        <f t="shared" si="93"/>
        <v>45789</v>
      </c>
      <c r="I170" s="15">
        <v>45782</v>
      </c>
      <c r="J170" s="32" t="s">
        <v>136</v>
      </c>
      <c r="K170" s="15">
        <f t="shared" si="94"/>
        <v>45799</v>
      </c>
      <c r="L170" s="15">
        <v>45792</v>
      </c>
      <c r="M170" s="15">
        <f t="shared" si="95"/>
        <v>45804</v>
      </c>
      <c r="N170" s="13">
        <v>45804</v>
      </c>
      <c r="O170" s="2" t="str">
        <f>IFERROR(IF(tblColetas[[#This Row],[Status Coleta]]="Reprovado","Reprovado",IF(ISERROR(SEARCH("Poço",D170)),IF(N170="","Erro",IF(Q170="Reprovado","",WORKDAY(N170,IF(D170="Operacional",10,3),FERIADOS!$A$3:$A$119))),"-")),"-")</f>
        <v>-</v>
      </c>
      <c r="P170" s="21"/>
      <c r="Q170" s="7" t="s">
        <v>37</v>
      </c>
      <c r="R170" s="13"/>
      <c r="S170" s="30"/>
      <c r="T170" s="43"/>
      <c r="W170" t="str">
        <f t="shared" si="89"/>
        <v>CDAPoço JUB-63Poço PVT</v>
      </c>
      <c r="X1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1" spans="1:24" ht="12.5" x14ac:dyDescent="0.25">
      <c r="A171" s="10"/>
      <c r="B171" s="19" t="s">
        <v>46</v>
      </c>
      <c r="C171" s="5" t="s">
        <v>74</v>
      </c>
      <c r="D171" s="20" t="s">
        <v>72</v>
      </c>
      <c r="E171" s="35"/>
      <c r="F171" s="29" cm="1">
        <f t="array" ref="F171">IF(V171 &lt;&gt; "", V171, IFERROR(_xlfn.SINGLE(INDEX($G$1:G170,SUMPRODUCT(MAX(($W$1:W170=W171)*(ROW($W$1:W170))))))+IF(D171="Fiscal",30,90),""))</f>
        <v>45725</v>
      </c>
      <c r="G171" s="21">
        <v>45724</v>
      </c>
      <c r="H171" s="15">
        <f t="shared" si="93"/>
        <v>45734</v>
      </c>
      <c r="I171" s="15"/>
      <c r="J171" s="32"/>
      <c r="K171" s="15">
        <f t="shared" si="94"/>
        <v>45744</v>
      </c>
      <c r="L171" s="15"/>
      <c r="M171" s="15">
        <f t="shared" si="95"/>
        <v>45749</v>
      </c>
      <c r="N171" s="13">
        <v>45749</v>
      </c>
      <c r="O171" s="2">
        <f>IFERROR(IF(tblColetas[[#This Row],[Status Coleta]]="Reprovado","Reprovado",IF(ISERROR(SEARCH("Poço",D171)),IF(N171="","Erro",IF(Q171="Reprovado","",WORKDAY(N171,IF(D171="Operacional",10,3),FERIADOS!$A$3:$A$119))),"-")),"-")</f>
        <v>45754</v>
      </c>
      <c r="P171" s="21">
        <v>45751</v>
      </c>
      <c r="Q171" s="7" t="s">
        <v>37</v>
      </c>
      <c r="R171" s="13"/>
      <c r="S171" s="30"/>
      <c r="T171" s="43"/>
      <c r="W171" t="str">
        <f t="shared" si="89"/>
        <v>CDMT76-FT-0014 (HP Flare)Fiscal</v>
      </c>
      <c r="X1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2" spans="1:24" ht="12.5" x14ac:dyDescent="0.25">
      <c r="A172" s="10"/>
      <c r="B172" s="19" t="s">
        <v>46</v>
      </c>
      <c r="C172" s="5" t="s">
        <v>75</v>
      </c>
      <c r="D172" s="20" t="s">
        <v>72</v>
      </c>
      <c r="E172" s="35"/>
      <c r="F172" s="29" cm="1">
        <f t="array" ref="F172">IF(V172 &lt;&gt; "", V172, IFERROR(_xlfn.SINGLE(INDEX($G$1:G171,SUMPRODUCT(MAX(($W$1:W171=W172)*(ROW($W$1:W171))))))+IF(D172="Fiscal",30,90),""))</f>
        <v>45725</v>
      </c>
      <c r="G172" s="21">
        <v>45724</v>
      </c>
      <c r="H172" s="15">
        <f t="shared" si="93"/>
        <v>45734</v>
      </c>
      <c r="I172" s="15"/>
      <c r="J172" s="32"/>
      <c r="K172" s="15">
        <f t="shared" si="94"/>
        <v>45744</v>
      </c>
      <c r="L172" s="15"/>
      <c r="M172" s="15">
        <f t="shared" si="95"/>
        <v>45749</v>
      </c>
      <c r="N172" s="13">
        <v>45749</v>
      </c>
      <c r="O172" s="2">
        <f>IFERROR(IF(tblColetas[[#This Row],[Status Coleta]]="Reprovado","Reprovado",IF(ISERROR(SEARCH("Poço",D172)),IF(N172="","Erro",IF(Q172="Reprovado","",WORKDAY(N172,IF(D172="Operacional",10,3),FERIADOS!$A$3:$A$119))),"-")),"-")</f>
        <v>45754</v>
      </c>
      <c r="P172" s="21">
        <v>45751</v>
      </c>
      <c r="Q172" s="7" t="s">
        <v>37</v>
      </c>
      <c r="R172" s="13"/>
      <c r="S172" s="30"/>
      <c r="T172" s="43"/>
      <c r="W172" t="str">
        <f t="shared" si="89"/>
        <v>CDMT76-FT-0034 (LP Flare)Fiscal</v>
      </c>
      <c r="X1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3" spans="1:24" ht="12.5" x14ac:dyDescent="0.25">
      <c r="A173" s="10"/>
      <c r="B173" s="19" t="s">
        <v>46</v>
      </c>
      <c r="C173" s="5" t="s">
        <v>71</v>
      </c>
      <c r="D173" s="20" t="s">
        <v>72</v>
      </c>
      <c r="E173" s="35"/>
      <c r="F173" s="29" cm="1">
        <f t="array" ref="F173">IF(V173 &lt;&gt; "", V173, IFERROR(_xlfn.SINGLE(INDEX($G$1:G172,SUMPRODUCT(MAX(($W$1:W172=W173)*(ROW($W$1:W172))))))+IF(D173="Fiscal",30,90),""))</f>
        <v>45725</v>
      </c>
      <c r="G173" s="21">
        <v>45724</v>
      </c>
      <c r="H173" s="15">
        <f t="shared" si="93"/>
        <v>45734</v>
      </c>
      <c r="I173" s="15"/>
      <c r="J173" s="32"/>
      <c r="K173" s="15">
        <f t="shared" si="94"/>
        <v>45744</v>
      </c>
      <c r="L173" s="15"/>
      <c r="M173" s="15">
        <f t="shared" si="95"/>
        <v>45749</v>
      </c>
      <c r="N173" s="13">
        <v>45749</v>
      </c>
      <c r="O173" s="2">
        <f>IFERROR(IF(tblColetas[[#This Row],[Status Coleta]]="Reprovado","Reprovado",IF(ISERROR(SEARCH("Poço",D173)),IF(N173="","Erro",IF(Q173="Reprovado","",WORKDAY(N173,IF(D173="Operacional",10,3),FERIADOS!$A$3:$A$119))),"-")),"-")</f>
        <v>45754</v>
      </c>
      <c r="P173" s="21">
        <v>45751</v>
      </c>
      <c r="Q173" s="7" t="s">
        <v>37</v>
      </c>
      <c r="R173" s="13"/>
      <c r="S173" s="30"/>
      <c r="T173" s="43"/>
      <c r="W173" t="str">
        <f t="shared" si="89"/>
        <v>CDMT77-FT-0103 (Fuel Gas)Fiscal</v>
      </c>
      <c r="X1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4" spans="1:24" ht="12.5" x14ac:dyDescent="0.25">
      <c r="A174" s="10"/>
      <c r="B174" s="19" t="s">
        <v>46</v>
      </c>
      <c r="C174" s="5" t="s">
        <v>125</v>
      </c>
      <c r="D174" s="20" t="s">
        <v>72</v>
      </c>
      <c r="E174" s="35"/>
      <c r="F174" s="29" cm="1">
        <f t="array" ref="F174">IF(V174 &lt;&gt; "", V174, IFERROR(_xlfn.SINGLE(INDEX($G$1:G173,SUMPRODUCT(MAX(($W$1:W173=W174)*(ROW($W$1:W173))))))+IF(D174="Fiscal",30,90),""))</f>
        <v>45725</v>
      </c>
      <c r="G174" s="21">
        <v>45724</v>
      </c>
      <c r="H174" s="15">
        <f t="shared" si="93"/>
        <v>45734</v>
      </c>
      <c r="I174" s="15"/>
      <c r="J174" s="32"/>
      <c r="K174" s="15">
        <f t="shared" si="94"/>
        <v>45744</v>
      </c>
      <c r="L174" s="15"/>
      <c r="M174" s="15">
        <f t="shared" si="95"/>
        <v>45749</v>
      </c>
      <c r="N174" s="13">
        <v>45749</v>
      </c>
      <c r="O174" s="2">
        <f>IFERROR(IF(tblColetas[[#This Row],[Status Coleta]]="Reprovado","Reprovado",IF(ISERROR(SEARCH("Poço",D174)),IF(N174="","Erro",IF(Q174="Reprovado","",WORKDAY(N174,IF(D174="Operacional",10,3),FERIADOS!$A$3:$A$119))),"-")),"-")</f>
        <v>45754</v>
      </c>
      <c r="P174" s="21">
        <v>45751</v>
      </c>
      <c r="Q174" s="7" t="s">
        <v>37</v>
      </c>
      <c r="R174" s="13"/>
      <c r="S174" s="30"/>
      <c r="T174" s="43"/>
      <c r="W174" t="str">
        <f t="shared" si="89"/>
        <v>CDMT74-FT-6901 (Export Gas)Fiscal</v>
      </c>
      <c r="X1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5" spans="1:24" ht="12.5" x14ac:dyDescent="0.25">
      <c r="A175" s="10"/>
      <c r="B175" s="19" t="s">
        <v>38</v>
      </c>
      <c r="C175" s="5" t="s">
        <v>74</v>
      </c>
      <c r="D175" s="20" t="s">
        <v>72</v>
      </c>
      <c r="E175" s="35"/>
      <c r="F175" s="29" cm="1">
        <f t="array" ref="F175">IF(V175 &lt;&gt; "", V175, IFERROR(_xlfn.SINGLE(INDEX($G$1:G174,SUMPRODUCT(MAX(($W$1:W174=W175)*(ROW($W$1:W174))))))+IF(D175="Fiscal",30,90),""))</f>
        <v>45726</v>
      </c>
      <c r="G175" s="21">
        <v>45724</v>
      </c>
      <c r="H175" s="15">
        <f t="shared" ref="H175:H184" si="96">IF(G175="","Erro", G175+10)</f>
        <v>45734</v>
      </c>
      <c r="I175" s="15"/>
      <c r="J175" s="32"/>
      <c r="K175" s="15">
        <f t="shared" ref="K175:K184" si="97">IF(G175="","Erro",G175+20)</f>
        <v>45744</v>
      </c>
      <c r="L175" s="15"/>
      <c r="M175" s="15">
        <f t="shared" ref="M175:M184" si="98">IF(G175="","Erro",G175+IF(D175="Operacional",45,25))</f>
        <v>45749</v>
      </c>
      <c r="N175" s="13">
        <v>45749</v>
      </c>
      <c r="O175" s="2">
        <f>IFERROR(IF(tblColetas[[#This Row],[Status Coleta]]="Reprovado","Reprovado",IF(ISERROR(SEARCH("Poço",D175)),IF(N175="","Erro",IF(Q175="Reprovado","",WORKDAY(N175,IF(D175="Operacional",10,3),FERIADOS!$A$3:$A$119))),"-")),"-")</f>
        <v>45754</v>
      </c>
      <c r="P175" s="21">
        <v>45754</v>
      </c>
      <c r="Q175" s="7" t="s">
        <v>37</v>
      </c>
      <c r="R175" s="13"/>
      <c r="S175" s="30"/>
      <c r="T175" s="43"/>
      <c r="W175" t="str">
        <f t="shared" si="89"/>
        <v>CDPT76-FT-0014 (HP Flare)Fiscal</v>
      </c>
      <c r="X1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6" spans="1:24" ht="12.5" x14ac:dyDescent="0.25">
      <c r="A176" s="10"/>
      <c r="B176" s="19" t="s">
        <v>38</v>
      </c>
      <c r="C176" s="5" t="s">
        <v>75</v>
      </c>
      <c r="D176" s="20" t="s">
        <v>72</v>
      </c>
      <c r="E176" s="35"/>
      <c r="F176" s="29" cm="1">
        <f t="array" ref="F176">IF(V176 &lt;&gt; "", V176, IFERROR(_xlfn.SINGLE(INDEX($G$1:G175,SUMPRODUCT(MAX(($W$1:W175=W176)*(ROW($W$1:W175))))))+IF(D176="Fiscal",30,90),""))</f>
        <v>45726</v>
      </c>
      <c r="G176" s="21">
        <v>45724</v>
      </c>
      <c r="H176" s="15">
        <f t="shared" si="96"/>
        <v>45734</v>
      </c>
      <c r="I176" s="15"/>
      <c r="J176" s="32"/>
      <c r="K176" s="15">
        <f t="shared" si="97"/>
        <v>45744</v>
      </c>
      <c r="L176" s="15"/>
      <c r="M176" s="15">
        <f t="shared" si="98"/>
        <v>45749</v>
      </c>
      <c r="N176" s="13">
        <v>45749</v>
      </c>
      <c r="O176" s="2">
        <f>IFERROR(IF(tblColetas[[#This Row],[Status Coleta]]="Reprovado","Reprovado",IF(ISERROR(SEARCH("Poço",D176)),IF(N176="","Erro",IF(Q176="Reprovado","",WORKDAY(N176,IF(D176="Operacional",10,3),FERIADOS!$A$3:$A$119))),"-")),"-")</f>
        <v>45754</v>
      </c>
      <c r="P176" s="21">
        <v>45754</v>
      </c>
      <c r="Q176" s="7" t="s">
        <v>37</v>
      </c>
      <c r="R176" s="13"/>
      <c r="S176" s="30"/>
      <c r="T176" s="43"/>
      <c r="W176" t="str">
        <f t="shared" si="89"/>
        <v>CDPT76-FT-0034 (LP Flare)Fiscal</v>
      </c>
      <c r="X1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7" spans="1:24" ht="12.5" x14ac:dyDescent="0.25">
      <c r="A177" s="10"/>
      <c r="B177" s="19" t="s">
        <v>38</v>
      </c>
      <c r="C177" s="5" t="s">
        <v>71</v>
      </c>
      <c r="D177" s="20" t="s">
        <v>72</v>
      </c>
      <c r="E177" s="35"/>
      <c r="F177" s="29" cm="1">
        <f t="array" ref="F177">IF(V177 &lt;&gt; "", V177, IFERROR(_xlfn.SINGLE(INDEX($G$1:G176,SUMPRODUCT(MAX(($W$1:W176=W177)*(ROW($W$1:W176))))))+IF(D177="Fiscal",30,90),""))</f>
        <v>45726</v>
      </c>
      <c r="G177" s="21">
        <v>45724</v>
      </c>
      <c r="H177" s="15">
        <f t="shared" si="96"/>
        <v>45734</v>
      </c>
      <c r="I177" s="15"/>
      <c r="J177" s="32"/>
      <c r="K177" s="15">
        <f t="shared" si="97"/>
        <v>45744</v>
      </c>
      <c r="L177" s="15"/>
      <c r="M177" s="15">
        <f t="shared" si="98"/>
        <v>45749</v>
      </c>
      <c r="N177" s="13">
        <v>45749</v>
      </c>
      <c r="O177" s="2">
        <f>IFERROR(IF(tblColetas[[#This Row],[Status Coleta]]="Reprovado","Reprovado",IF(ISERROR(SEARCH("Poço",D177)),IF(N177="","Erro",IF(Q177="Reprovado","",WORKDAY(N177,IF(D177="Operacional",10,3),FERIADOS!$A$3:$A$119))),"-")),"-")</f>
        <v>45754</v>
      </c>
      <c r="P177" s="21">
        <v>45754</v>
      </c>
      <c r="Q177" s="7" t="s">
        <v>37</v>
      </c>
      <c r="R177" s="13"/>
      <c r="S177" s="30"/>
      <c r="T177" s="43"/>
      <c r="W177" t="str">
        <f t="shared" si="89"/>
        <v>CDPT77-FT-0103 (Fuel Gas)Fiscal</v>
      </c>
      <c r="X1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8" spans="1:24" ht="12.5" x14ac:dyDescent="0.25">
      <c r="A178" s="10"/>
      <c r="B178" s="19" t="s">
        <v>38</v>
      </c>
      <c r="C178" s="5" t="s">
        <v>98</v>
      </c>
      <c r="D178" s="20" t="s">
        <v>72</v>
      </c>
      <c r="E178" s="35"/>
      <c r="F178" s="29" cm="1">
        <f t="array" ref="F178">IF(V178 &lt;&gt; "", V178, IFERROR(_xlfn.SINGLE(INDEX($G$1:G177,SUMPRODUCT(MAX(($W$1:W177=W178)*(ROW($W$1:W177))))))+IF(D178="Fiscal",30,90),""))</f>
        <v>45726</v>
      </c>
      <c r="G178" s="21">
        <v>45724</v>
      </c>
      <c r="H178" s="15">
        <f t="shared" si="96"/>
        <v>45734</v>
      </c>
      <c r="I178" s="15"/>
      <c r="J178" s="32"/>
      <c r="K178" s="15">
        <f t="shared" si="97"/>
        <v>45744</v>
      </c>
      <c r="L178" s="15"/>
      <c r="M178" s="15">
        <f t="shared" si="98"/>
        <v>45749</v>
      </c>
      <c r="N178" s="13">
        <v>45749</v>
      </c>
      <c r="O178" s="2">
        <f>IFERROR(IF(tblColetas[[#This Row],[Status Coleta]]="Reprovado","Reprovado",IF(ISERROR(SEARCH("Poço",D178)),IF(N178="","Erro",IF(Q178="Reprovado","",WORKDAY(N178,IF(D178="Operacional",10,3),FERIADOS!$A$3:$A$119))),"-")),"-")</f>
        <v>45754</v>
      </c>
      <c r="P178" s="21">
        <v>45754</v>
      </c>
      <c r="Q178" s="7" t="s">
        <v>37</v>
      </c>
      <c r="R178" s="13"/>
      <c r="S178" s="30"/>
      <c r="T178" s="43"/>
      <c r="W178" t="str">
        <f t="shared" si="89"/>
        <v>CDPT74-FT-6701 (Export Gas)Fiscal</v>
      </c>
      <c r="X1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79" spans="1:24" ht="12.5" x14ac:dyDescent="0.25">
      <c r="A179" s="10"/>
      <c r="B179" s="19" t="s">
        <v>38</v>
      </c>
      <c r="C179" s="5" t="s">
        <v>65</v>
      </c>
      <c r="D179" s="20" t="s">
        <v>26</v>
      </c>
      <c r="E179" s="35"/>
      <c r="F179" s="29" cm="1">
        <f t="array" ref="F179">IF(V179 &lt;&gt; "", V179, IFERROR(_xlfn.SINGLE(INDEX($G$1:G178,SUMPRODUCT(MAX(($W$1:W178=W179)*(ROW($W$1:W178))))))+IF(D179="Fiscal",30,90),""))</f>
        <v>45793</v>
      </c>
      <c r="G179" s="21">
        <v>45786</v>
      </c>
      <c r="H179" s="15">
        <f t="shared" si="96"/>
        <v>45796</v>
      </c>
      <c r="I179" s="32">
        <v>45787</v>
      </c>
      <c r="J179" s="32" t="s">
        <v>137</v>
      </c>
      <c r="K179" s="15">
        <f t="shared" si="97"/>
        <v>45806</v>
      </c>
      <c r="L179" s="15">
        <v>45797</v>
      </c>
      <c r="M179" s="15">
        <f t="shared" si="98"/>
        <v>45811</v>
      </c>
      <c r="N179" s="13">
        <v>45811</v>
      </c>
      <c r="O179" s="2" t="str">
        <f>IFERROR(IF(tblColetas[[#This Row],[Status Coleta]]="Reprovado","Reprovado",IF(ISERROR(SEARCH("Poço",D179)),IF(N179="","Erro",IF(Q179="Reprovado","",WORKDAY(N179,IF(D179="Operacional",10,3),FERIADOS!$A$3:$A$119))),"-")),"-")</f>
        <v>-</v>
      </c>
      <c r="P179" s="21"/>
      <c r="Q179" s="7" t="s">
        <v>37</v>
      </c>
      <c r="R179" s="13"/>
      <c r="S179" s="30"/>
      <c r="T179" s="43"/>
      <c r="W179" t="str">
        <f t="shared" si="89"/>
        <v>CDPPoço LL-22 (P-8)Poço CG</v>
      </c>
      <c r="X1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0" spans="1:24" ht="12.5" x14ac:dyDescent="0.25">
      <c r="A180" s="10"/>
      <c r="B180" s="19" t="s">
        <v>38</v>
      </c>
      <c r="C180" s="5" t="s">
        <v>65</v>
      </c>
      <c r="D180" s="20" t="s">
        <v>29</v>
      </c>
      <c r="E180" s="35"/>
      <c r="F180" s="29" cm="1">
        <f t="array" ref="F180">IF(V180 &lt;&gt; "", V180, IFERROR(_xlfn.SINGLE(INDEX($G$1:G179,SUMPRODUCT(MAX(($W$1:W179=W180)*(ROW($W$1:W179))))))+IF(D180="Fiscal",30,90),""))</f>
        <v>45793</v>
      </c>
      <c r="G180" s="21">
        <v>45786</v>
      </c>
      <c r="H180" s="15">
        <f t="shared" si="96"/>
        <v>45796</v>
      </c>
      <c r="I180" s="32">
        <v>45787</v>
      </c>
      <c r="J180" s="32" t="s">
        <v>137</v>
      </c>
      <c r="K180" s="15">
        <f t="shared" si="97"/>
        <v>45806</v>
      </c>
      <c r="L180" s="15">
        <v>45797</v>
      </c>
      <c r="M180" s="15">
        <f t="shared" si="98"/>
        <v>45811</v>
      </c>
      <c r="N180" s="13">
        <v>45811</v>
      </c>
      <c r="O180" s="2" t="str">
        <f>IFERROR(IF(tblColetas[[#This Row],[Status Coleta]]="Reprovado","Reprovado",IF(ISERROR(SEARCH("Poço",D180)),IF(N180="","Erro",IF(Q180="Reprovado","",WORKDAY(N180,IF(D180="Operacional",10,3),FERIADOS!$A$3:$A$119))),"-")),"-")</f>
        <v>-</v>
      </c>
      <c r="P180" s="21"/>
      <c r="Q180" s="7" t="s">
        <v>37</v>
      </c>
      <c r="R180" s="13"/>
      <c r="S180" s="30"/>
      <c r="T180" s="43"/>
      <c r="W180" t="str">
        <f t="shared" si="89"/>
        <v>CDPPoço LL-22 (P-8)Poço PVT</v>
      </c>
      <c r="X1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1" spans="1:24" ht="12.5" x14ac:dyDescent="0.25">
      <c r="A181" s="10"/>
      <c r="B181" s="19" t="s">
        <v>46</v>
      </c>
      <c r="C181" s="5" t="s">
        <v>55</v>
      </c>
      <c r="D181" s="20" t="s">
        <v>26</v>
      </c>
      <c r="E181" s="35"/>
      <c r="F181" s="29" cm="1">
        <f t="array" ref="F181">IF(V181 &lt;&gt; "", V181, IFERROR(_xlfn.SINGLE(INDEX($G$1:G180,SUMPRODUCT(MAX(($W$1:W180=W181)*(ROW($W$1:W180))))))+IF(D181="Fiscal",30,90),""))</f>
        <v>45789</v>
      </c>
      <c r="G181" s="21">
        <v>45769</v>
      </c>
      <c r="H181" s="15">
        <f t="shared" si="96"/>
        <v>45779</v>
      </c>
      <c r="I181" s="15">
        <v>45776</v>
      </c>
      <c r="J181" s="32" t="s">
        <v>138</v>
      </c>
      <c r="K181" s="15">
        <f t="shared" si="97"/>
        <v>45789</v>
      </c>
      <c r="L181" s="15">
        <v>45782</v>
      </c>
      <c r="M181" s="15">
        <f t="shared" si="98"/>
        <v>45794</v>
      </c>
      <c r="N181" s="13">
        <v>45793</v>
      </c>
      <c r="O181" s="2" t="str">
        <f>IFERROR(IF(tblColetas[[#This Row],[Status Coleta]]="Reprovado","Reprovado",IF(ISERROR(SEARCH("Poço",D181)),IF(N181="","Erro",IF(Q181="Reprovado","",WORKDAY(N181,IF(D181="Operacional",10,3),FERIADOS!$A$3:$A$119))),"-")),"-")</f>
        <v>Reprovado</v>
      </c>
      <c r="P181" s="21"/>
      <c r="Q181" s="7" t="s">
        <v>81</v>
      </c>
      <c r="R181" s="13"/>
      <c r="S181" s="33" t="s">
        <v>139</v>
      </c>
      <c r="T181" s="43"/>
      <c r="W181" t="str">
        <f t="shared" si="89"/>
        <v>CDMPoço TUP-128 (P-06)Poço CG</v>
      </c>
      <c r="X1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2" spans="1:24" ht="12.5" x14ac:dyDescent="0.25">
      <c r="A182" s="10"/>
      <c r="B182" s="19" t="s">
        <v>46</v>
      </c>
      <c r="C182" s="5" t="s">
        <v>55</v>
      </c>
      <c r="D182" s="20" t="s">
        <v>29</v>
      </c>
      <c r="E182" s="35"/>
      <c r="F182" s="29" cm="1">
        <f t="array" ref="F182">IF(V182 &lt;&gt; "", V182, IFERROR(_xlfn.SINGLE(INDEX($G$1:G181,SUMPRODUCT(MAX(($W$1:W181=W182)*(ROW($W$1:W181))))))+IF(D182="Fiscal",30,90),""))</f>
        <v>45789</v>
      </c>
      <c r="G182" s="21">
        <v>45769</v>
      </c>
      <c r="H182" s="15">
        <f t="shared" si="96"/>
        <v>45779</v>
      </c>
      <c r="I182" s="15">
        <v>45776</v>
      </c>
      <c r="J182" s="32" t="s">
        <v>138</v>
      </c>
      <c r="K182" s="15">
        <f t="shared" si="97"/>
        <v>45789</v>
      </c>
      <c r="L182" s="15">
        <v>45782</v>
      </c>
      <c r="M182" s="15">
        <f t="shared" si="98"/>
        <v>45794</v>
      </c>
      <c r="N182" s="13">
        <v>45793</v>
      </c>
      <c r="O182" s="2" t="str">
        <f>IFERROR(IF(tblColetas[[#This Row],[Status Coleta]]="Reprovado","Reprovado",IF(ISERROR(SEARCH("Poço",D182)),IF(N182="","Erro",IF(Q182="Reprovado","",WORKDAY(N182,IF(D182="Operacional",10,3),FERIADOS!$A$3:$A$119))),"-")),"-")</f>
        <v>-</v>
      </c>
      <c r="P182" s="21"/>
      <c r="Q182" s="7" t="s">
        <v>37</v>
      </c>
      <c r="R182" s="13"/>
      <c r="S182" s="30"/>
      <c r="T182" s="43"/>
      <c r="W182" t="str">
        <f t="shared" si="89"/>
        <v>CDMPoço TUP-128 (P-06)Poço PVT</v>
      </c>
      <c r="X1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3" spans="1:24" ht="12.5" x14ac:dyDescent="0.25">
      <c r="A183" s="10"/>
      <c r="B183" s="19" t="s">
        <v>24</v>
      </c>
      <c r="C183" s="5" t="s">
        <v>101</v>
      </c>
      <c r="D183" s="20" t="s">
        <v>26</v>
      </c>
      <c r="E183" s="35"/>
      <c r="F183" s="29" cm="1">
        <f t="array" ref="F183">IF(V183 &lt;&gt; "", V183, IFERROR(_xlfn.SINGLE(INDEX($G$1:G182,SUMPRODUCT(MAX(($W$1:W182=W183)*(ROW($W$1:W182))))))+IF(D183="Fiscal",30,90),""))</f>
        <v>45789</v>
      </c>
      <c r="G183" s="21">
        <v>45782</v>
      </c>
      <c r="H183" s="15">
        <f t="shared" si="96"/>
        <v>45792</v>
      </c>
      <c r="I183" s="15">
        <v>45782</v>
      </c>
      <c r="J183" s="32" t="s">
        <v>136</v>
      </c>
      <c r="K183" s="15">
        <f t="shared" si="97"/>
        <v>45802</v>
      </c>
      <c r="L183" s="15">
        <v>45792</v>
      </c>
      <c r="M183" s="15">
        <f t="shared" si="98"/>
        <v>45807</v>
      </c>
      <c r="N183" s="13">
        <v>45807</v>
      </c>
      <c r="O183" s="2" t="str">
        <f>IFERROR(IF(tblColetas[[#This Row],[Status Coleta]]="Reprovado","Reprovado",IF(ISERROR(SEARCH("Poço",D183)),IF(N183="","Erro",IF(Q183="Reprovado","",WORKDAY(N183,IF(D183="Operacional",10,3),FERIADOS!$A$3:$A$119))),"-")),"-")</f>
        <v>-</v>
      </c>
      <c r="P183" s="21"/>
      <c r="Q183" s="7"/>
      <c r="R183" s="13"/>
      <c r="S183" s="30"/>
      <c r="T183" s="43"/>
      <c r="W183" t="str">
        <f t="shared" si="89"/>
        <v>CDAPoço 7-BAZ-04Poço CG</v>
      </c>
      <c r="X1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4" spans="1:24" ht="12.5" x14ac:dyDescent="0.25">
      <c r="A184" s="10"/>
      <c r="B184" s="19" t="s">
        <v>24</v>
      </c>
      <c r="C184" s="5" t="s">
        <v>101</v>
      </c>
      <c r="D184" s="20" t="s">
        <v>29</v>
      </c>
      <c r="E184" s="35"/>
      <c r="F184" s="29" cm="1">
        <f t="array" ref="F184">IF(V184 &lt;&gt; "", V184, IFERROR(_xlfn.SINGLE(INDEX($G$1:G183,SUMPRODUCT(MAX(($W$1:W183=W184)*(ROW($W$1:W183))))))+IF(D184="Fiscal",30,90),""))</f>
        <v>45789</v>
      </c>
      <c r="G184" s="21">
        <v>45782</v>
      </c>
      <c r="H184" s="15">
        <f t="shared" si="96"/>
        <v>45792</v>
      </c>
      <c r="I184" s="15">
        <v>45782</v>
      </c>
      <c r="J184" s="32" t="s">
        <v>136</v>
      </c>
      <c r="K184" s="15">
        <f t="shared" si="97"/>
        <v>45802</v>
      </c>
      <c r="L184" s="15">
        <v>45792</v>
      </c>
      <c r="M184" s="15">
        <f t="shared" si="98"/>
        <v>45807</v>
      </c>
      <c r="N184" s="13">
        <v>45807</v>
      </c>
      <c r="O184" s="2" t="str">
        <f>IFERROR(IF(tblColetas[[#This Row],[Status Coleta]]="Reprovado","Reprovado",IF(ISERROR(SEARCH("Poço",D184)),IF(N184="","Erro",IF(Q184="Reprovado","",WORKDAY(N184,IF(D184="Operacional",10,3),FERIADOS!$A$3:$A$119))),"-")),"-")</f>
        <v>-</v>
      </c>
      <c r="P184" s="21"/>
      <c r="Q184" s="7"/>
      <c r="R184" s="13"/>
      <c r="S184" s="30"/>
      <c r="T184" s="43"/>
      <c r="W184" t="str">
        <f t="shared" si="89"/>
        <v>CDAPoço 7-BAZ-04Poço PVT</v>
      </c>
      <c r="X1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5" spans="1:24" ht="12.5" x14ac:dyDescent="0.25">
      <c r="A185" s="10"/>
      <c r="B185" s="19" t="s">
        <v>46</v>
      </c>
      <c r="C185" s="5" t="s">
        <v>63</v>
      </c>
      <c r="D185" s="20" t="s">
        <v>26</v>
      </c>
      <c r="E185" s="35"/>
      <c r="F185" s="29" cm="1">
        <f t="array" ref="F185">IF(V185 &lt;&gt; "", V185, IFERROR(_xlfn.SINGLE(INDEX($G$1:G184,SUMPRODUCT(MAX(($W$1:W184=W185)*(ROW($W$1:W184))))))+IF(D185="Fiscal",30,90),""))</f>
        <v>45792</v>
      </c>
      <c r="G185" s="21">
        <v>45775</v>
      </c>
      <c r="H185" s="15">
        <f t="shared" ref="H185:H190" si="99">IF(G185="","Erro", G185+10)</f>
        <v>45785</v>
      </c>
      <c r="I185" s="15">
        <v>45777</v>
      </c>
      <c r="J185" s="32" t="s">
        <v>140</v>
      </c>
      <c r="K185" s="15">
        <f t="shared" ref="K185:K190" si="100">IF(G185="","Erro",G185+20)</f>
        <v>45795</v>
      </c>
      <c r="L185" s="15">
        <v>45786</v>
      </c>
      <c r="M185" s="15">
        <f t="shared" ref="M185:M190" si="101">IF(G185="","Erro",G185+IF(D185="Operacional",45,25))</f>
        <v>45800</v>
      </c>
      <c r="N185" s="13">
        <v>45800</v>
      </c>
      <c r="O185" s="2" t="str">
        <f>IFERROR(IF(tblColetas[[#This Row],[Status Coleta]]="Reprovado","Reprovado",IF(ISERROR(SEARCH("Poço",D185)),IF(N185="","Erro",IF(Q185="Reprovado","",WORKDAY(N185,IF(D185="Operacional",10,3),FERIADOS!$A$3:$A$119))),"-")),"-")</f>
        <v>-</v>
      </c>
      <c r="P185" s="21"/>
      <c r="Q185" s="7" t="s">
        <v>37</v>
      </c>
      <c r="R185" s="13"/>
      <c r="S185" s="30"/>
      <c r="T185" s="43"/>
      <c r="W185" t="str">
        <f t="shared" si="89"/>
        <v>CDMPoço LL-48 (P-01)Poço CG</v>
      </c>
      <c r="X1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6" spans="1:24" ht="12.5" x14ac:dyDescent="0.25">
      <c r="A186" s="10"/>
      <c r="B186" s="19" t="s">
        <v>46</v>
      </c>
      <c r="C186" s="5" t="s">
        <v>63</v>
      </c>
      <c r="D186" s="20" t="s">
        <v>29</v>
      </c>
      <c r="E186" s="35"/>
      <c r="F186" s="29" cm="1">
        <f t="array" ref="F186">IF(V186 &lt;&gt; "", V186, IFERROR(_xlfn.SINGLE(INDEX($G$1:G185,SUMPRODUCT(MAX(($W$1:W185=W186)*(ROW($W$1:W185))))))+IF(D186="Fiscal",30,90),""))</f>
        <v>45792</v>
      </c>
      <c r="G186" s="21">
        <v>45775</v>
      </c>
      <c r="H186" s="15">
        <f t="shared" si="99"/>
        <v>45785</v>
      </c>
      <c r="I186" s="15">
        <v>45777</v>
      </c>
      <c r="J186" s="32" t="s">
        <v>140</v>
      </c>
      <c r="K186" s="15">
        <f t="shared" si="100"/>
        <v>45795</v>
      </c>
      <c r="L186" s="15">
        <v>45786</v>
      </c>
      <c r="M186" s="15">
        <f t="shared" si="101"/>
        <v>45800</v>
      </c>
      <c r="N186" s="13">
        <v>45800</v>
      </c>
      <c r="O186" s="2" t="str">
        <f>IFERROR(IF(tblColetas[[#This Row],[Status Coleta]]="Reprovado","Reprovado",IF(ISERROR(SEARCH("Poço",D186)),IF(N186="","Erro",IF(Q186="Reprovado","",WORKDAY(N186,IF(D186="Operacional",10,3),FERIADOS!$A$3:$A$119))),"-")),"-")</f>
        <v>-</v>
      </c>
      <c r="P186" s="21"/>
      <c r="Q186" s="7" t="s">
        <v>37</v>
      </c>
      <c r="R186" s="13"/>
      <c r="S186" s="30"/>
      <c r="T186" s="43"/>
      <c r="W186" t="str">
        <f t="shared" si="89"/>
        <v>CDMPoço LL-48 (P-01)Poço PVT</v>
      </c>
      <c r="X1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7" spans="1:24" ht="12.5" x14ac:dyDescent="0.25">
      <c r="A187" s="10"/>
      <c r="B187" s="19" t="s">
        <v>34</v>
      </c>
      <c r="C187" s="5" t="s">
        <v>89</v>
      </c>
      <c r="D187" s="20" t="s">
        <v>26</v>
      </c>
      <c r="E187" s="35"/>
      <c r="F187" s="29" cm="1">
        <f t="array" ref="F187">IF(V187 &lt;&gt; "", V187, IFERROR(_xlfn.SINGLE(INDEX($G$1:G186,SUMPRODUCT(MAX(($W$1:W186=W187)*(ROW($W$1:W186))))))+IF(D187="Fiscal",30,90),""))</f>
        <v>45795</v>
      </c>
      <c r="G187" s="21">
        <v>45730</v>
      </c>
      <c r="H187" s="15">
        <f t="shared" si="99"/>
        <v>45740</v>
      </c>
      <c r="I187" s="15">
        <v>45734</v>
      </c>
      <c r="J187" s="32" t="s">
        <v>141</v>
      </c>
      <c r="K187" s="15">
        <f t="shared" si="100"/>
        <v>45750</v>
      </c>
      <c r="L187" s="15">
        <v>45742</v>
      </c>
      <c r="M187" s="15">
        <f t="shared" si="101"/>
        <v>45755</v>
      </c>
      <c r="N187" s="13">
        <v>45755</v>
      </c>
      <c r="O187" s="2" t="str">
        <f>IFERROR(IF(tblColetas[[#This Row],[Status Coleta]]="Reprovado","Reprovado",IF(ISERROR(SEARCH("Poço",D187)),IF(N187="","Erro",IF(Q187="Reprovado","",WORKDAY(N187,IF(D187="Operacional",10,3),FERIADOS!$A$3:$A$119))),"-")),"-")</f>
        <v>-</v>
      </c>
      <c r="P187" s="21"/>
      <c r="Q187" s="7" t="s">
        <v>37</v>
      </c>
      <c r="R187" s="13"/>
      <c r="S187" s="30"/>
      <c r="T187" s="43"/>
      <c r="W187" t="str">
        <f t="shared" si="89"/>
        <v>CDSPoço LL-46 (P-01)Poço CG</v>
      </c>
      <c r="X1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8" spans="1:24" ht="12.5" x14ac:dyDescent="0.25">
      <c r="A188" s="10"/>
      <c r="B188" s="19" t="s">
        <v>34</v>
      </c>
      <c r="C188" s="5" t="s">
        <v>89</v>
      </c>
      <c r="D188" s="20" t="s">
        <v>29</v>
      </c>
      <c r="E188" s="35"/>
      <c r="F188" s="29" cm="1">
        <f t="array" ref="F188">IF(V188 &lt;&gt; "", V188, IFERROR(_xlfn.SINGLE(INDEX($G$1:G187,SUMPRODUCT(MAX(($W$1:W187=W188)*(ROW($W$1:W187))))))+IF(D188="Fiscal",30,90),""))</f>
        <v>45795</v>
      </c>
      <c r="G188" s="21">
        <v>45730</v>
      </c>
      <c r="H188" s="15">
        <f t="shared" si="99"/>
        <v>45740</v>
      </c>
      <c r="I188" s="15">
        <v>45734</v>
      </c>
      <c r="J188" s="32" t="s">
        <v>141</v>
      </c>
      <c r="K188" s="15">
        <f t="shared" si="100"/>
        <v>45750</v>
      </c>
      <c r="L188" s="15">
        <v>45742</v>
      </c>
      <c r="M188" s="15">
        <f t="shared" si="101"/>
        <v>45755</v>
      </c>
      <c r="N188" s="13">
        <v>45755</v>
      </c>
      <c r="O188" s="2" t="str">
        <f>IFERROR(IF(tblColetas[[#This Row],[Status Coleta]]="Reprovado","Reprovado",IF(ISERROR(SEARCH("Poço",D188)),IF(N188="","Erro",IF(Q188="Reprovado","",WORKDAY(N188,IF(D188="Operacional",10,3),FERIADOS!$A$3:$A$119))),"-")),"-")</f>
        <v>-</v>
      </c>
      <c r="P188" s="21"/>
      <c r="Q188" s="7" t="s">
        <v>37</v>
      </c>
      <c r="R188" s="13"/>
      <c r="S188" s="30"/>
      <c r="T188" s="43"/>
      <c r="W188" t="str">
        <f t="shared" si="89"/>
        <v>CDSPoço LL-46 (P-01)Poço PVT</v>
      </c>
      <c r="X1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89" spans="1:24" ht="12.5" x14ac:dyDescent="0.25">
      <c r="A189" s="10"/>
      <c r="B189" s="19" t="s">
        <v>34</v>
      </c>
      <c r="C189" s="5" t="s">
        <v>67</v>
      </c>
      <c r="D189" s="20" t="s">
        <v>26</v>
      </c>
      <c r="E189" s="35"/>
      <c r="F189" s="29" cm="1">
        <f t="array" ref="F189">IF(V189 &lt;&gt; "", V189, IFERROR(_xlfn.SINGLE(INDEX($G$1:G188,SUMPRODUCT(MAX(($W$1:W188=W189)*(ROW($W$1:W188))))))+IF(D189="Fiscal",30,90),""))</f>
        <v>45791</v>
      </c>
      <c r="G189" s="21">
        <v>45779</v>
      </c>
      <c r="H189" s="15">
        <f t="shared" si="99"/>
        <v>45789</v>
      </c>
      <c r="I189" s="15">
        <v>45784</v>
      </c>
      <c r="J189" s="32" t="s">
        <v>142</v>
      </c>
      <c r="K189" s="15">
        <f t="shared" si="100"/>
        <v>45799</v>
      </c>
      <c r="L189" s="15">
        <v>45791</v>
      </c>
      <c r="M189" s="15">
        <f t="shared" si="101"/>
        <v>45804</v>
      </c>
      <c r="N189" s="13">
        <v>45804</v>
      </c>
      <c r="O189" s="2" t="str">
        <f>IFERROR(IF(tblColetas[[#This Row],[Status Coleta]]="Reprovado","Reprovado",IF(ISERROR(SEARCH("Poço",D189)),IF(N189="","Erro",IF(Q189="Reprovado","",WORKDAY(N189,IF(D189="Operacional",10,3),FERIADOS!$A$3:$A$119))),"-")),"-")</f>
        <v>-</v>
      </c>
      <c r="P189" s="21"/>
      <c r="Q189" s="7" t="s">
        <v>37</v>
      </c>
      <c r="R189" s="13"/>
      <c r="S189" s="30"/>
      <c r="T189" s="43"/>
      <c r="W189" t="str">
        <f t="shared" si="89"/>
        <v>CDSPoço LL-81 (P-09)Poço CG</v>
      </c>
      <c r="X1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0" spans="1:24" ht="12.5" x14ac:dyDescent="0.25">
      <c r="A190" s="10"/>
      <c r="B190" s="19" t="s">
        <v>34</v>
      </c>
      <c r="C190" s="5" t="s">
        <v>67</v>
      </c>
      <c r="D190" s="20" t="s">
        <v>29</v>
      </c>
      <c r="E190" s="35"/>
      <c r="F190" s="29" cm="1">
        <f t="array" ref="F190">IF(V190 &lt;&gt; "", V190, IFERROR(_xlfn.SINGLE(INDEX($G$1:G189,SUMPRODUCT(MAX(($W$1:W189=W190)*(ROW($W$1:W189))))))+IF(D190="Fiscal",30,90),""))</f>
        <v>45791</v>
      </c>
      <c r="G190" s="21">
        <v>45779</v>
      </c>
      <c r="H190" s="15">
        <f t="shared" si="99"/>
        <v>45789</v>
      </c>
      <c r="I190" s="15">
        <v>45784</v>
      </c>
      <c r="J190" s="32" t="s">
        <v>142</v>
      </c>
      <c r="K190" s="15">
        <f t="shared" si="100"/>
        <v>45799</v>
      </c>
      <c r="L190" s="15">
        <v>45791</v>
      </c>
      <c r="M190" s="15">
        <f t="shared" si="101"/>
        <v>45804</v>
      </c>
      <c r="N190" s="13">
        <v>45804</v>
      </c>
      <c r="O190" s="2" t="str">
        <f>IFERROR(IF(tblColetas[[#This Row],[Status Coleta]]="Reprovado","Reprovado",IF(ISERROR(SEARCH("Poço",D190)),IF(N190="","Erro",IF(Q190="Reprovado","",WORKDAY(N190,IF(D190="Operacional",10,3),FERIADOS!$A$3:$A$119))),"-")),"-")</f>
        <v>Reprovado</v>
      </c>
      <c r="P190" s="21"/>
      <c r="Q190" s="7" t="s">
        <v>81</v>
      </c>
      <c r="R190" s="13"/>
      <c r="S190" s="30" t="s">
        <v>143</v>
      </c>
      <c r="T190" s="43"/>
      <c r="W190" t="str">
        <f t="shared" si="89"/>
        <v>CDSPoço LL-81 (P-09)Poço PVT</v>
      </c>
      <c r="X1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1" spans="1:24" ht="12.5" x14ac:dyDescent="0.25">
      <c r="A191" s="10"/>
      <c r="B191" s="19" t="s">
        <v>46</v>
      </c>
      <c r="C191" s="5" t="s">
        <v>92</v>
      </c>
      <c r="D191" s="20" t="s">
        <v>26</v>
      </c>
      <c r="E191" s="35"/>
      <c r="F191" s="29" cm="1">
        <f t="array" ref="F191">IF(V191 &lt;&gt; "", V191, IFERROR(_xlfn.SINGLE(INDEX($G$1:G190,SUMPRODUCT(MAX(($W$1:W190=W191)*(ROW($W$1:W190))))))+IF(D191="Fiscal",30,90),""))</f>
        <v>45796</v>
      </c>
      <c r="G191" s="21">
        <v>45776</v>
      </c>
      <c r="H191" s="15">
        <f t="shared" ref="H191:H204" si="102">IF(G191="","Erro", G191+10)</f>
        <v>45786</v>
      </c>
      <c r="I191" s="15">
        <v>45777</v>
      </c>
      <c r="J191" s="32" t="s">
        <v>144</v>
      </c>
      <c r="K191" s="15">
        <f t="shared" ref="K191:K204" si="103">IF(G191="","Erro",G191+20)</f>
        <v>45796</v>
      </c>
      <c r="L191" s="15">
        <v>45786</v>
      </c>
      <c r="M191" s="15">
        <f t="shared" ref="M191:M204" si="104">IF(G191="","Erro",G191+IF(D191="Operacional",45,25))</f>
        <v>45801</v>
      </c>
      <c r="N191" s="13">
        <v>45800</v>
      </c>
      <c r="O191" s="2" t="str">
        <f>IFERROR(IF(tblColetas[[#This Row],[Status Coleta]]="Reprovado","Reprovado",IF(ISERROR(SEARCH("Poço",D191)),IF(N191="","Erro",IF(Q191="Reprovado","",WORKDAY(N191,IF(D191="Operacional",10,3),FERIADOS!$A$3:$A$119))),"-")),"-")</f>
        <v>-</v>
      </c>
      <c r="P191" s="21"/>
      <c r="Q191" s="7" t="s">
        <v>37</v>
      </c>
      <c r="R191" s="13"/>
      <c r="S191" s="30"/>
      <c r="T191" s="43"/>
      <c r="W191" t="str">
        <f t="shared" si="89"/>
        <v>CDMPoço LL-12 (P-05)Poço CG</v>
      </c>
      <c r="X1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2" spans="1:24" ht="12.5" x14ac:dyDescent="0.25">
      <c r="A192" s="10"/>
      <c r="B192" s="19" t="s">
        <v>46</v>
      </c>
      <c r="C192" s="5" t="s">
        <v>92</v>
      </c>
      <c r="D192" s="20" t="s">
        <v>29</v>
      </c>
      <c r="E192" s="35"/>
      <c r="F192" s="29" cm="1">
        <f t="array" ref="F192">IF(V192 &lt;&gt; "", V192, IFERROR(_xlfn.SINGLE(INDEX($G$1:G191,SUMPRODUCT(MAX(($W$1:W191=W192)*(ROW($W$1:W191))))))+IF(D192="Fiscal",30,90),""))</f>
        <v>45796</v>
      </c>
      <c r="G192" s="21">
        <v>45776</v>
      </c>
      <c r="H192" s="15">
        <f t="shared" si="102"/>
        <v>45786</v>
      </c>
      <c r="I192" s="15">
        <v>45777</v>
      </c>
      <c r="J192" s="32" t="s">
        <v>144</v>
      </c>
      <c r="K192" s="15">
        <f t="shared" si="103"/>
        <v>45796</v>
      </c>
      <c r="L192" s="15">
        <v>45786</v>
      </c>
      <c r="M192" s="15">
        <f t="shared" si="104"/>
        <v>45801</v>
      </c>
      <c r="N192" s="13">
        <v>45800</v>
      </c>
      <c r="O192" s="2" t="str">
        <f>IFERROR(IF(tblColetas[[#This Row],[Status Coleta]]="Reprovado","Reprovado",IF(ISERROR(SEARCH("Poço",D192)),IF(N192="","Erro",IF(Q192="Reprovado","",WORKDAY(N192,IF(D192="Operacional",10,3),FERIADOS!$A$3:$A$119))),"-")),"-")</f>
        <v>-</v>
      </c>
      <c r="P192" s="21"/>
      <c r="Q192" s="7" t="s">
        <v>37</v>
      </c>
      <c r="R192" s="13"/>
      <c r="S192" s="30"/>
      <c r="T192" s="43"/>
      <c r="W192" t="str">
        <f t="shared" si="89"/>
        <v>CDMPoço LL-12 (P-05)Poço PVT</v>
      </c>
      <c r="X1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3" spans="1:24" ht="12.5" x14ac:dyDescent="0.25">
      <c r="A193" s="10"/>
      <c r="B193" s="17" t="s">
        <v>145</v>
      </c>
      <c r="C193" s="6" t="s">
        <v>146</v>
      </c>
      <c r="D193" s="18" t="s">
        <v>72</v>
      </c>
      <c r="E193" s="35"/>
      <c r="F193" s="25" t="str" cm="1">
        <f t="array" ref="F193">IF(V193 &lt;&gt; "", V193, IFERROR(_xlfn.SINGLE(INDEX($G$1:G192,SUMPRODUCT(MAX(($W$1:W192=W193)*(ROW($W$1:W192))))))+IF(D193="Fiscal",30,90),""))</f>
        <v/>
      </c>
      <c r="G193" s="16">
        <v>45707</v>
      </c>
      <c r="H193" s="15">
        <f t="shared" si="102"/>
        <v>45717</v>
      </c>
      <c r="I193" s="15"/>
      <c r="J193" s="32"/>
      <c r="K193" s="15">
        <f t="shared" si="103"/>
        <v>45727</v>
      </c>
      <c r="L193" s="15"/>
      <c r="M193" s="14">
        <f t="shared" si="104"/>
        <v>45732</v>
      </c>
      <c r="N193" s="12">
        <v>45730</v>
      </c>
      <c r="O193" s="1">
        <f>IFERROR(IF(tblColetas[[#This Row],[Status Coleta]]="Reprovado","Reprovado",IF(ISERROR(SEARCH("Poço",D193)),IF(N193="","Erro",IF(Q193="Reprovado","",WORKDAY(N193,IF(D193="Operacional",10,3),FERIADOS!$A$3:$A$119))),"-")),"-")</f>
        <v>45735</v>
      </c>
      <c r="P193" s="16">
        <v>45735</v>
      </c>
      <c r="Q193" s="7"/>
      <c r="R193" s="12"/>
      <c r="S193" s="27"/>
      <c r="T193" s="42"/>
      <c r="W193" t="str">
        <f t="shared" si="89"/>
        <v>ATD777-AP-1403 (Fuel Gas to Flare Stack)Fiscal</v>
      </c>
      <c r="X1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4" spans="1:24" ht="12.5" x14ac:dyDescent="0.25">
      <c r="A194" s="10"/>
      <c r="B194" s="17" t="s">
        <v>145</v>
      </c>
      <c r="C194" s="6" t="s">
        <v>147</v>
      </c>
      <c r="D194" s="18" t="s">
        <v>72</v>
      </c>
      <c r="E194" s="35"/>
      <c r="F194" s="25" t="str" cm="1">
        <f t="array" ref="F194">IF(V194 &lt;&gt; "", V194, IFERROR(_xlfn.SINGLE(INDEX($G$1:G193,SUMPRODUCT(MAX(($W$1:W193=W194)*(ROW($W$1:W193))))))+IF(D194="Fiscal",30,90),""))</f>
        <v/>
      </c>
      <c r="G194" s="16">
        <v>45707</v>
      </c>
      <c r="H194" s="15">
        <f t="shared" si="102"/>
        <v>45717</v>
      </c>
      <c r="I194" s="15"/>
      <c r="J194" s="32"/>
      <c r="K194" s="15">
        <f t="shared" si="103"/>
        <v>45727</v>
      </c>
      <c r="L194" s="15"/>
      <c r="M194" s="14">
        <f t="shared" si="104"/>
        <v>45732</v>
      </c>
      <c r="N194" s="12">
        <v>45730</v>
      </c>
      <c r="O194" s="1">
        <f>IFERROR(IF(tblColetas[[#This Row],[Status Coleta]]="Reprovado","Reprovado",IF(ISERROR(SEARCH("Poço",D194)),IF(N194="","Erro",IF(Q194="Reprovado","",WORKDAY(N194,IF(D194="Operacional",10,3),FERIADOS!$A$3:$A$119))),"-")),"-")</f>
        <v>45735</v>
      </c>
      <c r="P194" s="16">
        <v>45735</v>
      </c>
      <c r="Q194" s="7"/>
      <c r="R194" s="12"/>
      <c r="S194" s="27"/>
      <c r="T194" s="42"/>
      <c r="W194" t="str">
        <f t="shared" si="89"/>
        <v>ATD777-AP-1506 (Fuel Gas)Fiscal</v>
      </c>
      <c r="X1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5" spans="1:24" ht="12.5" x14ac:dyDescent="0.25">
      <c r="A195" s="10"/>
      <c r="B195" s="17" t="s">
        <v>145</v>
      </c>
      <c r="C195" s="6" t="s">
        <v>148</v>
      </c>
      <c r="D195" s="18" t="s">
        <v>72</v>
      </c>
      <c r="E195" s="35"/>
      <c r="F195" s="25" t="str" cm="1">
        <f t="array" ref="F195">IF(V195 &lt;&gt; "", V195, IFERROR(_xlfn.SINGLE(INDEX($G$1:G194,SUMPRODUCT(MAX(($W$1:W194=W195)*(ROW($W$1:W194))))))+IF(D195="Fiscal",30,90),""))</f>
        <v/>
      </c>
      <c r="G195" s="16">
        <v>45707</v>
      </c>
      <c r="H195" s="15">
        <f t="shared" si="102"/>
        <v>45717</v>
      </c>
      <c r="I195" s="15"/>
      <c r="J195" s="32"/>
      <c r="K195" s="15">
        <f t="shared" si="103"/>
        <v>45727</v>
      </c>
      <c r="L195" s="15"/>
      <c r="M195" s="14">
        <f t="shared" si="104"/>
        <v>45732</v>
      </c>
      <c r="N195" s="12">
        <v>45730</v>
      </c>
      <c r="O195" s="1">
        <f>IFERROR(IF(tblColetas[[#This Row],[Status Coleta]]="Reprovado","Reprovado",IF(ISERROR(SEARCH("Poço",D195)),IF(N195="","Erro",IF(Q195="Reprovado","",WORKDAY(N195,IF(D195="Operacional",10,3),FERIADOS!$A$3:$A$119))),"-")),"-")</f>
        <v>45735</v>
      </c>
      <c r="P195" s="16">
        <v>45735</v>
      </c>
      <c r="Q195" s="7"/>
      <c r="R195" s="12"/>
      <c r="S195" s="27"/>
      <c r="T195" s="42"/>
      <c r="W195" t="str">
        <f t="shared" si="89"/>
        <v>ATD776-AP-0018-2 (HP Flare)Fiscal</v>
      </c>
      <c r="X1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6" spans="1:24" ht="12.5" x14ac:dyDescent="0.25">
      <c r="A196" s="10"/>
      <c r="B196" s="17" t="s">
        <v>145</v>
      </c>
      <c r="C196" s="6" t="s">
        <v>149</v>
      </c>
      <c r="D196" s="18" t="s">
        <v>72</v>
      </c>
      <c r="E196" s="35"/>
      <c r="F196" s="25" t="str" cm="1">
        <f t="array" ref="F196">IF(V196 &lt;&gt; "", V196, IFERROR(_xlfn.SINGLE(INDEX($G$1:G195,SUMPRODUCT(MAX(($W$1:W195=W196)*(ROW($W$1:W195))))))+IF(D196="Fiscal",30,90),""))</f>
        <v/>
      </c>
      <c r="G196" s="16">
        <v>45707</v>
      </c>
      <c r="H196" s="15">
        <f t="shared" si="102"/>
        <v>45717</v>
      </c>
      <c r="I196" s="15"/>
      <c r="J196" s="32"/>
      <c r="K196" s="15">
        <f t="shared" si="103"/>
        <v>45727</v>
      </c>
      <c r="L196" s="15"/>
      <c r="M196" s="14">
        <f t="shared" si="104"/>
        <v>45732</v>
      </c>
      <c r="N196" s="12">
        <v>45730</v>
      </c>
      <c r="O196" s="1" t="str">
        <f>IFERROR(IF(tblColetas[[#This Row],[Status Coleta]]="Reprovado","Reprovado",IF(ISERROR(SEARCH("Poço",D196)),IF(N196="","Erro",IF(Q196="Reprovado","",WORKDAY(N196,IF(D196="Operacional",10,3),FERIADOS!$A$3:$A$119))),"-")),"-")</f>
        <v>Reprovado</v>
      </c>
      <c r="P196" s="16"/>
      <c r="Q196" s="7" t="s">
        <v>81</v>
      </c>
      <c r="R196" s="12"/>
      <c r="S196" s="28" t="s">
        <v>150</v>
      </c>
      <c r="T196" s="42"/>
      <c r="W196" t="str">
        <f t="shared" si="89"/>
        <v>ATD776-AP-0036-2 (LP Flare)Fiscal</v>
      </c>
      <c r="X1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7" spans="1:24" ht="12.5" x14ac:dyDescent="0.25">
      <c r="A197" s="10"/>
      <c r="B197" s="17" t="s">
        <v>145</v>
      </c>
      <c r="C197" s="6" t="s">
        <v>151</v>
      </c>
      <c r="D197" s="18" t="s">
        <v>72</v>
      </c>
      <c r="E197" s="35"/>
      <c r="F197" s="25" t="str" cm="1">
        <f t="array" ref="F197">IF(V197 &lt;&gt; "", V197, IFERROR(_xlfn.SINGLE(INDEX($G$1:G196,SUMPRODUCT(MAX(($W$1:W196=W197)*(ROW($W$1:W196))))))+IF(D197="Fiscal",30,90),""))</f>
        <v/>
      </c>
      <c r="G197" s="16">
        <v>45707</v>
      </c>
      <c r="H197" s="15">
        <f t="shared" si="102"/>
        <v>45717</v>
      </c>
      <c r="I197" s="15"/>
      <c r="J197" s="32"/>
      <c r="K197" s="15">
        <f t="shared" si="103"/>
        <v>45727</v>
      </c>
      <c r="L197" s="15"/>
      <c r="M197" s="14">
        <f t="shared" si="104"/>
        <v>45732</v>
      </c>
      <c r="N197" s="12">
        <v>45730</v>
      </c>
      <c r="O197" s="1">
        <f>IFERROR(IF(tblColetas[[#This Row],[Status Coleta]]="Reprovado","Reprovado",IF(ISERROR(SEARCH("Poço",D197)),IF(N197="","Erro",IF(Q197="Reprovado","",WORKDAY(N197,IF(D197="Operacional",10,3),FERIADOS!$A$3:$A$119))),"-")),"-")</f>
        <v>45735</v>
      </c>
      <c r="P197" s="16">
        <v>45735</v>
      </c>
      <c r="Q197" s="7"/>
      <c r="R197" s="12"/>
      <c r="S197" s="27"/>
      <c r="T197" s="42"/>
      <c r="W197" t="str">
        <f t="shared" si="89"/>
        <v>ATD776-AP-7001 (Flare Assist)Fiscal</v>
      </c>
      <c r="X1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8" spans="1:24" ht="12.5" x14ac:dyDescent="0.25">
      <c r="A198" s="10"/>
      <c r="B198" s="19" t="s">
        <v>145</v>
      </c>
      <c r="C198" s="5" t="s">
        <v>146</v>
      </c>
      <c r="D198" s="20" t="s">
        <v>72</v>
      </c>
      <c r="E198" s="35"/>
      <c r="F198" s="29" cm="1">
        <f t="array" ref="F198">IF(V198 &lt;&gt; "", V198, IFERROR(_xlfn.SINGLE(INDEX($G$1:G197,SUMPRODUCT(MAX(($W$1:W197=W198)*(ROW($W$1:W197))))))+IF(D198="Fiscal",30,90),""))</f>
        <v>45737</v>
      </c>
      <c r="G198" s="21">
        <v>45735</v>
      </c>
      <c r="H198" s="15">
        <f t="shared" si="102"/>
        <v>45745</v>
      </c>
      <c r="I198" s="15"/>
      <c r="J198" s="32"/>
      <c r="K198" s="15">
        <f t="shared" si="103"/>
        <v>45755</v>
      </c>
      <c r="L198" s="15"/>
      <c r="M198" s="15">
        <f t="shared" si="104"/>
        <v>45760</v>
      </c>
      <c r="N198" s="13">
        <v>45758</v>
      </c>
      <c r="O198" s="2" t="str">
        <f>IFERROR(IF(tblColetas[[#This Row],[Status Coleta]]="Reprovado","Reprovado",IF(ISERROR(SEARCH("Poço",D198)),IF(N198="","Erro",IF(Q198="Reprovado","",WORKDAY(N198,IF(D198="Operacional",10,3),FERIADOS!$A$3:$A$119))),"-")),"-")</f>
        <v>Reprovado</v>
      </c>
      <c r="P198" s="21"/>
      <c r="Q198" s="7" t="s">
        <v>81</v>
      </c>
      <c r="R198" s="13"/>
      <c r="S198" s="33" t="s">
        <v>152</v>
      </c>
      <c r="T198" s="43"/>
      <c r="W198" t="str">
        <f t="shared" si="89"/>
        <v>ATD777-AP-1403 (Fuel Gas to Flare Stack)Fiscal</v>
      </c>
      <c r="X1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99" spans="1:24" ht="12.5" x14ac:dyDescent="0.25">
      <c r="A199" s="10"/>
      <c r="B199" s="19" t="s">
        <v>145</v>
      </c>
      <c r="C199" s="5" t="s">
        <v>147</v>
      </c>
      <c r="D199" s="20" t="s">
        <v>72</v>
      </c>
      <c r="E199" s="35"/>
      <c r="F199" s="29" cm="1">
        <f t="array" ref="F199">IF(V199 &lt;&gt; "", V199, IFERROR(_xlfn.SINGLE(INDEX($G$1:G198,SUMPRODUCT(MAX(($W$1:W198=W199)*(ROW($W$1:W198))))))+IF(D199="Fiscal",30,90),""))</f>
        <v>45737</v>
      </c>
      <c r="G199" s="21">
        <v>45735</v>
      </c>
      <c r="H199" s="15">
        <f t="shared" si="102"/>
        <v>45745</v>
      </c>
      <c r="I199" s="15"/>
      <c r="J199" s="32"/>
      <c r="K199" s="15">
        <f t="shared" si="103"/>
        <v>45755</v>
      </c>
      <c r="L199" s="15"/>
      <c r="M199" s="15">
        <f t="shared" si="104"/>
        <v>45760</v>
      </c>
      <c r="N199" s="13">
        <v>45758</v>
      </c>
      <c r="O199" s="2">
        <f>IFERROR(IF(tblColetas[[#This Row],[Status Coleta]]="Reprovado","Reprovado",IF(ISERROR(SEARCH("Poço",D199)),IF(N199="","Erro",IF(Q199="Reprovado","",WORKDAY(N199,IF(D199="Operacional",10,3),FERIADOS!$A$3:$A$119))),"-")),"-")</f>
        <v>45763</v>
      </c>
      <c r="P199" s="21">
        <v>45763</v>
      </c>
      <c r="Q199" s="7" t="s">
        <v>37</v>
      </c>
      <c r="R199" s="13"/>
      <c r="S199" s="30"/>
      <c r="T199" s="43"/>
      <c r="W199" t="str">
        <f t="shared" si="89"/>
        <v>ATD777-AP-1506 (Fuel Gas)Fiscal</v>
      </c>
      <c r="X1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0" spans="1:24" ht="12.5" x14ac:dyDescent="0.25">
      <c r="A200" s="10"/>
      <c r="B200" s="19" t="s">
        <v>145</v>
      </c>
      <c r="C200" s="5" t="s">
        <v>148</v>
      </c>
      <c r="D200" s="20" t="s">
        <v>72</v>
      </c>
      <c r="E200" s="35"/>
      <c r="F200" s="29" cm="1">
        <f t="array" ref="F200">IF(V200 &lt;&gt; "", V200, IFERROR(_xlfn.SINGLE(INDEX($G$1:G199,SUMPRODUCT(MAX(($W$1:W199=W200)*(ROW($W$1:W199))))))+IF(D200="Fiscal",30,90),""))</f>
        <v>45737</v>
      </c>
      <c r="G200" s="21">
        <v>45735</v>
      </c>
      <c r="H200" s="15">
        <f t="shared" si="102"/>
        <v>45745</v>
      </c>
      <c r="I200" s="15"/>
      <c r="J200" s="32"/>
      <c r="K200" s="15">
        <f t="shared" si="103"/>
        <v>45755</v>
      </c>
      <c r="L200" s="15"/>
      <c r="M200" s="15">
        <f t="shared" si="104"/>
        <v>45760</v>
      </c>
      <c r="N200" s="13">
        <v>45758</v>
      </c>
      <c r="O200" s="2" t="str">
        <f>IFERROR(IF(tblColetas[[#This Row],[Status Coleta]]="Reprovado","Reprovado",IF(ISERROR(SEARCH("Poço",D200)),IF(N200="","Erro",IF(Q200="Reprovado","",WORKDAY(N200,IF(D200="Operacional",10,3),FERIADOS!$A$3:$A$119))),"-")),"-")</f>
        <v>Reprovado</v>
      </c>
      <c r="P200" s="21"/>
      <c r="Q200" s="7" t="s">
        <v>81</v>
      </c>
      <c r="R200" s="13"/>
      <c r="S200" s="33" t="s">
        <v>153</v>
      </c>
      <c r="T200" s="43"/>
      <c r="W200" t="str">
        <f t="shared" si="89"/>
        <v>ATD776-AP-0018-2 (HP Flare)Fiscal</v>
      </c>
      <c r="X2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1" spans="1:24" ht="12.5" x14ac:dyDescent="0.25">
      <c r="A201" s="10"/>
      <c r="B201" s="19" t="s">
        <v>145</v>
      </c>
      <c r="C201" s="5" t="s">
        <v>149</v>
      </c>
      <c r="D201" s="20" t="s">
        <v>72</v>
      </c>
      <c r="E201" s="35"/>
      <c r="F201" s="29" cm="1">
        <f t="array" ref="F201">IF(V201 &lt;&gt; "", V201, IFERROR(_xlfn.SINGLE(INDEX($G$1:G200,SUMPRODUCT(MAX(($W$1:W200=W201)*(ROW($W$1:W200))))))+IF(D201="Fiscal",30,90),""))</f>
        <v>45737</v>
      </c>
      <c r="G201" s="21">
        <v>45735</v>
      </c>
      <c r="H201" s="15">
        <f t="shared" si="102"/>
        <v>45745</v>
      </c>
      <c r="I201" s="15"/>
      <c r="J201" s="32"/>
      <c r="K201" s="15">
        <f t="shared" si="103"/>
        <v>45755</v>
      </c>
      <c r="L201" s="15"/>
      <c r="M201" s="15">
        <f t="shared" si="104"/>
        <v>45760</v>
      </c>
      <c r="N201" s="13">
        <v>45758</v>
      </c>
      <c r="O201" s="2">
        <f>IFERROR(IF(tblColetas[[#This Row],[Status Coleta]]="Reprovado","Reprovado",IF(ISERROR(SEARCH("Poço",D201)),IF(N201="","Erro",IF(Q201="Reprovado","",WORKDAY(N201,IF(D201="Operacional",10,3),FERIADOS!$A$3:$A$119))),"-")),"-")</f>
        <v>45763</v>
      </c>
      <c r="P201" s="21">
        <v>45763</v>
      </c>
      <c r="Q201" s="7" t="s">
        <v>37</v>
      </c>
      <c r="R201" s="13"/>
      <c r="S201" s="30"/>
      <c r="T201" s="43"/>
      <c r="W201" t="str">
        <f t="shared" si="89"/>
        <v>ATD776-AP-0036-2 (LP Flare)Fiscal</v>
      </c>
      <c r="X2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2" spans="1:24" ht="12.5" x14ac:dyDescent="0.25">
      <c r="A202" s="10"/>
      <c r="B202" s="19" t="s">
        <v>145</v>
      </c>
      <c r="C202" s="5" t="s">
        <v>151</v>
      </c>
      <c r="D202" s="20" t="s">
        <v>72</v>
      </c>
      <c r="E202" s="35"/>
      <c r="F202" s="29" cm="1">
        <f t="array" ref="F202">IF(V202 &lt;&gt; "", V202, IFERROR(_xlfn.SINGLE(INDEX($G$1:G201,SUMPRODUCT(MAX(($W$1:W201=W202)*(ROW($W$1:W201))))))+IF(D202="Fiscal",30,90),""))</f>
        <v>45737</v>
      </c>
      <c r="G202" s="21">
        <v>45735</v>
      </c>
      <c r="H202" s="15">
        <f t="shared" si="102"/>
        <v>45745</v>
      </c>
      <c r="I202" s="15"/>
      <c r="J202" s="32"/>
      <c r="K202" s="15">
        <f t="shared" si="103"/>
        <v>45755</v>
      </c>
      <c r="L202" s="15"/>
      <c r="M202" s="15">
        <f t="shared" si="104"/>
        <v>45760</v>
      </c>
      <c r="N202" s="13">
        <v>45758</v>
      </c>
      <c r="O202" s="2" t="str">
        <f>IFERROR(IF(tblColetas[[#This Row],[Status Coleta]]="Reprovado","Reprovado",IF(ISERROR(SEARCH("Poço",D202)),IF(N202="","Erro",IF(Q202="Reprovado","",WORKDAY(N202,IF(D202="Operacional",10,3),FERIADOS!$A$3:$A$119))),"-")),"-")</f>
        <v>Reprovado</v>
      </c>
      <c r="P202" s="21"/>
      <c r="Q202" s="7" t="s">
        <v>81</v>
      </c>
      <c r="R202" s="13"/>
      <c r="S202" s="33" t="s">
        <v>152</v>
      </c>
      <c r="T202" s="43"/>
      <c r="W202" t="str">
        <f t="shared" si="89"/>
        <v>ATD776-AP-7001 (Flare Assist)Fiscal</v>
      </c>
      <c r="X2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3" spans="1:24" ht="12.5" x14ac:dyDescent="0.25">
      <c r="A203" s="10"/>
      <c r="B203" s="19" t="s">
        <v>38</v>
      </c>
      <c r="C203" s="5" t="s">
        <v>96</v>
      </c>
      <c r="D203" s="20" t="s">
        <v>26</v>
      </c>
      <c r="E203" s="35"/>
      <c r="F203" s="29" cm="1">
        <f t="array" ref="F203">IF(V203 &lt;&gt; "", V203, IFERROR(_xlfn.SINGLE(INDEX($G$1:G202,SUMPRODUCT(MAX(($W$1:W202=W203)*(ROW($W$1:W202))))))+IF(D203="Fiscal",30,90),""))</f>
        <v>45799</v>
      </c>
      <c r="G203" s="21">
        <v>45791</v>
      </c>
      <c r="H203" s="15">
        <f t="shared" si="102"/>
        <v>45801</v>
      </c>
      <c r="I203" s="15">
        <v>45797</v>
      </c>
      <c r="J203" s="32" t="s">
        <v>154</v>
      </c>
      <c r="K203" s="15">
        <f t="shared" si="103"/>
        <v>45811</v>
      </c>
      <c r="L203" s="15">
        <v>45804</v>
      </c>
      <c r="M203" s="15">
        <f t="shared" si="104"/>
        <v>45816</v>
      </c>
      <c r="N203" s="13">
        <v>45814</v>
      </c>
      <c r="O203" s="2" t="str">
        <f>IFERROR(IF(tblColetas[[#This Row],[Status Coleta]]="Reprovado","Reprovado",IF(ISERROR(SEARCH("Poço",D203)),IF(N203="","Erro",IF(Q203="Reprovado","",WORKDAY(N203,IF(D203="Operacional",10,3),FERIADOS!$A$3:$A$119))),"-")),"-")</f>
        <v>-</v>
      </c>
      <c r="P203" s="21"/>
      <c r="Q203" s="7" t="s">
        <v>37</v>
      </c>
      <c r="R203" s="13"/>
      <c r="S203" s="30"/>
      <c r="T203" s="43"/>
      <c r="W203" t="str">
        <f t="shared" si="89"/>
        <v>CDPPoço TUP-120 (P-7)Poço CG</v>
      </c>
      <c r="X2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4" spans="1:24" ht="12.5" x14ac:dyDescent="0.25">
      <c r="A204" s="10"/>
      <c r="B204" s="19" t="s">
        <v>38</v>
      </c>
      <c r="C204" s="5" t="s">
        <v>96</v>
      </c>
      <c r="D204" s="20" t="s">
        <v>29</v>
      </c>
      <c r="E204" s="35"/>
      <c r="F204" s="29" cm="1">
        <f t="array" ref="F204">IF(V204 &lt;&gt; "", V204, IFERROR(_xlfn.SINGLE(INDEX($G$1:G203,SUMPRODUCT(MAX(($W$1:W203=W204)*(ROW($W$1:W203))))))+IF(D204="Fiscal",30,90),""))</f>
        <v>45799</v>
      </c>
      <c r="G204" s="21">
        <v>45791</v>
      </c>
      <c r="H204" s="15">
        <f t="shared" si="102"/>
        <v>45801</v>
      </c>
      <c r="I204" s="15">
        <v>45797</v>
      </c>
      <c r="J204" s="32" t="s">
        <v>154</v>
      </c>
      <c r="K204" s="15">
        <f t="shared" si="103"/>
        <v>45811</v>
      </c>
      <c r="L204" s="15">
        <v>45804</v>
      </c>
      <c r="M204" s="15">
        <f t="shared" si="104"/>
        <v>45816</v>
      </c>
      <c r="N204" s="13">
        <v>45814</v>
      </c>
      <c r="O204" s="2" t="str">
        <f>IFERROR(IF(tblColetas[[#This Row],[Status Coleta]]="Reprovado","Reprovado",IF(ISERROR(SEARCH("Poço",D204)),IF(N204="","Erro",IF(Q204="Reprovado","",WORKDAY(N204,IF(D204="Operacional",10,3),FERIADOS!$A$3:$A$119))),"-")),"-")</f>
        <v>-</v>
      </c>
      <c r="P204" s="21"/>
      <c r="Q204" s="7" t="s">
        <v>37</v>
      </c>
      <c r="R204" s="13"/>
      <c r="S204" s="30"/>
      <c r="T204" s="43"/>
      <c r="W204" t="str">
        <f t="shared" si="89"/>
        <v>CDPPoço TUP-120 (P-7)Poço PVT</v>
      </c>
      <c r="X2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5" spans="1:24" ht="12.5" x14ac:dyDescent="0.25">
      <c r="A205" s="10"/>
      <c r="B205" s="19" t="s">
        <v>46</v>
      </c>
      <c r="C205" s="5" t="s">
        <v>93</v>
      </c>
      <c r="D205" s="20" t="s">
        <v>26</v>
      </c>
      <c r="E205" s="35"/>
      <c r="F205" s="29" cm="1">
        <f t="array" ref="F205">IF(V205 &lt;&gt; "", V205, IFERROR(_xlfn.SINGLE(INDEX($G$1:G204,SUMPRODUCT(MAX(($W$1:W204=W205)*(ROW($W$1:W204))))))+IF(D205="Fiscal",30,90),""))</f>
        <v>45803</v>
      </c>
      <c r="G205" s="21">
        <v>45783</v>
      </c>
      <c r="H205" s="15">
        <f t="shared" ref="H205:H211" si="105">IF(G205="","Erro", G205+10)</f>
        <v>45793</v>
      </c>
      <c r="I205" s="15">
        <v>45790</v>
      </c>
      <c r="J205" s="32" t="s">
        <v>155</v>
      </c>
      <c r="K205" s="15">
        <f t="shared" ref="K205:K211" si="106">IF(G205="","Erro",G205+20)</f>
        <v>45803</v>
      </c>
      <c r="L205" s="15">
        <v>45797</v>
      </c>
      <c r="M205" s="15">
        <f t="shared" ref="M205:M211" si="107">IF(G205="","Erro",G205+IF(D205="Operacional",45,25))</f>
        <v>45808</v>
      </c>
      <c r="N205" s="13">
        <v>45807</v>
      </c>
      <c r="O205" s="2" t="str">
        <f>IFERROR(IF(tblColetas[[#This Row],[Status Coleta]]="Reprovado","Reprovado",IF(ISERROR(SEARCH("Poço",D205)),IF(N205="","Erro",IF(Q205="Reprovado","",WORKDAY(N205,IF(D205="Operacional",10,3),FERIADOS!$A$3:$A$119))),"-")),"-")</f>
        <v>-</v>
      </c>
      <c r="P205" s="21"/>
      <c r="Q205" s="7" t="s">
        <v>37</v>
      </c>
      <c r="R205" s="13"/>
      <c r="S205" s="30"/>
      <c r="T205" s="43"/>
      <c r="W205" t="str">
        <f t="shared" si="89"/>
        <v>CDMPoço LL-61 (P-16)Poço CG</v>
      </c>
      <c r="X2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6" spans="1:24" ht="12.5" x14ac:dyDescent="0.25">
      <c r="A206" s="10"/>
      <c r="B206" s="19" t="s">
        <v>46</v>
      </c>
      <c r="C206" s="5" t="s">
        <v>93</v>
      </c>
      <c r="D206" s="20" t="s">
        <v>29</v>
      </c>
      <c r="E206" s="35"/>
      <c r="F206" s="29" cm="1">
        <f t="array" ref="F206">IF(V206 &lt;&gt; "", V206, IFERROR(_xlfn.SINGLE(INDEX($G$1:G205,SUMPRODUCT(MAX(($W$1:W205=W206)*(ROW($W$1:W205))))))+IF(D206="Fiscal",30,90),""))</f>
        <v>45803</v>
      </c>
      <c r="G206" s="21">
        <v>45783</v>
      </c>
      <c r="H206" s="15">
        <f t="shared" si="105"/>
        <v>45793</v>
      </c>
      <c r="I206" s="15">
        <v>45790</v>
      </c>
      <c r="J206" s="32" t="s">
        <v>155</v>
      </c>
      <c r="K206" s="15">
        <f t="shared" si="106"/>
        <v>45803</v>
      </c>
      <c r="L206" s="15">
        <v>45797</v>
      </c>
      <c r="M206" s="15">
        <f t="shared" si="107"/>
        <v>45808</v>
      </c>
      <c r="N206" s="13">
        <v>45807</v>
      </c>
      <c r="O206" s="2" t="str">
        <f>IFERROR(IF(tblColetas[[#This Row],[Status Coleta]]="Reprovado","Reprovado",IF(ISERROR(SEARCH("Poço",D206)),IF(N206="","Erro",IF(Q206="Reprovado","",WORKDAY(N206,IF(D206="Operacional",10,3),FERIADOS!$A$3:$A$119))),"-")),"-")</f>
        <v>-</v>
      </c>
      <c r="P206" s="21"/>
      <c r="Q206" s="7" t="s">
        <v>37</v>
      </c>
      <c r="R206" s="13"/>
      <c r="S206" s="30"/>
      <c r="T206" s="43"/>
      <c r="W206" t="str">
        <f t="shared" si="89"/>
        <v>CDMPoço LL-61 (P-16)Poço PVT</v>
      </c>
      <c r="X2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7" spans="1:24" ht="12.5" x14ac:dyDescent="0.25">
      <c r="A207" s="10"/>
      <c r="B207" s="19" t="s">
        <v>31</v>
      </c>
      <c r="C207" s="5" t="s">
        <v>122</v>
      </c>
      <c r="D207" s="20" t="s">
        <v>72</v>
      </c>
      <c r="E207" s="35"/>
      <c r="F207" s="29" cm="1">
        <f t="array" ref="F207">IF(V207 &lt;&gt; "", V207, IFERROR(_xlfn.SINGLE(INDEX($G$1:G206,SUMPRODUCT(MAX(($W$1:W206=W207)*(ROW($W$1:W206))))))+IF(D207="Fiscal",30,90),""))</f>
        <v>45738</v>
      </c>
      <c r="G207" s="21">
        <v>45737</v>
      </c>
      <c r="H207" s="15">
        <f t="shared" si="105"/>
        <v>45747</v>
      </c>
      <c r="I207" s="15"/>
      <c r="J207" s="32"/>
      <c r="K207" s="15">
        <f t="shared" si="106"/>
        <v>45757</v>
      </c>
      <c r="L207" s="15"/>
      <c r="M207" s="15">
        <f t="shared" si="107"/>
        <v>45762</v>
      </c>
      <c r="N207" s="13">
        <v>45762</v>
      </c>
      <c r="O207" s="2">
        <f>IFERROR(IF(tblColetas[[#This Row],[Status Coleta]]="Reprovado","Reprovado",IF(ISERROR(SEARCH("Poço",D207)),IF(N207="","Erro",IF(Q207="Reprovado","",WORKDAY(N207,IF(D207="Operacional",10,3),FERIADOS!$A$3:$A$119))),"-")),"-")</f>
        <v>45769</v>
      </c>
      <c r="P207" s="21">
        <v>45763</v>
      </c>
      <c r="Q207" s="7" t="s">
        <v>37</v>
      </c>
      <c r="R207" s="13"/>
      <c r="S207" s="30"/>
      <c r="T207" s="43"/>
      <c r="W207" t="str">
        <f t="shared" si="89"/>
        <v>CDIT77-FT-6911 (Export gas)Fiscal</v>
      </c>
      <c r="X2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8" spans="1:24" ht="12.5" x14ac:dyDescent="0.25">
      <c r="A208" s="10"/>
      <c r="B208" s="19" t="s">
        <v>31</v>
      </c>
      <c r="C208" s="5" t="s">
        <v>71</v>
      </c>
      <c r="D208" s="20" t="s">
        <v>72</v>
      </c>
      <c r="E208" s="35"/>
      <c r="F208" s="29" cm="1">
        <f t="array" ref="F208">IF(V208 &lt;&gt; "", V208, IFERROR(_xlfn.SINGLE(INDEX($G$1:G207,SUMPRODUCT(MAX(($W$1:W207=W208)*(ROW($W$1:W207))))))+IF(D208="Fiscal",30,90),""))</f>
        <v>45738</v>
      </c>
      <c r="G208" s="21">
        <v>45737</v>
      </c>
      <c r="H208" s="15">
        <f t="shared" si="105"/>
        <v>45747</v>
      </c>
      <c r="I208" s="15"/>
      <c r="J208" s="32"/>
      <c r="K208" s="15">
        <f t="shared" si="106"/>
        <v>45757</v>
      </c>
      <c r="L208" s="15"/>
      <c r="M208" s="15">
        <f t="shared" si="107"/>
        <v>45762</v>
      </c>
      <c r="N208" s="13">
        <v>45762</v>
      </c>
      <c r="O208" s="2">
        <f>IFERROR(IF(tblColetas[[#This Row],[Status Coleta]]="Reprovado","Reprovado",IF(ISERROR(SEARCH("Poço",D208)),IF(N208="","Erro",IF(Q208="Reprovado","",WORKDAY(N208,IF(D208="Operacional",10,3),FERIADOS!$A$3:$A$119))),"-")),"-")</f>
        <v>45769</v>
      </c>
      <c r="P208" s="21">
        <v>45763</v>
      </c>
      <c r="Q208" s="7" t="s">
        <v>37</v>
      </c>
      <c r="R208" s="13"/>
      <c r="S208" s="30"/>
      <c r="T208" s="43"/>
      <c r="W208" t="str">
        <f t="shared" si="89"/>
        <v>CDIT77-FT-0103 (Fuel Gas)Fiscal</v>
      </c>
      <c r="X2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09" spans="1:24" ht="12.5" x14ac:dyDescent="0.25">
      <c r="A209" s="10"/>
      <c r="B209" s="19" t="s">
        <v>31</v>
      </c>
      <c r="C209" s="5" t="s">
        <v>74</v>
      </c>
      <c r="D209" s="20" t="s">
        <v>72</v>
      </c>
      <c r="E209" s="35"/>
      <c r="F209" s="29" cm="1">
        <f t="array" ref="F209">IF(V209 &lt;&gt; "", V209, IFERROR(_xlfn.SINGLE(INDEX($G$1:G208,SUMPRODUCT(MAX(($W$1:W208=W209)*(ROW($W$1:W208))))))+IF(D209="Fiscal",30,90),""))</f>
        <v>45738</v>
      </c>
      <c r="G209" s="21">
        <v>45737</v>
      </c>
      <c r="H209" s="15">
        <f t="shared" si="105"/>
        <v>45747</v>
      </c>
      <c r="I209" s="15"/>
      <c r="J209" s="32"/>
      <c r="K209" s="15">
        <f t="shared" si="106"/>
        <v>45757</v>
      </c>
      <c r="L209" s="15"/>
      <c r="M209" s="15">
        <f t="shared" si="107"/>
        <v>45762</v>
      </c>
      <c r="N209" s="13">
        <v>45762</v>
      </c>
      <c r="O209" s="2">
        <f>IFERROR(IF(tblColetas[[#This Row],[Status Coleta]]="Reprovado","Reprovado",IF(ISERROR(SEARCH("Poço",D209)),IF(N209="","Erro",IF(Q209="Reprovado","",WORKDAY(N209,IF(D209="Operacional",10,3),FERIADOS!$A$3:$A$119))),"-")),"-")</f>
        <v>45769</v>
      </c>
      <c r="P209" s="21">
        <v>45763</v>
      </c>
      <c r="Q209" s="7" t="s">
        <v>37</v>
      </c>
      <c r="R209" s="13"/>
      <c r="S209" s="30"/>
      <c r="T209" s="43"/>
      <c r="W209" t="str">
        <f t="shared" si="89"/>
        <v>CDIT76-FT-0014 (HP Flare)Fiscal</v>
      </c>
      <c r="X2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0" spans="1:24" ht="12.5" x14ac:dyDescent="0.25">
      <c r="A210" s="10"/>
      <c r="B210" s="19" t="s">
        <v>31</v>
      </c>
      <c r="C210" s="5" t="s">
        <v>75</v>
      </c>
      <c r="D210" s="20" t="s">
        <v>72</v>
      </c>
      <c r="E210" s="35"/>
      <c r="F210" s="29" cm="1">
        <f t="array" ref="F210">IF(V210 &lt;&gt; "", V210, IFERROR(_xlfn.SINGLE(INDEX($G$1:G209,SUMPRODUCT(MAX(($W$1:W209=W210)*(ROW($W$1:W209))))))+IF(D210="Fiscal",30,90),""))</f>
        <v>45738</v>
      </c>
      <c r="G210" s="21">
        <v>45737</v>
      </c>
      <c r="H210" s="15">
        <f t="shared" si="105"/>
        <v>45747</v>
      </c>
      <c r="I210" s="15"/>
      <c r="J210" s="32"/>
      <c r="K210" s="15">
        <f t="shared" si="106"/>
        <v>45757</v>
      </c>
      <c r="L210" s="15"/>
      <c r="M210" s="15">
        <f t="shared" si="107"/>
        <v>45762</v>
      </c>
      <c r="N210" s="13">
        <v>45762</v>
      </c>
      <c r="O210" s="2">
        <f>IFERROR(IF(tblColetas[[#This Row],[Status Coleta]]="Reprovado","Reprovado",IF(ISERROR(SEARCH("Poço",D210)),IF(N210="","Erro",IF(Q210="Reprovado","",WORKDAY(N210,IF(D210="Operacional",10,3),FERIADOS!$A$3:$A$119))),"-")),"-")</f>
        <v>45769</v>
      </c>
      <c r="P210" s="21">
        <v>45763</v>
      </c>
      <c r="Q210" s="7" t="s">
        <v>37</v>
      </c>
      <c r="R210" s="13"/>
      <c r="S210" s="30"/>
      <c r="T210" s="43"/>
      <c r="W210" t="str">
        <f t="shared" si="89"/>
        <v>CDIT76-FT-0034 (LP Flare)Fiscal</v>
      </c>
      <c r="X2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1" spans="1:24" ht="12.5" x14ac:dyDescent="0.25">
      <c r="A211" s="10"/>
      <c r="B211" s="19" t="s">
        <v>31</v>
      </c>
      <c r="C211" s="5" t="s">
        <v>69</v>
      </c>
      <c r="D211" s="20" t="s">
        <v>70</v>
      </c>
      <c r="E211" s="35"/>
      <c r="F211" s="29" cm="1">
        <f t="array" ref="F211">IF(V211 &lt;&gt; "", V211, IFERROR(_xlfn.SINGLE(INDEX($G$1:G210,SUMPRODUCT(MAX(($W$1:W210=W211)*(ROW($W$1:W210))))))+IF(D211="Fiscal",30,90),""))</f>
        <v>45798</v>
      </c>
      <c r="G211" s="21">
        <v>45790</v>
      </c>
      <c r="H211" s="15">
        <f t="shared" si="105"/>
        <v>45800</v>
      </c>
      <c r="I211" s="15"/>
      <c r="J211" s="32"/>
      <c r="K211" s="15">
        <f t="shared" si="106"/>
        <v>45810</v>
      </c>
      <c r="L211" s="15"/>
      <c r="M211" s="15">
        <f t="shared" si="107"/>
        <v>45815</v>
      </c>
      <c r="N211" s="13">
        <v>45814</v>
      </c>
      <c r="O211" s="2">
        <f>IFERROR(IF(tblColetas[[#This Row],[Status Coleta]]="Reprovado","Reprovado",IF(ISERROR(SEARCH("Poço",D211)),IF(N211="","Erro",IF(Q211="Reprovado","",WORKDAY(N211,IF(D211="Operacional",10,3),FERIADOS!$A$3:$A$119))),"-")),"-")</f>
        <v>45819</v>
      </c>
      <c r="P211" s="21">
        <v>45818</v>
      </c>
      <c r="Q211" s="7" t="s">
        <v>37</v>
      </c>
      <c r="R211" s="13"/>
      <c r="S211" s="30"/>
      <c r="T211" s="43"/>
      <c r="W211" t="str">
        <f t="shared" si="89"/>
        <v>CDIT73-AP-0001 (Gas Lift)Gas Lift</v>
      </c>
      <c r="X2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2" spans="1:24" ht="12.5" x14ac:dyDescent="0.25">
      <c r="A212" s="10"/>
      <c r="B212" s="19" t="s">
        <v>34</v>
      </c>
      <c r="C212" s="5" t="s">
        <v>71</v>
      </c>
      <c r="D212" s="20" t="s">
        <v>72</v>
      </c>
      <c r="E212" s="35"/>
      <c r="F212" s="29" cm="1">
        <f t="array" ref="F212">IF(V212 &lt;&gt; "", V212, IFERROR(_xlfn.SINGLE(INDEX($G$1:G211,SUMPRODUCT(MAX(($W$1:W211=W212)*(ROW($W$1:W211))))))+IF(D212="Fiscal",30,90),""))</f>
        <v>45744</v>
      </c>
      <c r="G212" s="21">
        <v>45742</v>
      </c>
      <c r="H212" s="15">
        <f t="shared" ref="H212:H221" si="108">IF(G212="","Erro", G212+10)</f>
        <v>45752</v>
      </c>
      <c r="I212" s="15"/>
      <c r="J212" s="32"/>
      <c r="K212" s="15">
        <f t="shared" ref="K212:K221" si="109">IF(G212="","Erro",G212+20)</f>
        <v>45762</v>
      </c>
      <c r="L212" s="15"/>
      <c r="M212" s="15">
        <f t="shared" ref="M212:M221" si="110">IF(G212="","Erro",G212+IF(D212="Operacional",45,25))</f>
        <v>45767</v>
      </c>
      <c r="N212" s="13">
        <v>45764</v>
      </c>
      <c r="O212" s="2">
        <f>IFERROR(IF(tblColetas[[#This Row],[Status Coleta]]="Reprovado","Reprovado",IF(ISERROR(SEARCH("Poço",D212)),IF(N212="","Erro",IF(Q212="Reprovado","",WORKDAY(N212,IF(D212="Operacional",10,3),FERIADOS!$A$3:$A$119))),"-")),"-")</f>
        <v>45771</v>
      </c>
      <c r="P212" s="21">
        <v>45771</v>
      </c>
      <c r="Q212" s="7" t="s">
        <v>37</v>
      </c>
      <c r="R212" s="13"/>
      <c r="S212" s="30"/>
      <c r="T212" s="43"/>
      <c r="W212" t="str">
        <f t="shared" si="89"/>
        <v>CDST77-FT-0103 (Fuel Gas)Fiscal</v>
      </c>
      <c r="X2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3" spans="1:24" ht="12.5" x14ac:dyDescent="0.25">
      <c r="A213" s="10"/>
      <c r="B213" s="19" t="s">
        <v>34</v>
      </c>
      <c r="C213" s="5" t="s">
        <v>73</v>
      </c>
      <c r="D213" s="20" t="s">
        <v>72</v>
      </c>
      <c r="E213" s="35"/>
      <c r="F213" s="29" cm="1">
        <f t="array" ref="F213">IF(V213 &lt;&gt; "", V213, IFERROR(_xlfn.SINGLE(INDEX($G$1:G212,SUMPRODUCT(MAX(($W$1:W212=W213)*(ROW($W$1:W212))))))+IF(D213="Fiscal",30,90),""))</f>
        <v>45744</v>
      </c>
      <c r="G213" s="21">
        <v>45742</v>
      </c>
      <c r="H213" s="15">
        <f t="shared" si="108"/>
        <v>45752</v>
      </c>
      <c r="I213" s="15"/>
      <c r="J213" s="32"/>
      <c r="K213" s="15">
        <f t="shared" si="109"/>
        <v>45762</v>
      </c>
      <c r="L213" s="15"/>
      <c r="M213" s="15">
        <f t="shared" si="110"/>
        <v>45767</v>
      </c>
      <c r="N213" s="13">
        <v>45764</v>
      </c>
      <c r="O213" s="2">
        <f>IFERROR(IF(tblColetas[[#This Row],[Status Coleta]]="Reprovado","Reprovado",IF(ISERROR(SEARCH("Poço",D213)),IF(N213="","Erro",IF(Q213="Reprovado","",WORKDAY(N213,IF(D213="Operacional",10,3),FERIADOS!$A$3:$A$119))),"-")),"-")</f>
        <v>45771</v>
      </c>
      <c r="P213" s="21">
        <v>45771</v>
      </c>
      <c r="Q213" s="7" t="s">
        <v>37</v>
      </c>
      <c r="R213" s="13"/>
      <c r="S213" s="30"/>
      <c r="T213" s="43"/>
      <c r="W213" t="str">
        <f t="shared" si="89"/>
        <v>CDST74-AX-6911 (Export Gas)Fiscal</v>
      </c>
      <c r="X2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4" spans="1:24" ht="12.5" x14ac:dyDescent="0.25">
      <c r="A214" s="10"/>
      <c r="B214" s="19" t="s">
        <v>34</v>
      </c>
      <c r="C214" s="5" t="s">
        <v>74</v>
      </c>
      <c r="D214" s="20" t="s">
        <v>72</v>
      </c>
      <c r="E214" s="35"/>
      <c r="F214" s="29" cm="1">
        <f t="array" ref="F214">IF(V214 &lt;&gt; "", V214, IFERROR(_xlfn.SINGLE(INDEX($G$1:G213,SUMPRODUCT(MAX(($W$1:W213=W214)*(ROW($W$1:W213))))))+IF(D214="Fiscal",30,90),""))</f>
        <v>45744</v>
      </c>
      <c r="G214" s="21">
        <v>45742</v>
      </c>
      <c r="H214" s="15">
        <f t="shared" si="108"/>
        <v>45752</v>
      </c>
      <c r="I214" s="15"/>
      <c r="J214" s="32"/>
      <c r="K214" s="15">
        <f t="shared" si="109"/>
        <v>45762</v>
      </c>
      <c r="L214" s="15"/>
      <c r="M214" s="15">
        <f t="shared" si="110"/>
        <v>45767</v>
      </c>
      <c r="N214" s="13">
        <v>45764</v>
      </c>
      <c r="O214" s="2">
        <f>IFERROR(IF(tblColetas[[#This Row],[Status Coleta]]="Reprovado","Reprovado",IF(ISERROR(SEARCH("Poço",D214)),IF(N214="","Erro",IF(Q214="Reprovado","",WORKDAY(N214,IF(D214="Operacional",10,3),FERIADOS!$A$3:$A$119))),"-")),"-")</f>
        <v>45771</v>
      </c>
      <c r="P214" s="21">
        <v>45771</v>
      </c>
      <c r="Q214" s="7" t="s">
        <v>37</v>
      </c>
      <c r="R214" s="13"/>
      <c r="S214" s="30"/>
      <c r="T214" s="43"/>
      <c r="W214" t="str">
        <f t="shared" si="89"/>
        <v>CDST76-FT-0014 (HP Flare)Fiscal</v>
      </c>
      <c r="X2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5" spans="1:24" ht="12.5" x14ac:dyDescent="0.25">
      <c r="A215" s="10"/>
      <c r="B215" s="19" t="s">
        <v>34</v>
      </c>
      <c r="C215" s="5" t="s">
        <v>75</v>
      </c>
      <c r="D215" s="20" t="s">
        <v>72</v>
      </c>
      <c r="E215" s="35"/>
      <c r="F215" s="29" cm="1">
        <f t="array" ref="F215">IF(V215 &lt;&gt; "", V215, IFERROR(_xlfn.SINGLE(INDEX($G$1:G214,SUMPRODUCT(MAX(($W$1:W214=W215)*(ROW($W$1:W214))))))+IF(D215="Fiscal",30,90),""))</f>
        <v>45744</v>
      </c>
      <c r="G215" s="21">
        <v>45742</v>
      </c>
      <c r="H215" s="15">
        <f t="shared" si="108"/>
        <v>45752</v>
      </c>
      <c r="I215" s="15"/>
      <c r="J215" s="32"/>
      <c r="K215" s="15">
        <f t="shared" si="109"/>
        <v>45762</v>
      </c>
      <c r="L215" s="15"/>
      <c r="M215" s="15">
        <f t="shared" si="110"/>
        <v>45767</v>
      </c>
      <c r="N215" s="13">
        <v>45764</v>
      </c>
      <c r="O215" s="2">
        <f>IFERROR(IF(tblColetas[[#This Row],[Status Coleta]]="Reprovado","Reprovado",IF(ISERROR(SEARCH("Poço",D215)),IF(N215="","Erro",IF(Q215="Reprovado","",WORKDAY(N215,IF(D215="Operacional",10,3),FERIADOS!$A$3:$A$119))),"-")),"-")</f>
        <v>45771</v>
      </c>
      <c r="P215" s="21">
        <v>45771</v>
      </c>
      <c r="Q215" s="7" t="s">
        <v>37</v>
      </c>
      <c r="R215" s="13"/>
      <c r="S215" s="30"/>
      <c r="T215" s="43"/>
      <c r="W215" t="str">
        <f t="shared" si="89"/>
        <v>CDST76-FT-0034 (LP Flare)Fiscal</v>
      </c>
      <c r="X2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6" spans="1:24" ht="12.5" x14ac:dyDescent="0.25">
      <c r="A216" s="10"/>
      <c r="B216" s="19" t="s">
        <v>52</v>
      </c>
      <c r="C216" s="5" t="s">
        <v>112</v>
      </c>
      <c r="D216" s="20" t="s">
        <v>72</v>
      </c>
      <c r="E216" s="35"/>
      <c r="F216" s="29" cm="1">
        <f t="array" ref="F216">IF(V216 &lt;&gt; "", V216, IFERROR(_xlfn.SINGLE(INDEX($G$1:G215,SUMPRODUCT(MAX(($W$1:W215=W216)*(ROW($W$1:W215))))))+IF(D216="Fiscal",30,90),""))</f>
        <v>45750</v>
      </c>
      <c r="G216" s="21">
        <v>45748</v>
      </c>
      <c r="H216" s="15">
        <f t="shared" si="108"/>
        <v>45758</v>
      </c>
      <c r="I216" s="15"/>
      <c r="J216" s="32"/>
      <c r="K216" s="15">
        <f t="shared" si="109"/>
        <v>45768</v>
      </c>
      <c r="L216" s="15"/>
      <c r="M216" s="15">
        <f t="shared" si="110"/>
        <v>45773</v>
      </c>
      <c r="N216" s="13">
        <v>45772</v>
      </c>
      <c r="O216" s="2">
        <f>IFERROR(IF(tblColetas[[#This Row],[Status Coleta]]="Reprovado","Reprovado",IF(ISERROR(SEARCH("Poço",D216)),IF(N216="","Erro",IF(Q216="Reprovado","",WORKDAY(N216,IF(D216="Operacional",10,3),FERIADOS!$A$3:$A$119))),"-")),"-")</f>
        <v>45777</v>
      </c>
      <c r="P216" s="21">
        <v>45776</v>
      </c>
      <c r="Q216" s="7" t="s">
        <v>37</v>
      </c>
      <c r="R216" s="13"/>
      <c r="S216" s="30"/>
      <c r="T216" s="43"/>
      <c r="W216" t="str">
        <f t="shared" si="89"/>
        <v>SEP776-AP-0006 (HP Flare)Fiscal</v>
      </c>
      <c r="X2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7" spans="1:24" ht="12.5" x14ac:dyDescent="0.25">
      <c r="A217" s="10"/>
      <c r="B217" s="19" t="s">
        <v>52</v>
      </c>
      <c r="C217" s="5" t="s">
        <v>113</v>
      </c>
      <c r="D217" s="20" t="s">
        <v>72</v>
      </c>
      <c r="E217" s="35"/>
      <c r="F217" s="29" cm="1">
        <f t="array" ref="F217">IF(V217 &lt;&gt; "", V217, IFERROR(_xlfn.SINGLE(INDEX($G$1:G216,SUMPRODUCT(MAX(($W$1:W216=W217)*(ROW($W$1:W216))))))+IF(D217="Fiscal",30,90),""))</f>
        <v>45750</v>
      </c>
      <c r="G217" s="21">
        <v>45748</v>
      </c>
      <c r="H217" s="15">
        <f t="shared" si="108"/>
        <v>45758</v>
      </c>
      <c r="I217" s="15"/>
      <c r="J217" s="32"/>
      <c r="K217" s="15">
        <f t="shared" si="109"/>
        <v>45768</v>
      </c>
      <c r="L217" s="15"/>
      <c r="M217" s="15">
        <f t="shared" si="110"/>
        <v>45773</v>
      </c>
      <c r="N217" s="13">
        <v>45772</v>
      </c>
      <c r="O217" s="2" t="str">
        <f>IFERROR(IF(tblColetas[[#This Row],[Status Coleta]]="Reprovado","Reprovado",IF(ISERROR(SEARCH("Poço",D217)),IF(N217="","Erro",IF(Q217="Reprovado","",WORKDAY(N217,IF(D217="Operacional",10,3),FERIADOS!$A$3:$A$119))),"-")),"-")</f>
        <v>Reprovado</v>
      </c>
      <c r="P217" s="21"/>
      <c r="Q217" s="7" t="s">
        <v>81</v>
      </c>
      <c r="R217" s="13"/>
      <c r="S217" s="33" t="s">
        <v>135</v>
      </c>
      <c r="T217" s="43"/>
      <c r="W217" t="str">
        <f t="shared" si="89"/>
        <v>SEP776-AP-0030 (LP Flare)Fiscal</v>
      </c>
      <c r="X2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8" spans="1:24" ht="12.5" x14ac:dyDescent="0.25">
      <c r="A218" s="10"/>
      <c r="B218" s="19" t="s">
        <v>52</v>
      </c>
      <c r="C218" s="5" t="s">
        <v>114</v>
      </c>
      <c r="D218" s="20" t="s">
        <v>72</v>
      </c>
      <c r="E218" s="35"/>
      <c r="F218" s="29" cm="1">
        <f t="array" ref="F218">IF(V218 &lt;&gt; "", V218, IFERROR(_xlfn.SINGLE(INDEX($G$1:G217,SUMPRODUCT(MAX(($W$1:W217=W218)*(ROW($W$1:W217))))))+IF(D218="Fiscal",30,90),""))</f>
        <v>45750</v>
      </c>
      <c r="G218" s="21">
        <v>45748</v>
      </c>
      <c r="H218" s="15">
        <f t="shared" si="108"/>
        <v>45758</v>
      </c>
      <c r="I218" s="15"/>
      <c r="J218" s="32"/>
      <c r="K218" s="15">
        <f t="shared" si="109"/>
        <v>45768</v>
      </c>
      <c r="L218" s="15"/>
      <c r="M218" s="15">
        <f t="shared" si="110"/>
        <v>45773</v>
      </c>
      <c r="N218" s="13">
        <v>45772</v>
      </c>
      <c r="O218" s="2">
        <f>IFERROR(IF(tblColetas[[#This Row],[Status Coleta]]="Reprovado","Reprovado",IF(ISERROR(SEARCH("Poço",D218)),IF(N218="","Erro",IF(Q218="Reprovado","",WORKDAY(N218,IF(D218="Operacional",10,3),FERIADOS!$A$3:$A$119))),"-")),"-")</f>
        <v>45777</v>
      </c>
      <c r="P218" s="21">
        <v>45776</v>
      </c>
      <c r="Q218" s="7" t="s">
        <v>37</v>
      </c>
      <c r="R218" s="13"/>
      <c r="S218" s="30"/>
      <c r="T218" s="43"/>
      <c r="W218" t="str">
        <f t="shared" si="89"/>
        <v>SEP777-AP-1104 (Fuel Gas)Fiscal</v>
      </c>
      <c r="X2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19" spans="1:24" ht="12.5" x14ac:dyDescent="0.25">
      <c r="A219" s="10"/>
      <c r="B219" s="19" t="s">
        <v>52</v>
      </c>
      <c r="C219" s="5" t="s">
        <v>115</v>
      </c>
      <c r="D219" s="20" t="s">
        <v>72</v>
      </c>
      <c r="E219" s="35"/>
      <c r="F219" s="29" cm="1">
        <f t="array" ref="F219">IF(V219 &lt;&gt; "", V219, IFERROR(_xlfn.SINGLE(INDEX($G$1:G218,SUMPRODUCT(MAX(($W$1:W218=W219)*(ROW($W$1:W218))))))+IF(D219="Fiscal",30,90),""))</f>
        <v>45750</v>
      </c>
      <c r="G219" s="21">
        <v>45748</v>
      </c>
      <c r="H219" s="15">
        <f t="shared" si="108"/>
        <v>45758</v>
      </c>
      <c r="I219" s="15"/>
      <c r="J219" s="32"/>
      <c r="K219" s="15">
        <f t="shared" si="109"/>
        <v>45768</v>
      </c>
      <c r="L219" s="15"/>
      <c r="M219" s="15">
        <f t="shared" si="110"/>
        <v>45773</v>
      </c>
      <c r="N219" s="13">
        <v>45772</v>
      </c>
      <c r="O219" s="2">
        <f>IFERROR(IF(tblColetas[[#This Row],[Status Coleta]]="Reprovado","Reprovado",IF(ISERROR(SEARCH("Poço",D219)),IF(N219="","Erro",IF(Q219="Reprovado","",WORKDAY(N219,IF(D219="Operacional",10,3),FERIADOS!$A$3:$A$119))),"-")),"-")</f>
        <v>45777</v>
      </c>
      <c r="P219" s="21">
        <v>45776</v>
      </c>
      <c r="Q219" s="7" t="s">
        <v>37</v>
      </c>
      <c r="R219" s="13"/>
      <c r="S219" s="30"/>
      <c r="T219" s="43"/>
      <c r="W219" t="str">
        <f t="shared" si="89"/>
        <v>SEP771-AP-0221 (Flare Assist)Fiscal</v>
      </c>
      <c r="X2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0" spans="1:24" ht="12.5" x14ac:dyDescent="0.25">
      <c r="A220" s="10"/>
      <c r="B220" s="19" t="s">
        <v>24</v>
      </c>
      <c r="C220" s="5" t="s">
        <v>76</v>
      </c>
      <c r="D220" s="20" t="s">
        <v>72</v>
      </c>
      <c r="E220" s="35"/>
      <c r="F220" s="29" cm="1">
        <f t="array" ref="F220">IF(V220 &lt;&gt; "", V220, IFERROR(_xlfn.SINGLE(INDEX($G$1:G219,SUMPRODUCT(MAX(($W$1:W219=W220)*(ROW($W$1:W219))))))+IF(D220="Fiscal",30,90),""))</f>
        <v>45747</v>
      </c>
      <c r="G220" s="21">
        <v>45744</v>
      </c>
      <c r="H220" s="15">
        <f t="shared" si="108"/>
        <v>45754</v>
      </c>
      <c r="I220" s="15">
        <v>45752</v>
      </c>
      <c r="J220" s="32" t="s">
        <v>156</v>
      </c>
      <c r="K220" s="15">
        <f t="shared" si="109"/>
        <v>45764</v>
      </c>
      <c r="L220" s="15">
        <v>45764</v>
      </c>
      <c r="M220" s="15">
        <f t="shared" si="110"/>
        <v>45769</v>
      </c>
      <c r="N220" s="13">
        <v>45769</v>
      </c>
      <c r="O220" s="2">
        <f>IFERROR(IF(tblColetas[[#This Row],[Status Coleta]]="Reprovado","Reprovado",IF(ISERROR(SEARCH("Poço",D220)),IF(N220="","Erro",IF(Q220="Reprovado","",WORKDAY(N220,IF(D220="Operacional",10,3),FERIADOS!$A$3:$A$119))),"-")),"-")</f>
        <v>45772</v>
      </c>
      <c r="P220" s="21">
        <v>45770</v>
      </c>
      <c r="Q220" s="7" t="s">
        <v>37</v>
      </c>
      <c r="R220" s="13"/>
      <c r="S220" s="30"/>
      <c r="T220" s="43"/>
      <c r="W220" t="str">
        <f t="shared" si="89"/>
        <v>CDAM74-FT-005 (Export gas)Fiscal</v>
      </c>
      <c r="X2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1" spans="1:24" ht="12.5" x14ac:dyDescent="0.25">
      <c r="A221" s="10"/>
      <c r="B221" s="19" t="s">
        <v>24</v>
      </c>
      <c r="C221" s="5" t="s">
        <v>78</v>
      </c>
      <c r="D221" s="20" t="s">
        <v>72</v>
      </c>
      <c r="E221" s="35"/>
      <c r="F221" s="29" cm="1">
        <f t="array" ref="F221">IF(V221 &lt;&gt; "", V221, IFERROR(_xlfn.SINGLE(INDEX($G$1:G220,SUMPRODUCT(MAX(($W$1:W220=W221)*(ROW($W$1:W220))))))+IF(D221="Fiscal",30,90),""))</f>
        <v>45747</v>
      </c>
      <c r="G221" s="21">
        <v>45744</v>
      </c>
      <c r="H221" s="15">
        <f t="shared" si="108"/>
        <v>45754</v>
      </c>
      <c r="I221" s="15">
        <v>45752</v>
      </c>
      <c r="J221" s="32" t="s">
        <v>156</v>
      </c>
      <c r="K221" s="15">
        <f t="shared" si="109"/>
        <v>45764</v>
      </c>
      <c r="L221" s="15">
        <v>45764</v>
      </c>
      <c r="M221" s="15">
        <f t="shared" si="110"/>
        <v>45769</v>
      </c>
      <c r="N221" s="13">
        <v>45769</v>
      </c>
      <c r="O221" s="2">
        <f>IFERROR(IF(tblColetas[[#This Row],[Status Coleta]]="Reprovado","Reprovado",IF(ISERROR(SEARCH("Poço",D221)),IF(N221="","Erro",IF(Q221="Reprovado","",WORKDAY(N221,IF(D221="Operacional",10,3),FERIADOS!$A$3:$A$119))),"-")),"-")</f>
        <v>45772</v>
      </c>
      <c r="P221" s="21">
        <v>45770</v>
      </c>
      <c r="Q221" s="7" t="s">
        <v>37</v>
      </c>
      <c r="R221" s="13"/>
      <c r="S221" s="30"/>
      <c r="T221" s="43"/>
      <c r="W221" t="str">
        <f t="shared" si="89"/>
        <v>CDAT77-FT-001 (Fuel Gas)Fiscal</v>
      </c>
      <c r="X2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2" spans="1:24" ht="12.5" x14ac:dyDescent="0.25">
      <c r="A222" s="10"/>
      <c r="B222" s="8" t="s">
        <v>31</v>
      </c>
      <c r="C222" s="5" t="s">
        <v>79</v>
      </c>
      <c r="D222" s="9" t="s">
        <v>26</v>
      </c>
      <c r="E222" s="36"/>
      <c r="F222" s="29" cm="1">
        <f t="array" ref="F222">IF(V222 &lt;&gt; "", V222, IFERROR(_xlfn.SINGLE(INDEX($G$1:G221,SUMPRODUCT(MAX(($W$1:W221=W222)*(ROW($W$1:W221))))))+IF(D222="Fiscal",30,90),""))</f>
        <v>45807</v>
      </c>
      <c r="G222" s="13">
        <v>45794</v>
      </c>
      <c r="H222" s="15">
        <f t="shared" ref="H222:H234" si="111">IF(G222="","Erro", G222+10)</f>
        <v>45804</v>
      </c>
      <c r="I222" s="15">
        <v>45801</v>
      </c>
      <c r="J222" s="32" t="s">
        <v>157</v>
      </c>
      <c r="K222" s="15">
        <f t="shared" ref="K222:K234" si="112">IF(G222="","Erro",G222+20)</f>
        <v>45814</v>
      </c>
      <c r="L222" s="15">
        <v>45811</v>
      </c>
      <c r="M222" s="15">
        <f t="shared" ref="M222:M234" si="113">IF(G222="","Erro",G222+IF(D222="Operacional",45,25))</f>
        <v>45819</v>
      </c>
      <c r="N222" s="13">
        <v>45819</v>
      </c>
      <c r="O222" s="2" t="str">
        <f>IFERROR(IF(tblColetas[[#This Row],[Status Coleta]]="Reprovado","Reprovado",IF(ISERROR(SEARCH("Poço",D222)),IF(N222="","Erro",IF(Q222="Reprovado","",WORKDAY(N222,IF(D222="Operacional",10,3),FERIADOS!$A$3:$A$119))),"-")),"-")</f>
        <v>-</v>
      </c>
      <c r="P222" s="13"/>
      <c r="Q222" s="7" t="s">
        <v>37</v>
      </c>
      <c r="R222" s="13"/>
      <c r="S222" s="30"/>
      <c r="T222" s="43"/>
      <c r="W222" t="str">
        <f t="shared" si="89"/>
        <v>CDIPoço SPH-14 (P-6)Poço CG</v>
      </c>
      <c r="X2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3" spans="1:24" ht="12.5" x14ac:dyDescent="0.25">
      <c r="A223" s="10"/>
      <c r="B223" s="8" t="s">
        <v>31</v>
      </c>
      <c r="C223" s="5" t="s">
        <v>79</v>
      </c>
      <c r="D223" s="9" t="s">
        <v>29</v>
      </c>
      <c r="E223" s="36"/>
      <c r="F223" s="29" cm="1">
        <f t="array" ref="F223">IF(V223 &lt;&gt; "", V223, IFERROR(_xlfn.SINGLE(INDEX($G$1:G222,SUMPRODUCT(MAX(($W$1:W222=W223)*(ROW($W$1:W222))))))+IF(D223="Fiscal",30,90),""))</f>
        <v>45807</v>
      </c>
      <c r="G223" s="13">
        <v>45794</v>
      </c>
      <c r="H223" s="15">
        <f t="shared" si="111"/>
        <v>45804</v>
      </c>
      <c r="I223" s="15">
        <v>45801</v>
      </c>
      <c r="J223" s="32" t="s">
        <v>157</v>
      </c>
      <c r="K223" s="15">
        <f t="shared" si="112"/>
        <v>45814</v>
      </c>
      <c r="L223" s="15">
        <v>45811</v>
      </c>
      <c r="M223" s="15">
        <f t="shared" si="113"/>
        <v>45819</v>
      </c>
      <c r="N223" s="13">
        <v>45819</v>
      </c>
      <c r="O223" s="2" t="str">
        <f>IFERROR(IF(tblColetas[[#This Row],[Status Coleta]]="Reprovado","Reprovado",IF(ISERROR(SEARCH("Poço",D223)),IF(N223="","Erro",IF(Q223="Reprovado","",WORKDAY(N223,IF(D223="Operacional",10,3),FERIADOS!$A$3:$A$119))),"-")),"-")</f>
        <v>-</v>
      </c>
      <c r="P223" s="13"/>
      <c r="Q223" s="7" t="s">
        <v>37</v>
      </c>
      <c r="R223" s="13"/>
      <c r="S223" s="30"/>
      <c r="T223" s="43"/>
      <c r="W223" t="str">
        <f t="shared" si="89"/>
        <v>CDIPoço SPH-14 (P-6)Poço PVT</v>
      </c>
      <c r="X2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4" spans="1:24" ht="12.5" x14ac:dyDescent="0.25">
      <c r="A224" s="10"/>
      <c r="B224" s="19" t="s">
        <v>52</v>
      </c>
      <c r="C224" s="5" t="s">
        <v>83</v>
      </c>
      <c r="D224" s="20" t="s">
        <v>26</v>
      </c>
      <c r="E224" s="35"/>
      <c r="F224" s="29" cm="1">
        <f t="array" ref="F224">IF(V224 &lt;&gt; "", V224, IFERROR(_xlfn.SINGLE(INDEX($G$1:G223,SUMPRODUCT(MAX(($W$1:W223=W224)*(ROW($W$1:W223))))))+IF(D224="Fiscal",30,90),""))</f>
        <v>45812</v>
      </c>
      <c r="G224" s="21">
        <v>45809</v>
      </c>
      <c r="H224" s="15">
        <f t="shared" si="111"/>
        <v>45819</v>
      </c>
      <c r="I224" s="15">
        <v>45812</v>
      </c>
      <c r="J224" s="32" t="s">
        <v>158</v>
      </c>
      <c r="K224" s="15">
        <f t="shared" si="112"/>
        <v>45829</v>
      </c>
      <c r="L224" s="15">
        <v>45821</v>
      </c>
      <c r="M224" s="15">
        <f t="shared" si="113"/>
        <v>45834</v>
      </c>
      <c r="N224" s="13">
        <v>45834</v>
      </c>
      <c r="O224" s="2" t="str">
        <f>IFERROR(IF(tblColetas[[#This Row],[Status Coleta]]="Reprovado","Reprovado",IF(ISERROR(SEARCH("Poço",D224)),IF(N224="","Erro",IF(Q224="Reprovado","",WORKDAY(N224,IF(D224="Operacional",10,3),FERIADOS!$A$3:$A$119))),"-")),"-")</f>
        <v>-</v>
      </c>
      <c r="P224" s="21"/>
      <c r="Q224" s="7" t="s">
        <v>37</v>
      </c>
      <c r="R224" s="13"/>
      <c r="S224" s="30"/>
      <c r="T224" s="43"/>
      <c r="W224" t="str">
        <f t="shared" ref="W224:W287" si="114">B224&amp;C224&amp;D224</f>
        <v>SEPPoço MRO-16 P-2Poço CG</v>
      </c>
      <c r="X2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5" spans="1:24" ht="12.5" x14ac:dyDescent="0.25">
      <c r="A225" s="10"/>
      <c r="B225" s="19" t="s">
        <v>52</v>
      </c>
      <c r="C225" s="5" t="s">
        <v>83</v>
      </c>
      <c r="D225" s="20" t="s">
        <v>29</v>
      </c>
      <c r="E225" s="35"/>
      <c r="F225" s="29" cm="1">
        <f t="array" ref="F225">IF(V225 &lt;&gt; "", V225, IFERROR(_xlfn.SINGLE(INDEX($G$1:G224,SUMPRODUCT(MAX(($W$1:W224=W225)*(ROW($W$1:W224))))))+IF(D225="Fiscal",30,90),""))</f>
        <v>45812</v>
      </c>
      <c r="G225" s="21">
        <v>45809</v>
      </c>
      <c r="H225" s="15">
        <f t="shared" si="111"/>
        <v>45819</v>
      </c>
      <c r="I225" s="15">
        <v>45812</v>
      </c>
      <c r="J225" s="32" t="s">
        <v>158</v>
      </c>
      <c r="K225" s="15">
        <f t="shared" si="112"/>
        <v>45829</v>
      </c>
      <c r="L225" s="15">
        <v>45821</v>
      </c>
      <c r="M225" s="15">
        <f t="shared" si="113"/>
        <v>45834</v>
      </c>
      <c r="N225" s="13">
        <v>45834</v>
      </c>
      <c r="O225" s="2" t="str">
        <f>IFERROR(IF(tblColetas[[#This Row],[Status Coleta]]="Reprovado","Reprovado",IF(ISERROR(SEARCH("Poço",D225)),IF(N225="","Erro",IF(Q225="Reprovado","",WORKDAY(N225,IF(D225="Operacional",10,3),FERIADOS!$A$3:$A$119))),"-")),"-")</f>
        <v>-</v>
      </c>
      <c r="P225" s="21"/>
      <c r="Q225" s="7" t="s">
        <v>37</v>
      </c>
      <c r="R225" s="13"/>
      <c r="S225" s="30"/>
      <c r="T225" s="43"/>
      <c r="W225" t="str">
        <f t="shared" si="114"/>
        <v>SEPPoço MRO-16 P-2Poço PVT</v>
      </c>
      <c r="X2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6" spans="1:24" ht="12.5" x14ac:dyDescent="0.25">
      <c r="A226" s="10"/>
      <c r="B226" s="19" t="s">
        <v>38</v>
      </c>
      <c r="C226" s="5" t="s">
        <v>74</v>
      </c>
      <c r="D226" s="20" t="s">
        <v>72</v>
      </c>
      <c r="E226" s="35"/>
      <c r="F226" s="29" cm="1">
        <f t="array" ref="F226">IF(V226 &lt;&gt; "", V226, IFERROR(_xlfn.SINGLE(INDEX($G$1:G225,SUMPRODUCT(MAX(($W$1:W225=W226)*(ROW($W$1:W225))))))+IF(D226="Fiscal",30,90),""))</f>
        <v>45754</v>
      </c>
      <c r="G226" s="21">
        <v>45754</v>
      </c>
      <c r="H226" s="15">
        <f t="shared" si="111"/>
        <v>45764</v>
      </c>
      <c r="I226" s="15"/>
      <c r="J226" s="32"/>
      <c r="K226" s="15">
        <f t="shared" si="112"/>
        <v>45774</v>
      </c>
      <c r="L226" s="15"/>
      <c r="M226" s="15">
        <f t="shared" si="113"/>
        <v>45779</v>
      </c>
      <c r="N226" s="13">
        <v>45779</v>
      </c>
      <c r="O226" s="2">
        <f>IFERROR(IF(tblColetas[[#This Row],[Status Coleta]]="Reprovado","Reprovado",IF(ISERROR(SEARCH("Poço",D226)),IF(N226="","Erro",IF(Q226="Reprovado","",WORKDAY(N226,IF(D226="Operacional",10,3),FERIADOS!$A$3:$A$119))),"-")),"-")</f>
        <v>45784</v>
      </c>
      <c r="P226" s="21">
        <v>45784</v>
      </c>
      <c r="Q226" s="7" t="s">
        <v>37</v>
      </c>
      <c r="R226" s="13"/>
      <c r="S226" s="30"/>
      <c r="T226" s="43"/>
      <c r="W226" t="str">
        <f t="shared" si="114"/>
        <v>CDPT76-FT-0014 (HP Flare)Fiscal</v>
      </c>
      <c r="X2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7" spans="1:24" ht="12.5" x14ac:dyDescent="0.25">
      <c r="A227" s="10"/>
      <c r="B227" s="19" t="s">
        <v>38</v>
      </c>
      <c r="C227" s="5" t="s">
        <v>75</v>
      </c>
      <c r="D227" s="20" t="s">
        <v>72</v>
      </c>
      <c r="E227" s="35"/>
      <c r="F227" s="29" cm="1">
        <f t="array" ref="F227">IF(V227 &lt;&gt; "", V227, IFERROR(_xlfn.SINGLE(INDEX($G$1:G226,SUMPRODUCT(MAX(($W$1:W226=W227)*(ROW($W$1:W226))))))+IF(D227="Fiscal",30,90),""))</f>
        <v>45754</v>
      </c>
      <c r="G227" s="21">
        <v>45754</v>
      </c>
      <c r="H227" s="15">
        <f t="shared" si="111"/>
        <v>45764</v>
      </c>
      <c r="I227" s="15"/>
      <c r="J227" s="32"/>
      <c r="K227" s="15">
        <f t="shared" si="112"/>
        <v>45774</v>
      </c>
      <c r="L227" s="15"/>
      <c r="M227" s="15">
        <f t="shared" si="113"/>
        <v>45779</v>
      </c>
      <c r="N227" s="13">
        <v>45779</v>
      </c>
      <c r="O227" s="2">
        <f>IFERROR(IF(tblColetas[[#This Row],[Status Coleta]]="Reprovado","Reprovado",IF(ISERROR(SEARCH("Poço",D227)),IF(N227="","Erro",IF(Q227="Reprovado","",WORKDAY(N227,IF(D227="Operacional",10,3),FERIADOS!$A$3:$A$119))),"-")),"-")</f>
        <v>45784</v>
      </c>
      <c r="P227" s="21">
        <v>45784</v>
      </c>
      <c r="Q227" s="7" t="s">
        <v>37</v>
      </c>
      <c r="R227" s="13"/>
      <c r="S227" s="30"/>
      <c r="T227" s="43"/>
      <c r="W227" t="str">
        <f t="shared" si="114"/>
        <v>CDPT76-FT-0034 (LP Flare)Fiscal</v>
      </c>
      <c r="X2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8" spans="1:24" ht="12.5" x14ac:dyDescent="0.25">
      <c r="A228" s="10"/>
      <c r="B228" s="19" t="s">
        <v>38</v>
      </c>
      <c r="C228" s="5" t="s">
        <v>71</v>
      </c>
      <c r="D228" s="20" t="s">
        <v>72</v>
      </c>
      <c r="E228" s="35"/>
      <c r="F228" s="29" cm="1">
        <f t="array" ref="F228">IF(V228 &lt;&gt; "", V228, IFERROR(_xlfn.SINGLE(INDEX($G$1:G227,SUMPRODUCT(MAX(($W$1:W227=W228)*(ROW($W$1:W227))))))+IF(D228="Fiscal",30,90),""))</f>
        <v>45754</v>
      </c>
      <c r="G228" s="21">
        <v>45754</v>
      </c>
      <c r="H228" s="15">
        <f t="shared" si="111"/>
        <v>45764</v>
      </c>
      <c r="I228" s="15"/>
      <c r="J228" s="32"/>
      <c r="K228" s="15">
        <f t="shared" si="112"/>
        <v>45774</v>
      </c>
      <c r="L228" s="15"/>
      <c r="M228" s="15">
        <f t="shared" si="113"/>
        <v>45779</v>
      </c>
      <c r="N228" s="13">
        <v>45779</v>
      </c>
      <c r="O228" s="2">
        <f>IFERROR(IF(tblColetas[[#This Row],[Status Coleta]]="Reprovado","Reprovado",IF(ISERROR(SEARCH("Poço",D228)),IF(N228="","Erro",IF(Q228="Reprovado","",WORKDAY(N228,IF(D228="Operacional",10,3),FERIADOS!$A$3:$A$119))),"-")),"-")</f>
        <v>45784</v>
      </c>
      <c r="P228" s="21">
        <v>45784</v>
      </c>
      <c r="Q228" s="7" t="s">
        <v>37</v>
      </c>
      <c r="R228" s="13"/>
      <c r="S228" s="30"/>
      <c r="T228" s="43"/>
      <c r="W228" t="str">
        <f t="shared" si="114"/>
        <v>CDPT77-FT-0103 (Fuel Gas)Fiscal</v>
      </c>
      <c r="X2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29" spans="1:24" ht="12.5" x14ac:dyDescent="0.25">
      <c r="A229" s="10"/>
      <c r="B229" s="19" t="s">
        <v>38</v>
      </c>
      <c r="C229" s="5" t="s">
        <v>98</v>
      </c>
      <c r="D229" s="20" t="s">
        <v>72</v>
      </c>
      <c r="E229" s="35"/>
      <c r="F229" s="29" cm="1">
        <f t="array" ref="F229">IF(V229 &lt;&gt; "", V229, IFERROR(_xlfn.SINGLE(INDEX($G$1:G228,SUMPRODUCT(MAX(($W$1:W228=W229)*(ROW($W$1:W228))))))+IF(D229="Fiscal",30,90),""))</f>
        <v>45754</v>
      </c>
      <c r="G229" s="21">
        <v>45754</v>
      </c>
      <c r="H229" s="15">
        <f t="shared" si="111"/>
        <v>45764</v>
      </c>
      <c r="I229" s="15"/>
      <c r="J229" s="32"/>
      <c r="K229" s="15">
        <f t="shared" si="112"/>
        <v>45774</v>
      </c>
      <c r="L229" s="15"/>
      <c r="M229" s="15">
        <f t="shared" si="113"/>
        <v>45779</v>
      </c>
      <c r="N229" s="13">
        <v>45779</v>
      </c>
      <c r="O229" s="2">
        <f>IFERROR(IF(tblColetas[[#This Row],[Status Coleta]]="Reprovado","Reprovado",IF(ISERROR(SEARCH("Poço",D229)),IF(N229="","Erro",IF(Q229="Reprovado","",WORKDAY(N229,IF(D229="Operacional",10,3),FERIADOS!$A$3:$A$119))),"-")),"-")</f>
        <v>45784</v>
      </c>
      <c r="P229" s="21">
        <v>45784</v>
      </c>
      <c r="Q229" s="7" t="s">
        <v>37</v>
      </c>
      <c r="R229" s="13"/>
      <c r="S229" s="30"/>
      <c r="T229" s="43"/>
      <c r="W229" t="str">
        <f t="shared" si="114"/>
        <v>CDPT74-FT-6701 (Export Gas)Fiscal</v>
      </c>
      <c r="X2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0" spans="1:24" ht="12.5" x14ac:dyDescent="0.25">
      <c r="A230" s="10"/>
      <c r="B230" s="19" t="s">
        <v>46</v>
      </c>
      <c r="C230" s="5" t="s">
        <v>74</v>
      </c>
      <c r="D230" s="20" t="s">
        <v>72</v>
      </c>
      <c r="E230" s="35"/>
      <c r="F230" s="29" cm="1">
        <f t="array" ref="F230">IF(V230 &lt;&gt; "", V230, IFERROR(_xlfn.SINGLE(INDEX($G$1:G229,SUMPRODUCT(MAX(($W$1:W229=W230)*(ROW($W$1:W229))))))+IF(D230="Fiscal",30,90),""))</f>
        <v>45754</v>
      </c>
      <c r="G230" s="21">
        <v>45752</v>
      </c>
      <c r="H230" s="15">
        <f t="shared" si="111"/>
        <v>45762</v>
      </c>
      <c r="I230" s="15"/>
      <c r="J230" s="32"/>
      <c r="K230" s="15">
        <f t="shared" si="112"/>
        <v>45772</v>
      </c>
      <c r="L230" s="15"/>
      <c r="M230" s="15">
        <f t="shared" si="113"/>
        <v>45777</v>
      </c>
      <c r="N230" s="13">
        <v>45777</v>
      </c>
      <c r="O230" s="2">
        <f>IFERROR(IF(tblColetas[[#This Row],[Status Coleta]]="Reprovado","Reprovado",IF(ISERROR(SEARCH("Poço",D230)),IF(N230="","Erro",IF(Q230="Reprovado","",WORKDAY(N230,IF(D230="Operacional",10,3),FERIADOS!$A$3:$A$119))),"-")),"-")</f>
        <v>45783</v>
      </c>
      <c r="P230" s="21">
        <v>45783</v>
      </c>
      <c r="Q230" s="7" t="s">
        <v>37</v>
      </c>
      <c r="R230" s="13"/>
      <c r="S230" s="30"/>
      <c r="T230" s="43"/>
      <c r="W230" t="str">
        <f t="shared" si="114"/>
        <v>CDMT76-FT-0014 (HP Flare)Fiscal</v>
      </c>
      <c r="X2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1" spans="1:24" ht="12.5" x14ac:dyDescent="0.25">
      <c r="A231" s="10"/>
      <c r="B231" s="19" t="s">
        <v>46</v>
      </c>
      <c r="C231" s="5" t="s">
        <v>75</v>
      </c>
      <c r="D231" s="20" t="s">
        <v>72</v>
      </c>
      <c r="E231" s="35"/>
      <c r="F231" s="29" cm="1">
        <f t="array" ref="F231">IF(V231 &lt;&gt; "", V231, IFERROR(_xlfn.SINGLE(INDEX($G$1:G230,SUMPRODUCT(MAX(($W$1:W230=W231)*(ROW($W$1:W230))))))+IF(D231="Fiscal",30,90),""))</f>
        <v>45754</v>
      </c>
      <c r="G231" s="21">
        <v>45752</v>
      </c>
      <c r="H231" s="15">
        <f t="shared" si="111"/>
        <v>45762</v>
      </c>
      <c r="I231" s="15"/>
      <c r="J231" s="32"/>
      <c r="K231" s="15">
        <f t="shared" si="112"/>
        <v>45772</v>
      </c>
      <c r="L231" s="15"/>
      <c r="M231" s="15">
        <f t="shared" si="113"/>
        <v>45777</v>
      </c>
      <c r="N231" s="13">
        <v>45777</v>
      </c>
      <c r="O231" s="2">
        <f>IFERROR(IF(tblColetas[[#This Row],[Status Coleta]]="Reprovado","Reprovado",IF(ISERROR(SEARCH("Poço",D231)),IF(N231="","Erro",IF(Q231="Reprovado","",WORKDAY(N231,IF(D231="Operacional",10,3),FERIADOS!$A$3:$A$119))),"-")),"-")</f>
        <v>45783</v>
      </c>
      <c r="P231" s="21">
        <v>45783</v>
      </c>
      <c r="Q231" s="7" t="s">
        <v>37</v>
      </c>
      <c r="R231" s="13"/>
      <c r="S231" s="30"/>
      <c r="T231" s="43"/>
      <c r="W231" t="str">
        <f t="shared" si="114"/>
        <v>CDMT76-FT-0034 (LP Flare)Fiscal</v>
      </c>
      <c r="X2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2" spans="1:24" ht="12.5" x14ac:dyDescent="0.25">
      <c r="A232" s="10"/>
      <c r="B232" s="19" t="s">
        <v>46</v>
      </c>
      <c r="C232" s="5" t="s">
        <v>71</v>
      </c>
      <c r="D232" s="20" t="s">
        <v>72</v>
      </c>
      <c r="E232" s="35"/>
      <c r="F232" s="29" cm="1">
        <f t="array" ref="F232">IF(V232 &lt;&gt; "", V232, IFERROR(_xlfn.SINGLE(INDEX($G$1:G231,SUMPRODUCT(MAX(($W$1:W231=W232)*(ROW($W$1:W231))))))+IF(D232="Fiscal",30,90),""))</f>
        <v>45754</v>
      </c>
      <c r="G232" s="21">
        <v>45752</v>
      </c>
      <c r="H232" s="15">
        <f t="shared" si="111"/>
        <v>45762</v>
      </c>
      <c r="I232" s="15"/>
      <c r="J232" s="32"/>
      <c r="K232" s="15">
        <f t="shared" si="112"/>
        <v>45772</v>
      </c>
      <c r="L232" s="15"/>
      <c r="M232" s="15">
        <f t="shared" si="113"/>
        <v>45777</v>
      </c>
      <c r="N232" s="13">
        <v>45777</v>
      </c>
      <c r="O232" s="2">
        <f>IFERROR(IF(tblColetas[[#This Row],[Status Coleta]]="Reprovado","Reprovado",IF(ISERROR(SEARCH("Poço",D232)),IF(N232="","Erro",IF(Q232="Reprovado","",WORKDAY(N232,IF(D232="Operacional",10,3),FERIADOS!$A$3:$A$119))),"-")),"-")</f>
        <v>45783</v>
      </c>
      <c r="P232" s="21">
        <v>45783</v>
      </c>
      <c r="Q232" s="7" t="s">
        <v>37</v>
      </c>
      <c r="R232" s="13"/>
      <c r="S232" s="30"/>
      <c r="T232" s="43"/>
      <c r="W232" t="str">
        <f t="shared" si="114"/>
        <v>CDMT77-FT-0103 (Fuel Gas)Fiscal</v>
      </c>
      <c r="X2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3" spans="1:24" ht="12.5" x14ac:dyDescent="0.25">
      <c r="A233" s="10"/>
      <c r="B233" s="19" t="s">
        <v>46</v>
      </c>
      <c r="C233" s="5" t="s">
        <v>125</v>
      </c>
      <c r="D233" s="20" t="s">
        <v>72</v>
      </c>
      <c r="E233" s="35"/>
      <c r="F233" s="29" cm="1">
        <f t="array" ref="F233">IF(V233 &lt;&gt; "", V233, IFERROR(_xlfn.SINGLE(INDEX($G$1:G232,SUMPRODUCT(MAX(($W$1:W232=W233)*(ROW($W$1:W232))))))+IF(D233="Fiscal",30,90),""))</f>
        <v>45754</v>
      </c>
      <c r="G233" s="21">
        <v>45752</v>
      </c>
      <c r="H233" s="15">
        <f t="shared" si="111"/>
        <v>45762</v>
      </c>
      <c r="I233" s="15"/>
      <c r="J233" s="32"/>
      <c r="K233" s="15">
        <f t="shared" si="112"/>
        <v>45772</v>
      </c>
      <c r="L233" s="15"/>
      <c r="M233" s="15">
        <f t="shared" si="113"/>
        <v>45777</v>
      </c>
      <c r="N233" s="13">
        <v>45777</v>
      </c>
      <c r="O233" s="2">
        <f>IFERROR(IF(tblColetas[[#This Row],[Status Coleta]]="Reprovado","Reprovado",IF(ISERROR(SEARCH("Poço",D233)),IF(N233="","Erro",IF(Q233="Reprovado","",WORKDAY(N233,IF(D233="Operacional",10,3),FERIADOS!$A$3:$A$119))),"-")),"-")</f>
        <v>45783</v>
      </c>
      <c r="P233" s="21">
        <v>45783</v>
      </c>
      <c r="Q233" s="7" t="s">
        <v>37</v>
      </c>
      <c r="R233" s="13"/>
      <c r="S233" s="30"/>
      <c r="T233" s="43"/>
      <c r="W233" t="str">
        <f t="shared" si="114"/>
        <v>CDMT74-FT-6901 (Export Gas)Fiscal</v>
      </c>
      <c r="X2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4" spans="1:24" ht="12.5" x14ac:dyDescent="0.25">
      <c r="A234" s="10"/>
      <c r="B234" s="19" t="s">
        <v>46</v>
      </c>
      <c r="C234" s="5" t="s">
        <v>69</v>
      </c>
      <c r="D234" s="20" t="s">
        <v>70</v>
      </c>
      <c r="E234" s="35"/>
      <c r="F234" s="29" cm="1">
        <f t="array" ref="F234">IF(V234 &lt;&gt; "", V234, IFERROR(_xlfn.SINGLE(INDEX($G$1:G233,SUMPRODUCT(MAX(($W$1:W233=W234)*(ROW($W$1:W233))))))+IF(D234="Fiscal",30,90),""))</f>
        <v>45814</v>
      </c>
      <c r="G234" s="21">
        <v>45809</v>
      </c>
      <c r="H234" s="15">
        <f t="shared" si="111"/>
        <v>45819</v>
      </c>
      <c r="I234" s="15"/>
      <c r="J234" s="32"/>
      <c r="K234" s="15">
        <f t="shared" si="112"/>
        <v>45829</v>
      </c>
      <c r="L234" s="15"/>
      <c r="M234" s="15">
        <f t="shared" si="113"/>
        <v>45834</v>
      </c>
      <c r="N234" s="13">
        <v>45834</v>
      </c>
      <c r="O234" s="2">
        <f>IFERROR(IF(tblColetas[[#This Row],[Status Coleta]]="Reprovado","Reprovado",IF(ISERROR(SEARCH("Poço",D234)),IF(N234="","Erro",IF(Q234="Reprovado","",WORKDAY(N234,IF(D234="Operacional",10,3),FERIADOS!$A$3:$A$119))),"-")),"-")</f>
        <v>45839</v>
      </c>
      <c r="P234" s="21">
        <v>45838</v>
      </c>
      <c r="Q234" s="7" t="s">
        <v>37</v>
      </c>
      <c r="R234" s="13"/>
      <c r="S234" s="30"/>
      <c r="T234" s="43"/>
      <c r="W234" t="str">
        <f t="shared" si="114"/>
        <v>CDMT73-AP-0001 (Gas Lift)Gas Lift</v>
      </c>
      <c r="X2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5" spans="1:24" ht="12.5" x14ac:dyDescent="0.25">
      <c r="A235" s="10"/>
      <c r="B235" s="19" t="s">
        <v>31</v>
      </c>
      <c r="C235" s="5" t="s">
        <v>87</v>
      </c>
      <c r="D235" s="20" t="s">
        <v>26</v>
      </c>
      <c r="E235" s="35"/>
      <c r="F235" s="29" cm="1">
        <f t="array" ref="F235">IF(V235 &lt;&gt; "", V235, IFERROR(_xlfn.SINGLE(INDEX($G$1:G234,SUMPRODUCT(MAX(($W$1:W234=W235)*(ROW($W$1:W234))))))+IF(D235="Fiscal",30,90),""))</f>
        <v>45824</v>
      </c>
      <c r="G235" s="21">
        <v>45824</v>
      </c>
      <c r="H235" s="15">
        <f t="shared" ref="H235:H242" si="115">IF(G235="","Erro", G235+10)</f>
        <v>45834</v>
      </c>
      <c r="I235" s="15">
        <v>45827</v>
      </c>
      <c r="J235" s="32" t="s">
        <v>159</v>
      </c>
      <c r="K235" s="15">
        <f t="shared" ref="K235:K242" si="116">IF(G235="","Erro",G235+20)</f>
        <v>45844</v>
      </c>
      <c r="L235" s="15">
        <v>45840</v>
      </c>
      <c r="M235" s="15">
        <f t="shared" ref="M235:M242" si="117">IF(G235="","Erro",G235+IF(D235="Operacional",45,25))</f>
        <v>45849</v>
      </c>
      <c r="N235" s="13">
        <v>45849</v>
      </c>
      <c r="O235" s="2" t="str">
        <f>IFERROR(IF(tblColetas[[#This Row],[Status Coleta]]="Reprovado","Reprovado",IF(ISERROR(SEARCH("Poço",D235)),IF(N235="","Erro",IF(Q235="Reprovado","",WORKDAY(N235,IF(D235="Operacional",10,3),FERIADOS!$A$3:$A$119))),"-")),"-")</f>
        <v>-</v>
      </c>
      <c r="P235" s="21"/>
      <c r="Q235" s="7" t="s">
        <v>37</v>
      </c>
      <c r="R235" s="13"/>
      <c r="S235" s="33" t="s">
        <v>160</v>
      </c>
      <c r="T235" s="43"/>
      <c r="V235" s="37">
        <v>45824</v>
      </c>
      <c r="W235" t="str">
        <f t="shared" si="114"/>
        <v>CDIPoço SPH-8 (P-4)Poço CG</v>
      </c>
      <c r="X2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6" spans="1:24" ht="12.5" x14ac:dyDescent="0.25">
      <c r="A236" s="10"/>
      <c r="B236" s="19" t="s">
        <v>31</v>
      </c>
      <c r="C236" s="5" t="s">
        <v>87</v>
      </c>
      <c r="D236" s="20" t="s">
        <v>29</v>
      </c>
      <c r="E236" s="35"/>
      <c r="F236" s="29" cm="1">
        <f t="array" ref="F236">IF(V236 &lt;&gt; "", V236, IFERROR(_xlfn.SINGLE(INDEX($G$1:G235,SUMPRODUCT(MAX(($W$1:W235=W236)*(ROW($W$1:W235))))))+IF(D236="Fiscal",30,90),""))</f>
        <v>45824</v>
      </c>
      <c r="G236" s="21">
        <v>45824</v>
      </c>
      <c r="H236" s="15">
        <f t="shared" si="115"/>
        <v>45834</v>
      </c>
      <c r="I236" s="15">
        <v>45827</v>
      </c>
      <c r="J236" s="32" t="s">
        <v>159</v>
      </c>
      <c r="K236" s="15">
        <f t="shared" si="116"/>
        <v>45844</v>
      </c>
      <c r="L236" s="15">
        <v>45840</v>
      </c>
      <c r="M236" s="15">
        <f t="shared" si="117"/>
        <v>45849</v>
      </c>
      <c r="N236" s="13">
        <v>45849</v>
      </c>
      <c r="O236" s="2" t="str">
        <f>IFERROR(IF(tblColetas[[#This Row],[Status Coleta]]="Reprovado","Reprovado",IF(ISERROR(SEARCH("Poço",D236)),IF(N236="","Erro",IF(Q236="Reprovado","",WORKDAY(N236,IF(D236="Operacional",10,3),FERIADOS!$A$3:$A$119))),"-")),"-")</f>
        <v>-</v>
      </c>
      <c r="P236" s="21"/>
      <c r="Q236" s="7" t="s">
        <v>37</v>
      </c>
      <c r="R236" s="13"/>
      <c r="S236" s="33" t="s">
        <v>160</v>
      </c>
      <c r="T236" s="43"/>
      <c r="V236" s="37">
        <v>45824</v>
      </c>
      <c r="W236" t="str">
        <f t="shared" si="114"/>
        <v>CDIPoço SPH-8 (P-4)Poço PVT</v>
      </c>
      <c r="X2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7" spans="1:24" ht="12.5" x14ac:dyDescent="0.25">
      <c r="A237" s="10"/>
      <c r="B237" s="8" t="s">
        <v>31</v>
      </c>
      <c r="C237" s="5" t="s">
        <v>95</v>
      </c>
      <c r="D237" s="9" t="s">
        <v>26</v>
      </c>
      <c r="E237" s="36"/>
      <c r="F237" s="29" cm="1">
        <f t="array" ref="F237">IF(V237 &lt;&gt; "", V237, IFERROR(_xlfn.SINGLE(INDEX($G$1:G236,SUMPRODUCT(MAX(($W$1:W236=W237)*(ROW($W$1:W236))))))+IF(D237="Fiscal",30,90),""))</f>
        <v>45809</v>
      </c>
      <c r="G237" s="13">
        <v>45795</v>
      </c>
      <c r="H237" s="15">
        <f t="shared" si="115"/>
        <v>45805</v>
      </c>
      <c r="I237" s="15">
        <v>45801</v>
      </c>
      <c r="J237" s="32" t="s">
        <v>157</v>
      </c>
      <c r="K237" s="15">
        <f t="shared" si="116"/>
        <v>45815</v>
      </c>
      <c r="L237" s="15">
        <v>45811</v>
      </c>
      <c r="M237" s="15">
        <f t="shared" si="117"/>
        <v>45820</v>
      </c>
      <c r="N237" s="13">
        <v>45820</v>
      </c>
      <c r="O237" s="2" t="str">
        <f>IFERROR(IF(tblColetas[[#This Row],[Status Coleta]]="Reprovado","Reprovado",IF(ISERROR(SEARCH("Poço",D237)),IF(N237="","Erro",IF(Q237="Reprovado","",WORKDAY(N237,IF(D237="Operacional",10,3),FERIADOS!$A$3:$A$119))),"-")),"-")</f>
        <v>-</v>
      </c>
      <c r="P237" s="13"/>
      <c r="Q237" s="7" t="s">
        <v>37</v>
      </c>
      <c r="R237" s="13"/>
      <c r="S237" s="30"/>
      <c r="T237" s="43"/>
      <c r="W237" t="str">
        <f t="shared" si="114"/>
        <v>CDIPoço SPH-20 (P-5)Poço CG</v>
      </c>
      <c r="X2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8" spans="1:24" ht="12.5" x14ac:dyDescent="0.25">
      <c r="A238" s="10"/>
      <c r="B238" s="8" t="s">
        <v>31</v>
      </c>
      <c r="C238" s="5" t="s">
        <v>95</v>
      </c>
      <c r="D238" s="9" t="s">
        <v>29</v>
      </c>
      <c r="E238" s="36"/>
      <c r="F238" s="29" cm="1">
        <f t="array" ref="F238">IF(V238 &lt;&gt; "", V238, IFERROR(_xlfn.SINGLE(INDEX($G$1:G237,SUMPRODUCT(MAX(($W$1:W237=W238)*(ROW($W$1:W237))))))+IF(D238="Fiscal",30,90),""))</f>
        <v>45809</v>
      </c>
      <c r="G238" s="13">
        <v>45795</v>
      </c>
      <c r="H238" s="15">
        <f t="shared" si="115"/>
        <v>45805</v>
      </c>
      <c r="I238" s="15">
        <v>45801</v>
      </c>
      <c r="J238" s="32" t="s">
        <v>157</v>
      </c>
      <c r="K238" s="15">
        <f t="shared" si="116"/>
        <v>45815</v>
      </c>
      <c r="L238" s="15">
        <v>45811</v>
      </c>
      <c r="M238" s="15">
        <f t="shared" si="117"/>
        <v>45820</v>
      </c>
      <c r="N238" s="13">
        <v>45820</v>
      </c>
      <c r="O238" s="2" t="str">
        <f>IFERROR(IF(tblColetas[[#This Row],[Status Coleta]]="Reprovado","Reprovado",IF(ISERROR(SEARCH("Poço",D238)),IF(N238="","Erro",IF(Q238="Reprovado","",WORKDAY(N238,IF(D238="Operacional",10,3),FERIADOS!$A$3:$A$119))),"-")),"-")</f>
        <v>-</v>
      </c>
      <c r="P238" s="13"/>
      <c r="Q238" s="7" t="s">
        <v>37</v>
      </c>
      <c r="R238" s="13"/>
      <c r="S238" s="30"/>
      <c r="T238" s="43"/>
      <c r="W238" t="str">
        <f t="shared" si="114"/>
        <v>CDIPoço SPH-20 (P-5)Poço PVT</v>
      </c>
      <c r="X2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39" spans="1:24" ht="12.5" x14ac:dyDescent="0.25">
      <c r="A239" s="10"/>
      <c r="B239" s="19" t="s">
        <v>46</v>
      </c>
      <c r="C239" s="5" t="s">
        <v>116</v>
      </c>
      <c r="D239" s="20" t="s">
        <v>26</v>
      </c>
      <c r="E239" s="35"/>
      <c r="F239" s="29" cm="1">
        <f t="array" ref="F239">IF(V239 &lt;&gt; "", V239, IFERROR(_xlfn.SINGLE(INDEX($G$1:G238,SUMPRODUCT(MAX(($W$1:W238=W239)*(ROW($W$1:W238))))))+IF(D239="Fiscal",30,90),""))</f>
        <v>45817</v>
      </c>
      <c r="G239" s="21">
        <v>45793</v>
      </c>
      <c r="H239" s="15">
        <f t="shared" si="115"/>
        <v>45803</v>
      </c>
      <c r="I239" s="15">
        <v>45798</v>
      </c>
      <c r="J239" s="32" t="s">
        <v>161</v>
      </c>
      <c r="K239" s="15">
        <f t="shared" si="116"/>
        <v>45813</v>
      </c>
      <c r="L239" s="15">
        <v>45806</v>
      </c>
      <c r="M239" s="15">
        <f t="shared" si="117"/>
        <v>45818</v>
      </c>
      <c r="N239" s="13">
        <v>45818</v>
      </c>
      <c r="O239" s="2" t="str">
        <f>IFERROR(IF(tblColetas[[#This Row],[Status Coleta]]="Reprovado","Reprovado",IF(ISERROR(SEARCH("Poço",D239)),IF(N239="","Erro",IF(Q239="Reprovado","",WORKDAY(N239,IF(D239="Operacional",10,3),FERIADOS!$A$3:$A$119))),"-")),"-")</f>
        <v>-</v>
      </c>
      <c r="P239" s="21"/>
      <c r="Q239" s="7" t="s">
        <v>37</v>
      </c>
      <c r="R239" s="13"/>
      <c r="S239" s="30"/>
      <c r="T239" s="43"/>
      <c r="W239" t="str">
        <f t="shared" si="114"/>
        <v>CDMPoço LL-58 (P-03)Poço CG</v>
      </c>
      <c r="X2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0" spans="1:24" ht="12.5" x14ac:dyDescent="0.25">
      <c r="A240" s="10"/>
      <c r="B240" s="19" t="s">
        <v>46</v>
      </c>
      <c r="C240" s="5" t="s">
        <v>116</v>
      </c>
      <c r="D240" s="20" t="s">
        <v>29</v>
      </c>
      <c r="E240" s="35"/>
      <c r="F240" s="29" cm="1">
        <f t="array" ref="F240">IF(V240 &lt;&gt; "", V240, IFERROR(_xlfn.SINGLE(INDEX($G$1:G239,SUMPRODUCT(MAX(($W$1:W239=W240)*(ROW($W$1:W239))))))+IF(D240="Fiscal",30,90),""))</f>
        <v>45817</v>
      </c>
      <c r="G240" s="21">
        <v>45793</v>
      </c>
      <c r="H240" s="15">
        <f t="shared" si="115"/>
        <v>45803</v>
      </c>
      <c r="I240" s="15">
        <v>45798</v>
      </c>
      <c r="J240" s="32" t="s">
        <v>161</v>
      </c>
      <c r="K240" s="15">
        <f t="shared" si="116"/>
        <v>45813</v>
      </c>
      <c r="L240" s="15">
        <v>45806</v>
      </c>
      <c r="M240" s="15">
        <f t="shared" si="117"/>
        <v>45818</v>
      </c>
      <c r="N240" s="13">
        <v>45818</v>
      </c>
      <c r="O240" s="2" t="str">
        <f>IFERROR(IF(tblColetas[[#This Row],[Status Coleta]]="Reprovado","Reprovado",IF(ISERROR(SEARCH("Poço",D240)),IF(N240="","Erro",IF(Q240="Reprovado","",WORKDAY(N240,IF(D240="Operacional",10,3),FERIADOS!$A$3:$A$119))),"-")),"-")</f>
        <v>-</v>
      </c>
      <c r="P240" s="21"/>
      <c r="Q240" s="7" t="s">
        <v>37</v>
      </c>
      <c r="R240" s="13"/>
      <c r="S240" s="30"/>
      <c r="T240" s="43"/>
      <c r="W240" t="str">
        <f t="shared" si="114"/>
        <v>CDMPoço LL-58 (P-03)Poço PVT</v>
      </c>
      <c r="X2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1" spans="1:24" ht="12.5" x14ac:dyDescent="0.25">
      <c r="A241" s="10"/>
      <c r="B241" s="8" t="s">
        <v>31</v>
      </c>
      <c r="C241" s="5" t="s">
        <v>108</v>
      </c>
      <c r="D241" s="9" t="s">
        <v>26</v>
      </c>
      <c r="E241" s="36"/>
      <c r="F241" s="29" cm="1">
        <f t="array" ref="F241">IF(V241 &lt;&gt; "", V241, IFERROR(_xlfn.SINGLE(INDEX($G$1:G240,SUMPRODUCT(MAX(($W$1:W240=W241)*(ROW($W$1:W240))))))+IF(D241="Fiscal",30,90),""))</f>
        <v>45818</v>
      </c>
      <c r="G241" s="13">
        <v>45818</v>
      </c>
      <c r="H241" s="15">
        <f t="shared" si="115"/>
        <v>45828</v>
      </c>
      <c r="I241" s="15">
        <v>45824</v>
      </c>
      <c r="J241" s="32" t="s">
        <v>130</v>
      </c>
      <c r="K241" s="15">
        <f t="shared" si="116"/>
        <v>45838</v>
      </c>
      <c r="L241" s="15">
        <v>45833</v>
      </c>
      <c r="M241" s="15">
        <f t="shared" si="117"/>
        <v>45843</v>
      </c>
      <c r="N241" s="13">
        <v>45842</v>
      </c>
      <c r="O241" s="2" t="str">
        <f>IFERROR(IF(tblColetas[[#This Row],[Status Coleta]]="Reprovado","Reprovado",IF(ISERROR(SEARCH("Poço",D241)),IF(N241="","Erro",IF(Q241="Reprovado","",WORKDAY(N241,IF(D241="Operacional",10,3),FERIADOS!$A$3:$A$119))),"-")),"-")</f>
        <v>-</v>
      </c>
      <c r="P241" s="13"/>
      <c r="Q241" s="7" t="s">
        <v>37</v>
      </c>
      <c r="R241" s="13"/>
      <c r="S241" s="30"/>
      <c r="T241" s="43"/>
      <c r="W241" t="str">
        <f t="shared" si="114"/>
        <v>CDIPoço SPH-6 (P-10)Poço CG</v>
      </c>
      <c r="X2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2" spans="1:24" ht="12.5" x14ac:dyDescent="0.25">
      <c r="A242" s="10"/>
      <c r="B242" s="8" t="s">
        <v>31</v>
      </c>
      <c r="C242" s="5" t="s">
        <v>108</v>
      </c>
      <c r="D242" s="9" t="s">
        <v>29</v>
      </c>
      <c r="E242" s="36"/>
      <c r="F242" s="29" cm="1">
        <f t="array" ref="F242">IF(V242 &lt;&gt; "", V242, IFERROR(_xlfn.SINGLE(INDEX($G$1:G241,SUMPRODUCT(MAX(($W$1:W241=W242)*(ROW($W$1:W241))))))+IF(D242="Fiscal",30,90),""))</f>
        <v>45818</v>
      </c>
      <c r="G242" s="13">
        <v>45818</v>
      </c>
      <c r="H242" s="15">
        <f t="shared" si="115"/>
        <v>45828</v>
      </c>
      <c r="I242" s="15">
        <v>45824</v>
      </c>
      <c r="J242" s="32" t="s">
        <v>130</v>
      </c>
      <c r="K242" s="15">
        <f t="shared" si="116"/>
        <v>45838</v>
      </c>
      <c r="L242" s="15">
        <v>45833</v>
      </c>
      <c r="M242" s="15">
        <f t="shared" si="117"/>
        <v>45843</v>
      </c>
      <c r="N242" s="13">
        <v>45842</v>
      </c>
      <c r="O242" s="2" t="str">
        <f>IFERROR(IF(tblColetas[[#This Row],[Status Coleta]]="Reprovado","Reprovado",IF(ISERROR(SEARCH("Poço",D242)),IF(N242="","Erro",IF(Q242="Reprovado","",WORKDAY(N242,IF(D242="Operacional",10,3),FERIADOS!$A$3:$A$119))),"-")),"-")</f>
        <v>-</v>
      </c>
      <c r="P242" s="13"/>
      <c r="Q242" s="7" t="s">
        <v>37</v>
      </c>
      <c r="R242" s="13"/>
      <c r="S242" s="30"/>
      <c r="T242" s="43"/>
      <c r="W242" t="str">
        <f t="shared" si="114"/>
        <v>CDIPoço SPH-6 (P-10)Poço PVT</v>
      </c>
      <c r="X2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3" spans="1:24" ht="12.5" x14ac:dyDescent="0.25">
      <c r="A243" s="10"/>
      <c r="B243" s="19" t="s">
        <v>24</v>
      </c>
      <c r="C243" s="5" t="s">
        <v>102</v>
      </c>
      <c r="D243" s="20" t="s">
        <v>26</v>
      </c>
      <c r="E243" s="35"/>
      <c r="F243" s="29" cm="1">
        <f t="array" ref="F243">IF(V243 &lt;&gt; "", V243, IFERROR(_xlfn.SINGLE(INDEX($G$1:G242,SUMPRODUCT(MAX(($W$1:W242=W243)*(ROW($W$1:W242))))))+IF(D243="Fiscal",30,90),""))</f>
        <v>45818</v>
      </c>
      <c r="G243" s="21">
        <v>45804</v>
      </c>
      <c r="H243" s="15">
        <f t="shared" ref="H243:H248" si="118">IF(G243="","Erro", G243+10)</f>
        <v>45814</v>
      </c>
      <c r="I243" s="15">
        <v>45808</v>
      </c>
      <c r="J243" s="32" t="s">
        <v>132</v>
      </c>
      <c r="K243" s="15">
        <f t="shared" ref="K243:K248" si="119">IF(G243="","Erro",G243+20)</f>
        <v>45824</v>
      </c>
      <c r="L243" s="15">
        <v>45821</v>
      </c>
      <c r="M243" s="15">
        <f t="shared" ref="M243:M248" si="120">IF(G243="","Erro",G243+IF(D243="Operacional",45,25))</f>
        <v>45829</v>
      </c>
      <c r="N243" s="13">
        <v>45828</v>
      </c>
      <c r="O243" s="2" t="str">
        <f>IFERROR(IF(tblColetas[[#This Row],[Status Coleta]]="Reprovado","Reprovado",IF(ISERROR(SEARCH("Poço",D243)),IF(N243="","Erro",IF(Q243="Reprovado","",WORKDAY(N243,IF(D243="Operacional",10,3),FERIADOS!$A$3:$A$119))),"-")),"-")</f>
        <v>Reprovado</v>
      </c>
      <c r="P243" s="21"/>
      <c r="Q243" s="7" t="s">
        <v>81</v>
      </c>
      <c r="R243" s="13"/>
      <c r="S243" s="33" t="s">
        <v>162</v>
      </c>
      <c r="T243" s="43"/>
      <c r="W243" t="str">
        <f t="shared" si="114"/>
        <v>CDAPoço BAZ-09Poço CG</v>
      </c>
      <c r="X2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4" spans="1:24" ht="12.5" x14ac:dyDescent="0.25">
      <c r="A244" s="10"/>
      <c r="B244" s="19" t="s">
        <v>24</v>
      </c>
      <c r="C244" s="5" t="s">
        <v>102</v>
      </c>
      <c r="D244" s="20" t="s">
        <v>29</v>
      </c>
      <c r="E244" s="35"/>
      <c r="F244" s="29" cm="1">
        <f t="array" ref="F244">IF(V244 &lt;&gt; "", V244, IFERROR(_xlfn.SINGLE(INDEX($G$1:G243,SUMPRODUCT(MAX(($W$1:W243=W244)*(ROW($W$1:W243))))))+IF(D244="Fiscal",30,90),""))</f>
        <v>45818</v>
      </c>
      <c r="G244" s="21">
        <v>45804</v>
      </c>
      <c r="H244" s="15">
        <f t="shared" si="118"/>
        <v>45814</v>
      </c>
      <c r="I244" s="15">
        <v>45808</v>
      </c>
      <c r="J244" s="32" t="s">
        <v>132</v>
      </c>
      <c r="K244" s="15">
        <f t="shared" si="119"/>
        <v>45824</v>
      </c>
      <c r="L244" s="15">
        <v>45821</v>
      </c>
      <c r="M244" s="15">
        <f t="shared" si="120"/>
        <v>45829</v>
      </c>
      <c r="N244" s="13">
        <v>45828</v>
      </c>
      <c r="O244" s="2" t="str">
        <f>IFERROR(IF(tblColetas[[#This Row],[Status Coleta]]="Reprovado","Reprovado",IF(ISERROR(SEARCH("Poço",D244)),IF(N244="","Erro",IF(Q244="Reprovado","",WORKDAY(N244,IF(D244="Operacional",10,3),FERIADOS!$A$3:$A$119))),"-")),"-")</f>
        <v>-</v>
      </c>
      <c r="P244" s="21"/>
      <c r="Q244" s="7" t="s">
        <v>37</v>
      </c>
      <c r="R244" s="13"/>
      <c r="S244" s="30"/>
      <c r="T244" s="43"/>
      <c r="W244" t="str">
        <f t="shared" si="114"/>
        <v>CDAPoço BAZ-09Poço PVT</v>
      </c>
      <c r="X2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5" spans="1:24" ht="12.5" x14ac:dyDescent="0.25">
      <c r="A245" s="10"/>
      <c r="B245" s="19" t="s">
        <v>34</v>
      </c>
      <c r="C245" s="5" t="s">
        <v>89</v>
      </c>
      <c r="D245" s="20" t="s">
        <v>26</v>
      </c>
      <c r="E245" s="35"/>
      <c r="F245" s="29" cm="1">
        <f t="array" ref="F245">IF(V245 &lt;&gt; "", V245, IFERROR(_xlfn.SINGLE(INDEX($G$1:G244,SUMPRODUCT(MAX(($W$1:W244=W245)*(ROW($W$1:W244))))))+IF(D245="Fiscal",30,90),""))</f>
        <v>45820</v>
      </c>
      <c r="G245" s="21">
        <v>45790</v>
      </c>
      <c r="H245" s="15">
        <f t="shared" si="118"/>
        <v>45800</v>
      </c>
      <c r="I245" s="15">
        <v>45800</v>
      </c>
      <c r="J245" s="32" t="s">
        <v>154</v>
      </c>
      <c r="K245" s="15">
        <f t="shared" si="119"/>
        <v>45810</v>
      </c>
      <c r="L245" s="15">
        <v>45806</v>
      </c>
      <c r="M245" s="15">
        <f t="shared" si="120"/>
        <v>45815</v>
      </c>
      <c r="N245" s="13">
        <v>45814</v>
      </c>
      <c r="O245" s="2" t="str">
        <f>IFERROR(IF(tblColetas[[#This Row],[Status Coleta]]="Reprovado","Reprovado",IF(ISERROR(SEARCH("Poço",D245)),IF(N245="","Erro",IF(Q245="Reprovado","",WORKDAY(N245,IF(D245="Operacional",10,3),FERIADOS!$A$3:$A$119))),"-")),"-")</f>
        <v>-</v>
      </c>
      <c r="P245" s="21"/>
      <c r="Q245" s="7" t="s">
        <v>37</v>
      </c>
      <c r="R245" s="13"/>
      <c r="S245" s="30"/>
      <c r="T245" s="43"/>
      <c r="W245" t="str">
        <f t="shared" si="114"/>
        <v>CDSPoço LL-46 (P-01)Poço CG</v>
      </c>
      <c r="X2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6" spans="1:24" ht="12.5" x14ac:dyDescent="0.25">
      <c r="A246" s="10"/>
      <c r="B246" s="19" t="s">
        <v>34</v>
      </c>
      <c r="C246" s="5" t="s">
        <v>89</v>
      </c>
      <c r="D246" s="20" t="s">
        <v>29</v>
      </c>
      <c r="E246" s="35"/>
      <c r="F246" s="29" cm="1">
        <f t="array" ref="F246">IF(V246 &lt;&gt; "", V246, IFERROR(_xlfn.SINGLE(INDEX($G$1:G245,SUMPRODUCT(MAX(($W$1:W245=W246)*(ROW($W$1:W245))))))+IF(D246="Fiscal",30,90),""))</f>
        <v>45820</v>
      </c>
      <c r="G246" s="21">
        <v>45790</v>
      </c>
      <c r="H246" s="15">
        <f t="shared" si="118"/>
        <v>45800</v>
      </c>
      <c r="I246" s="15">
        <v>45800</v>
      </c>
      <c r="J246" s="32" t="s">
        <v>154</v>
      </c>
      <c r="K246" s="15">
        <f t="shared" si="119"/>
        <v>45810</v>
      </c>
      <c r="L246" s="15">
        <v>45806</v>
      </c>
      <c r="M246" s="15">
        <f t="shared" si="120"/>
        <v>45815</v>
      </c>
      <c r="N246" s="13">
        <v>45814</v>
      </c>
      <c r="O246" s="2" t="str">
        <f>IFERROR(IF(tblColetas[[#This Row],[Status Coleta]]="Reprovado","Reprovado",IF(ISERROR(SEARCH("Poço",D246)),IF(N246="","Erro",IF(Q246="Reprovado","",WORKDAY(N246,IF(D246="Operacional",10,3),FERIADOS!$A$3:$A$119))),"-")),"-")</f>
        <v>-</v>
      </c>
      <c r="P246" s="21"/>
      <c r="Q246" s="7" t="s">
        <v>37</v>
      </c>
      <c r="R246" s="13"/>
      <c r="S246" s="30"/>
      <c r="T246" s="43"/>
      <c r="W246" t="str">
        <f t="shared" si="114"/>
        <v>CDSPoço LL-46 (P-01)Poço PVT</v>
      </c>
      <c r="X2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7" spans="1:24" ht="12.5" x14ac:dyDescent="0.25">
      <c r="A247" s="10"/>
      <c r="B247" s="19" t="s">
        <v>31</v>
      </c>
      <c r="C247" s="5" t="s">
        <v>85</v>
      </c>
      <c r="D247" s="20" t="s">
        <v>26</v>
      </c>
      <c r="E247" s="35"/>
      <c r="F247" s="29" cm="1">
        <f t="array" ref="F247">IF(V247 &lt;&gt; "", V247, IFERROR(_xlfn.SINGLE(INDEX($G$1:G246,SUMPRODUCT(MAX(($W$1:W246=W247)*(ROW($W$1:W246))))))+IF(D247="Fiscal",30,90),""))</f>
        <v>45808</v>
      </c>
      <c r="G247" s="21">
        <v>45793</v>
      </c>
      <c r="H247" s="15">
        <f t="shared" si="118"/>
        <v>45803</v>
      </c>
      <c r="I247" s="15">
        <v>45793</v>
      </c>
      <c r="J247" s="32" t="s">
        <v>163</v>
      </c>
      <c r="K247" s="15">
        <f t="shared" si="119"/>
        <v>45813</v>
      </c>
      <c r="L247" s="15">
        <v>45804</v>
      </c>
      <c r="M247" s="15">
        <f t="shared" si="120"/>
        <v>45818</v>
      </c>
      <c r="N247" s="13">
        <v>45818</v>
      </c>
      <c r="O247" s="2" t="str">
        <f>IFERROR(IF(tblColetas[[#This Row],[Status Coleta]]="Reprovado","Reprovado",IF(ISERROR(SEARCH("Poço",D247)),IF(N247="","Erro",IF(Q247="Reprovado","",WORKDAY(N247,IF(D247="Operacional",10,3),FERIADOS!$A$3:$A$119))),"-")),"-")</f>
        <v>-</v>
      </c>
      <c r="P247" s="21"/>
      <c r="Q247" s="7" t="s">
        <v>37</v>
      </c>
      <c r="R247" s="13"/>
      <c r="S247" s="30"/>
      <c r="T247" s="43"/>
      <c r="W247" t="str">
        <f t="shared" si="114"/>
        <v>CDIPoço SPH-17 (P-9)Poço CG</v>
      </c>
      <c r="X2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8" spans="1:24" ht="12.5" x14ac:dyDescent="0.25">
      <c r="A248" s="10"/>
      <c r="B248" s="19" t="s">
        <v>31</v>
      </c>
      <c r="C248" s="5" t="s">
        <v>85</v>
      </c>
      <c r="D248" s="20" t="s">
        <v>29</v>
      </c>
      <c r="E248" s="35"/>
      <c r="F248" s="29" cm="1">
        <f t="array" ref="F248">IF(V248 &lt;&gt; "", V248, IFERROR(_xlfn.SINGLE(INDEX($G$1:G247,SUMPRODUCT(MAX(($W$1:W247=W248)*(ROW($W$1:W247))))))+IF(D248="Fiscal",30,90),""))</f>
        <v>45808</v>
      </c>
      <c r="G248" s="21">
        <v>45793</v>
      </c>
      <c r="H248" s="15">
        <f t="shared" si="118"/>
        <v>45803</v>
      </c>
      <c r="I248" s="15">
        <v>45793</v>
      </c>
      <c r="J248" s="32" t="s">
        <v>163</v>
      </c>
      <c r="K248" s="15">
        <f t="shared" si="119"/>
        <v>45813</v>
      </c>
      <c r="L248" s="15">
        <v>45804</v>
      </c>
      <c r="M248" s="15">
        <f t="shared" si="120"/>
        <v>45818</v>
      </c>
      <c r="N248" s="13">
        <v>45818</v>
      </c>
      <c r="O248" s="2" t="str">
        <f>IFERROR(IF(tblColetas[[#This Row],[Status Coleta]]="Reprovado","Reprovado",IF(ISERROR(SEARCH("Poço",D248)),IF(N248="","Erro",IF(Q248="Reprovado","",WORKDAY(N248,IF(D248="Operacional",10,3),FERIADOS!$A$3:$A$119))),"-")),"-")</f>
        <v>-</v>
      </c>
      <c r="P248" s="21"/>
      <c r="Q248" s="7" t="s">
        <v>37</v>
      </c>
      <c r="R248" s="13"/>
      <c r="S248" s="30"/>
      <c r="T248" s="43"/>
      <c r="W248" t="str">
        <f t="shared" si="114"/>
        <v>CDIPoço SPH-17 (P-9)Poço PVT</v>
      </c>
      <c r="X2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49" spans="1:24" ht="12.5" x14ac:dyDescent="0.25">
      <c r="A249" s="10"/>
      <c r="B249" s="19" t="s">
        <v>52</v>
      </c>
      <c r="C249" s="5" t="s">
        <v>104</v>
      </c>
      <c r="D249" s="20" t="s">
        <v>26</v>
      </c>
      <c r="E249" s="35"/>
      <c r="F249" s="29" cm="1">
        <f t="array" ref="F249">IF(V249 &lt;&gt; "", V249, IFERROR(_xlfn.SINGLE(INDEX($G$1:G248,SUMPRODUCT(MAX(($W$1:W248=W249)*(ROW($W$1:W248))))))+IF(D249="Fiscal",30,90),""))</f>
        <v>45819</v>
      </c>
      <c r="G249" s="21">
        <v>45813</v>
      </c>
      <c r="H249" s="15">
        <f t="shared" ref="H249:H256" si="121">IF(G249="","Erro", G249+10)</f>
        <v>45823</v>
      </c>
      <c r="I249" s="15">
        <v>45817</v>
      </c>
      <c r="J249" s="32" t="s">
        <v>120</v>
      </c>
      <c r="K249" s="15">
        <f t="shared" ref="K249:K256" si="122">IF(G249="","Erro",G249+20)</f>
        <v>45833</v>
      </c>
      <c r="L249" s="15">
        <v>45825</v>
      </c>
      <c r="M249" s="15">
        <f t="shared" ref="M249:M256" si="123">IF(G249="","Erro",G249+IF(D249="Operacional",45,25))</f>
        <v>45838</v>
      </c>
      <c r="N249" s="13">
        <v>45838</v>
      </c>
      <c r="O249" s="2" t="str">
        <f>IFERROR(IF(tblColetas[[#This Row],[Status Coleta]]="Reprovado","Reprovado",IF(ISERROR(SEARCH("Poço",D249)),IF(N249="","Erro",IF(Q249="Reprovado","",WORKDAY(N249,IF(D249="Operacional",10,3),FERIADOS!$A$3:$A$119))),"-")),"-")</f>
        <v>-</v>
      </c>
      <c r="P249" s="21"/>
      <c r="Q249" s="7" t="s">
        <v>37</v>
      </c>
      <c r="R249" s="13"/>
      <c r="S249" s="30"/>
      <c r="T249" s="43"/>
      <c r="W249" t="str">
        <f t="shared" si="114"/>
        <v>SEPPoço MRO-17 P-3Poço CG</v>
      </c>
      <c r="X2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0" spans="1:24" ht="12.5" x14ac:dyDescent="0.25">
      <c r="A250" s="10"/>
      <c r="B250" s="19" t="s">
        <v>52</v>
      </c>
      <c r="C250" s="5" t="s">
        <v>104</v>
      </c>
      <c r="D250" s="20" t="s">
        <v>29</v>
      </c>
      <c r="E250" s="35"/>
      <c r="F250" s="29" cm="1">
        <f t="array" ref="F250">IF(V250 &lt;&gt; "", V250, IFERROR(_xlfn.SINGLE(INDEX($G$1:G249,SUMPRODUCT(MAX(($W$1:W249=W250)*(ROW($W$1:W249))))))+IF(D250="Fiscal",30,90),""))</f>
        <v>45819</v>
      </c>
      <c r="G250" s="21">
        <v>45813</v>
      </c>
      <c r="H250" s="15">
        <f t="shared" si="121"/>
        <v>45823</v>
      </c>
      <c r="I250" s="15">
        <v>45817</v>
      </c>
      <c r="J250" s="32" t="s">
        <v>120</v>
      </c>
      <c r="K250" s="15">
        <f t="shared" si="122"/>
        <v>45833</v>
      </c>
      <c r="L250" s="15">
        <v>45825</v>
      </c>
      <c r="M250" s="15">
        <f t="shared" si="123"/>
        <v>45838</v>
      </c>
      <c r="N250" s="13">
        <v>45838</v>
      </c>
      <c r="O250" s="2" t="str">
        <f>IFERROR(IF(tblColetas[[#This Row],[Status Coleta]]="Reprovado","Reprovado",IF(ISERROR(SEARCH("Poço",D250)),IF(N250="","Erro",IF(Q250="Reprovado","",WORKDAY(N250,IF(D250="Operacional",10,3),FERIADOS!$A$3:$A$119))),"-")),"-")</f>
        <v>Reprovado</v>
      </c>
      <c r="P250" s="21"/>
      <c r="Q250" s="7" t="s">
        <v>81</v>
      </c>
      <c r="R250" s="13"/>
      <c r="S250" s="33" t="s">
        <v>127</v>
      </c>
      <c r="T250" s="43"/>
      <c r="W250" t="str">
        <f t="shared" si="114"/>
        <v>SEPPoço MRO-17 P-3Poço PVT</v>
      </c>
      <c r="X2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1" spans="1:24" ht="12.5" x14ac:dyDescent="0.25">
      <c r="A251" s="10"/>
      <c r="B251" s="19" t="s">
        <v>52</v>
      </c>
      <c r="C251" s="5" t="s">
        <v>111</v>
      </c>
      <c r="D251" s="20" t="s">
        <v>26</v>
      </c>
      <c r="E251" s="35"/>
      <c r="F251" s="29" cm="1">
        <f t="array" ref="F251">IF(V251 &lt;&gt; "", V251, IFERROR(_xlfn.SINGLE(INDEX($G$1:G250,SUMPRODUCT(MAX(($W$1:W250=W251)*(ROW($W$1:W250))))))+IF(D251="Fiscal",30,90),""))</f>
        <v>45820</v>
      </c>
      <c r="G251" s="21">
        <v>45815</v>
      </c>
      <c r="H251" s="15">
        <f t="shared" si="121"/>
        <v>45825</v>
      </c>
      <c r="I251" s="15">
        <v>45817</v>
      </c>
      <c r="J251" s="32" t="s">
        <v>120</v>
      </c>
      <c r="K251" s="15">
        <f t="shared" si="122"/>
        <v>45835</v>
      </c>
      <c r="L251" s="15">
        <v>45825</v>
      </c>
      <c r="M251" s="15">
        <f t="shared" si="123"/>
        <v>45840</v>
      </c>
      <c r="N251" s="13">
        <v>45840</v>
      </c>
      <c r="O251" s="2" t="str">
        <f>IFERROR(IF(tblColetas[[#This Row],[Status Coleta]]="Reprovado","Reprovado",IF(ISERROR(SEARCH("Poço",D251)),IF(N251="","Erro",IF(Q251="Reprovado","",WORKDAY(N251,IF(D251="Operacional",10,3),FERIADOS!$A$3:$A$119))),"-")),"-")</f>
        <v>-</v>
      </c>
      <c r="P251" s="21"/>
      <c r="Q251" s="7" t="s">
        <v>37</v>
      </c>
      <c r="R251" s="13"/>
      <c r="S251" s="30"/>
      <c r="T251" s="43"/>
      <c r="W251" t="str">
        <f t="shared" si="114"/>
        <v>SEPPoço 3-RJS-739A P-6Poço CG</v>
      </c>
      <c r="X2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2" spans="1:24" ht="12.5" x14ac:dyDescent="0.25">
      <c r="A252" s="10"/>
      <c r="B252" s="19" t="s">
        <v>52</v>
      </c>
      <c r="C252" s="5" t="s">
        <v>111</v>
      </c>
      <c r="D252" s="20" t="s">
        <v>29</v>
      </c>
      <c r="E252" s="35"/>
      <c r="F252" s="29" cm="1">
        <f t="array" ref="F252">IF(V252 &lt;&gt; "", V252, IFERROR(_xlfn.SINGLE(INDEX($G$1:G251,SUMPRODUCT(MAX(($W$1:W251=W252)*(ROW($W$1:W251))))))+IF(D252="Fiscal",30,90),""))</f>
        <v>45820</v>
      </c>
      <c r="G252" s="21">
        <v>45815</v>
      </c>
      <c r="H252" s="15">
        <f t="shared" si="121"/>
        <v>45825</v>
      </c>
      <c r="I252" s="15">
        <v>45817</v>
      </c>
      <c r="J252" s="32" t="s">
        <v>120</v>
      </c>
      <c r="K252" s="15">
        <f t="shared" si="122"/>
        <v>45835</v>
      </c>
      <c r="L252" s="15">
        <v>45825</v>
      </c>
      <c r="M252" s="15">
        <f t="shared" si="123"/>
        <v>45840</v>
      </c>
      <c r="N252" s="13">
        <v>45840</v>
      </c>
      <c r="O252" s="2" t="str">
        <f>IFERROR(IF(tblColetas[[#This Row],[Status Coleta]]="Reprovado","Reprovado",IF(ISERROR(SEARCH("Poço",D252)),IF(N252="","Erro",IF(Q252="Reprovado","",WORKDAY(N252,IF(D252="Operacional",10,3),FERIADOS!$A$3:$A$119))),"-")),"-")</f>
        <v>-</v>
      </c>
      <c r="P252" s="21"/>
      <c r="Q252" s="7" t="s">
        <v>37</v>
      </c>
      <c r="R252" s="13"/>
      <c r="S252" s="30"/>
      <c r="T252" s="43"/>
      <c r="W252" t="str">
        <f t="shared" si="114"/>
        <v>SEPPoço 3-RJS-739A P-6Poço PVT</v>
      </c>
      <c r="X2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3" spans="1:24" ht="12.5" x14ac:dyDescent="0.25">
      <c r="A253" s="10"/>
      <c r="B253" s="19" t="s">
        <v>31</v>
      </c>
      <c r="C253" s="5" t="s">
        <v>105</v>
      </c>
      <c r="D253" s="20" t="s">
        <v>26</v>
      </c>
      <c r="E253" s="35"/>
      <c r="F253" s="29" cm="1">
        <f t="array" ref="F253">IF(V253 &lt;&gt; "", V253, IFERROR(_xlfn.SINGLE(INDEX($G$1:G252,SUMPRODUCT(MAX(($W$1:W252=W253)*(ROW($W$1:W252))))))+IF(D253="Fiscal",30,90),""))</f>
        <v>45823</v>
      </c>
      <c r="G253" s="21">
        <v>45788</v>
      </c>
      <c r="H253" s="15">
        <f t="shared" si="121"/>
        <v>45798</v>
      </c>
      <c r="I253" s="15">
        <v>45793</v>
      </c>
      <c r="J253" s="32" t="s">
        <v>163</v>
      </c>
      <c r="K253" s="15">
        <f t="shared" si="122"/>
        <v>45808</v>
      </c>
      <c r="L253" s="15">
        <v>45804</v>
      </c>
      <c r="M253" s="15">
        <f t="shared" si="123"/>
        <v>45813</v>
      </c>
      <c r="N253" s="13">
        <v>45813</v>
      </c>
      <c r="O253" s="2" t="str">
        <f>IFERROR(IF(tblColetas[[#This Row],[Status Coleta]]="Reprovado","Reprovado",IF(ISERROR(SEARCH("Poço",D253)),IF(N253="","Erro",IF(Q253="Reprovado","",WORKDAY(N253,IF(D253="Operacional",10,3),FERIADOS!$A$3:$A$119))),"-")),"-")</f>
        <v>-</v>
      </c>
      <c r="P253" s="21"/>
      <c r="Q253" s="7" t="s">
        <v>37</v>
      </c>
      <c r="R253" s="13"/>
      <c r="S253" s="30"/>
      <c r="T253" s="43"/>
      <c r="W253" t="str">
        <f t="shared" si="114"/>
        <v>CDIPoço SPH-16 (P-7)Poço CG</v>
      </c>
      <c r="X2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4" spans="1:24" ht="12.5" x14ac:dyDescent="0.25">
      <c r="A254" s="10"/>
      <c r="B254" s="19" t="s">
        <v>31</v>
      </c>
      <c r="C254" s="5" t="s">
        <v>105</v>
      </c>
      <c r="D254" s="20" t="s">
        <v>29</v>
      </c>
      <c r="E254" s="35"/>
      <c r="F254" s="29" cm="1">
        <f t="array" ref="F254">IF(V254 &lt;&gt; "", V254, IFERROR(_xlfn.SINGLE(INDEX($G$1:G253,SUMPRODUCT(MAX(($W$1:W253=W254)*(ROW($W$1:W253))))))+IF(D254="Fiscal",30,90),""))</f>
        <v>45823</v>
      </c>
      <c r="G254" s="21">
        <v>45788</v>
      </c>
      <c r="H254" s="15">
        <f t="shared" si="121"/>
        <v>45798</v>
      </c>
      <c r="I254" s="15">
        <v>45793</v>
      </c>
      <c r="J254" s="32" t="s">
        <v>163</v>
      </c>
      <c r="K254" s="15">
        <f t="shared" si="122"/>
        <v>45808</v>
      </c>
      <c r="L254" s="15">
        <v>45804</v>
      </c>
      <c r="M254" s="15">
        <f t="shared" si="123"/>
        <v>45813</v>
      </c>
      <c r="N254" s="13">
        <v>45813</v>
      </c>
      <c r="O254" s="2" t="str">
        <f>IFERROR(IF(tblColetas[[#This Row],[Status Coleta]]="Reprovado","Reprovado",IF(ISERROR(SEARCH("Poço",D254)),IF(N254="","Erro",IF(Q254="Reprovado","",WORKDAY(N254,IF(D254="Operacional",10,3),FERIADOS!$A$3:$A$119))),"-")),"-")</f>
        <v>Reprovado</v>
      </c>
      <c r="P254" s="21"/>
      <c r="Q254" s="7" t="s">
        <v>81</v>
      </c>
      <c r="R254" s="13"/>
      <c r="S254" s="33" t="s">
        <v>164</v>
      </c>
      <c r="T254" s="43"/>
      <c r="W254" t="str">
        <f t="shared" si="114"/>
        <v>CDIPoço SPH-16 (P-7)Poço PVT</v>
      </c>
      <c r="X2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5" spans="1:24" ht="12.5" x14ac:dyDescent="0.25">
      <c r="A255" s="10"/>
      <c r="B255" s="19" t="s">
        <v>31</v>
      </c>
      <c r="C255" s="5" t="s">
        <v>107</v>
      </c>
      <c r="D255" s="20" t="s">
        <v>26</v>
      </c>
      <c r="E255" s="35"/>
      <c r="F255" s="29" cm="1">
        <f t="array" ref="F255">IF(V255 &lt;&gt; "", V255, IFERROR(_xlfn.SINGLE(INDEX($G$1:G254,SUMPRODUCT(MAX(($W$1:W254=W255)*(ROW($W$1:W254))))))+IF(D255="Fiscal",30,90),""))</f>
        <v>45825</v>
      </c>
      <c r="G255" s="21">
        <v>45825</v>
      </c>
      <c r="H255" s="15">
        <f t="shared" si="121"/>
        <v>45835</v>
      </c>
      <c r="I255" s="15">
        <v>45827</v>
      </c>
      <c r="J255" s="32" t="s">
        <v>159</v>
      </c>
      <c r="K255" s="15">
        <f t="shared" si="122"/>
        <v>45845</v>
      </c>
      <c r="L255" s="15">
        <v>45840</v>
      </c>
      <c r="M255" s="15">
        <f t="shared" si="123"/>
        <v>45850</v>
      </c>
      <c r="N255" s="13">
        <v>45849</v>
      </c>
      <c r="O255" s="2" t="str">
        <f>IFERROR(IF(tblColetas[[#This Row],[Status Coleta]]="Reprovado","Reprovado",IF(ISERROR(SEARCH("Poço",D255)),IF(N255="","Erro",IF(Q255="Reprovado","",WORKDAY(N255,IF(D255="Operacional",10,3),FERIADOS!$A$3:$A$119))),"-")),"-")</f>
        <v>-</v>
      </c>
      <c r="P255" s="21"/>
      <c r="Q255" s="7" t="s">
        <v>37</v>
      </c>
      <c r="R255" s="13"/>
      <c r="S255" s="30"/>
      <c r="T255" s="43"/>
      <c r="W255" t="str">
        <f t="shared" si="114"/>
        <v>CDIPoço SPH-7 (P-3)Poço CG</v>
      </c>
      <c r="X2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6" spans="1:24" ht="12.5" x14ac:dyDescent="0.25">
      <c r="A256" s="10"/>
      <c r="B256" s="19" t="s">
        <v>31</v>
      </c>
      <c r="C256" s="5" t="s">
        <v>107</v>
      </c>
      <c r="D256" s="20" t="s">
        <v>29</v>
      </c>
      <c r="E256" s="35"/>
      <c r="F256" s="29" cm="1">
        <f t="array" ref="F256">IF(V256 &lt;&gt; "", V256, IFERROR(_xlfn.SINGLE(INDEX($G$1:G255,SUMPRODUCT(MAX(($W$1:W255=W256)*(ROW($W$1:W255))))))+IF(D256="Fiscal",30,90),""))</f>
        <v>45825</v>
      </c>
      <c r="G256" s="21">
        <v>45825</v>
      </c>
      <c r="H256" s="15">
        <f t="shared" si="121"/>
        <v>45835</v>
      </c>
      <c r="I256" s="15">
        <v>45827</v>
      </c>
      <c r="J256" s="32" t="s">
        <v>159</v>
      </c>
      <c r="K256" s="15">
        <f t="shared" si="122"/>
        <v>45845</v>
      </c>
      <c r="L256" s="15">
        <v>45840</v>
      </c>
      <c r="M256" s="15">
        <f t="shared" si="123"/>
        <v>45850</v>
      </c>
      <c r="N256" s="13">
        <v>45849</v>
      </c>
      <c r="O256" s="2" t="str">
        <f>IFERROR(IF(tblColetas[[#This Row],[Status Coleta]]="Reprovado","Reprovado",IF(ISERROR(SEARCH("Poço",D256)),IF(N256="","Erro",IF(Q256="Reprovado","",WORKDAY(N256,IF(D256="Operacional",10,3),FERIADOS!$A$3:$A$119))),"-")),"-")</f>
        <v>-</v>
      </c>
      <c r="P256" s="21"/>
      <c r="Q256" s="7" t="s">
        <v>37</v>
      </c>
      <c r="R256" s="13"/>
      <c r="S256" s="30"/>
      <c r="T256" s="43"/>
      <c r="W256" t="str">
        <f t="shared" si="114"/>
        <v>CDIPoço SPH-7 (P-3)Poço PVT</v>
      </c>
      <c r="X2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7" spans="1:24" ht="12.5" x14ac:dyDescent="0.25">
      <c r="A257" s="10"/>
      <c r="B257" s="19" t="s">
        <v>46</v>
      </c>
      <c r="C257" s="5" t="s">
        <v>48</v>
      </c>
      <c r="D257" s="20" t="s">
        <v>26</v>
      </c>
      <c r="E257" s="35"/>
      <c r="F257" s="29" cm="1">
        <f t="array" ref="F257">IF(V257 &lt;&gt; "", V257, IFERROR(_xlfn.SINGLE(INDEX($G$1:G256,SUMPRODUCT(MAX(($W$1:W256=W257)*(ROW($W$1:W256))))))+IF(D257="Fiscal",30,90),""))</f>
        <v>45825</v>
      </c>
      <c r="G257" s="21">
        <v>45820</v>
      </c>
      <c r="H257" s="15">
        <f t="shared" ref="H257:H262" si="124">IF(G257="","Erro", G257+10)</f>
        <v>45830</v>
      </c>
      <c r="I257" s="15">
        <v>45821</v>
      </c>
      <c r="J257" s="32" t="s">
        <v>165</v>
      </c>
      <c r="K257" s="15">
        <f t="shared" ref="K257:K262" si="125">IF(G257="","Erro",G257+20)</f>
        <v>45840</v>
      </c>
      <c r="L257" s="15">
        <v>45833</v>
      </c>
      <c r="M257" s="15">
        <f t="shared" ref="M257:M262" si="126">IF(G257="","Erro",G257+IF(D257="Operacional",45,25))</f>
        <v>45845</v>
      </c>
      <c r="N257" s="13">
        <v>45845</v>
      </c>
      <c r="O257" s="2" t="str">
        <f>IFERROR(IF(tblColetas[[#This Row],[Status Coleta]]="Reprovado","Reprovado",IF(ISERROR(SEARCH("Poço",D257)),IF(N257="","Erro",IF(Q257="Reprovado","",WORKDAY(N257,IF(D257="Operacional",10,3),FERIADOS!$A$3:$A$119))),"-")),"-")</f>
        <v>-</v>
      </c>
      <c r="P257" s="21"/>
      <c r="Q257" s="7" t="s">
        <v>37</v>
      </c>
      <c r="R257" s="13"/>
      <c r="S257" s="30"/>
      <c r="T257" s="43"/>
      <c r="W257" t="str">
        <f t="shared" si="114"/>
        <v>CDMPoço LL-66 (P-09)Poço CG</v>
      </c>
      <c r="X2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8" spans="1:24" ht="12.5" x14ac:dyDescent="0.25">
      <c r="A258" s="10"/>
      <c r="B258" s="19" t="s">
        <v>46</v>
      </c>
      <c r="C258" s="5" t="s">
        <v>48</v>
      </c>
      <c r="D258" s="20" t="s">
        <v>29</v>
      </c>
      <c r="E258" s="35"/>
      <c r="F258" s="29" cm="1">
        <f t="array" ref="F258">IF(V258 &lt;&gt; "", V258, IFERROR(_xlfn.SINGLE(INDEX($G$1:G257,SUMPRODUCT(MAX(($W$1:W257=W258)*(ROW($W$1:W257))))))+IF(D258="Fiscal",30,90),""))</f>
        <v>45825</v>
      </c>
      <c r="G258" s="21">
        <v>45820</v>
      </c>
      <c r="H258" s="15">
        <f t="shared" si="124"/>
        <v>45830</v>
      </c>
      <c r="I258" s="15">
        <v>45821</v>
      </c>
      <c r="J258" s="32" t="s">
        <v>165</v>
      </c>
      <c r="K258" s="15">
        <f t="shared" si="125"/>
        <v>45840</v>
      </c>
      <c r="L258" s="15">
        <v>45833</v>
      </c>
      <c r="M258" s="15">
        <f t="shared" si="126"/>
        <v>45845</v>
      </c>
      <c r="N258" s="13">
        <v>45845</v>
      </c>
      <c r="O258" s="2" t="str">
        <f>IFERROR(IF(tblColetas[[#This Row],[Status Coleta]]="Reprovado","Reprovado",IF(ISERROR(SEARCH("Poço",D258)),IF(N258="","Erro",IF(Q258="Reprovado","",WORKDAY(N258,IF(D258="Operacional",10,3),FERIADOS!$A$3:$A$119))),"-")),"-")</f>
        <v>-</v>
      </c>
      <c r="P258" s="21"/>
      <c r="Q258" s="7" t="s">
        <v>37</v>
      </c>
      <c r="R258" s="13"/>
      <c r="S258" s="30"/>
      <c r="T258" s="43"/>
      <c r="W258" t="str">
        <f t="shared" si="114"/>
        <v>CDMPoço LL-66 (P-09)Poço PVT</v>
      </c>
      <c r="X2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59" spans="1:24" ht="12.5" x14ac:dyDescent="0.25">
      <c r="A259" s="10"/>
      <c r="B259" s="17" t="s">
        <v>145</v>
      </c>
      <c r="C259" s="6" t="s">
        <v>166</v>
      </c>
      <c r="D259" s="18" t="s">
        <v>26</v>
      </c>
      <c r="E259" s="35"/>
      <c r="F259" s="25" t="str" cm="1">
        <f t="array" ref="F259">IF(V259 &lt;&gt; "", V259, IFERROR(_xlfn.SINGLE(INDEX($G$1:G258,SUMPRODUCT(MAX(($W$1:W258=W259)*(ROW($W$1:W258))))))+IF(D259="Fiscal",30,90),""))</f>
        <v/>
      </c>
      <c r="G259" s="16">
        <v>45728</v>
      </c>
      <c r="H259" s="15">
        <f t="shared" si="124"/>
        <v>45738</v>
      </c>
      <c r="I259" s="15">
        <v>45735</v>
      </c>
      <c r="J259" s="32" t="s">
        <v>136</v>
      </c>
      <c r="K259" s="15">
        <f t="shared" si="125"/>
        <v>45748</v>
      </c>
      <c r="L259" s="15">
        <v>45742</v>
      </c>
      <c r="M259" s="14">
        <f t="shared" si="126"/>
        <v>45753</v>
      </c>
      <c r="N259" s="12">
        <v>45752</v>
      </c>
      <c r="O259" s="1" t="str">
        <f>IFERROR(IF(tblColetas[[#This Row],[Status Coleta]]="Reprovado","Reprovado",IF(ISERROR(SEARCH("Poço",D259)),IF(N259="","Erro",IF(Q259="Reprovado","",WORKDAY(N259,IF(D259="Operacional",10,3),FERIADOS!$A$3:$A$119))),"-")),"-")</f>
        <v>-</v>
      </c>
      <c r="P259" s="16"/>
      <c r="Q259" s="7" t="s">
        <v>37</v>
      </c>
      <c r="R259" s="12"/>
      <c r="S259" s="27"/>
      <c r="T259" s="42"/>
      <c r="W259" t="str">
        <f t="shared" si="114"/>
        <v>ATDPoço 7-BUZ-74D-RJS (P-5)Poço CG</v>
      </c>
      <c r="X2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0" spans="1:24" ht="12.5" x14ac:dyDescent="0.25">
      <c r="A260" s="10"/>
      <c r="B260" s="17" t="s">
        <v>145</v>
      </c>
      <c r="C260" s="6" t="s">
        <v>166</v>
      </c>
      <c r="D260" s="18" t="s">
        <v>29</v>
      </c>
      <c r="E260" s="35"/>
      <c r="F260" s="25" t="str" cm="1">
        <f t="array" ref="F260">IF(V260 &lt;&gt; "", V260, IFERROR(_xlfn.SINGLE(INDEX($G$1:G259,SUMPRODUCT(MAX(($W$1:W259=W260)*(ROW($W$1:W259))))))+IF(D260="Fiscal",30,90),""))</f>
        <v/>
      </c>
      <c r="G260" s="16">
        <v>45728</v>
      </c>
      <c r="H260" s="15">
        <f t="shared" si="124"/>
        <v>45738</v>
      </c>
      <c r="I260" s="15">
        <v>45735</v>
      </c>
      <c r="J260" s="32" t="s">
        <v>136</v>
      </c>
      <c r="K260" s="15">
        <f t="shared" si="125"/>
        <v>45748</v>
      </c>
      <c r="L260" s="15">
        <v>45742</v>
      </c>
      <c r="M260" s="14">
        <f t="shared" si="126"/>
        <v>45753</v>
      </c>
      <c r="N260" s="12">
        <v>45752</v>
      </c>
      <c r="O260" s="1" t="str">
        <f>IFERROR(IF(tblColetas[[#This Row],[Status Coleta]]="Reprovado","Reprovado",IF(ISERROR(SEARCH("Poço",D260)),IF(N260="","Erro",IF(Q260="Reprovado","",WORKDAY(N260,IF(D260="Operacional",10,3),FERIADOS!$A$3:$A$119))),"-")),"-")</f>
        <v>-</v>
      </c>
      <c r="P260" s="16"/>
      <c r="Q260" s="7" t="s">
        <v>37</v>
      </c>
      <c r="R260" s="12"/>
      <c r="S260" s="27"/>
      <c r="T260" s="42"/>
      <c r="W260" t="str">
        <f t="shared" si="114"/>
        <v>ATDPoço 7-BUZ-74D-RJS (P-5)Poço PVT</v>
      </c>
      <c r="X2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1" spans="1:24" ht="12.5" x14ac:dyDescent="0.25">
      <c r="A261" s="10"/>
      <c r="B261" s="19" t="s">
        <v>145</v>
      </c>
      <c r="C261" s="5" t="s">
        <v>166</v>
      </c>
      <c r="D261" s="20" t="s">
        <v>26</v>
      </c>
      <c r="E261" s="35"/>
      <c r="F261" s="29" cm="1">
        <f t="array" ref="F261">IF(V261 &lt;&gt; "", V261, IFERROR(_xlfn.SINGLE(INDEX($G$1:G260,SUMPRODUCT(MAX(($W$1:W260=W261)*(ROW($W$1:W260))))))+IF(D261="Fiscal",30,90),""))</f>
        <v>45818</v>
      </c>
      <c r="G261" s="21">
        <v>45815</v>
      </c>
      <c r="H261" s="15">
        <f t="shared" si="124"/>
        <v>45825</v>
      </c>
      <c r="I261" s="15">
        <v>45818</v>
      </c>
      <c r="J261" s="32" t="s">
        <v>167</v>
      </c>
      <c r="K261" s="15">
        <f t="shared" si="125"/>
        <v>45835</v>
      </c>
      <c r="L261" s="15">
        <v>45828</v>
      </c>
      <c r="M261" s="15">
        <f t="shared" si="126"/>
        <v>45840</v>
      </c>
      <c r="N261" s="13">
        <v>45840</v>
      </c>
      <c r="O261" s="2" t="str">
        <f>IFERROR(IF(tblColetas[[#This Row],[Status Coleta]]="Reprovado","Reprovado",IF(ISERROR(SEARCH("Poço",D261)),IF(N261="","Erro",IF(Q261="Reprovado","",WORKDAY(N261,IF(D261="Operacional",10,3),FERIADOS!$A$3:$A$119))),"-")),"-")</f>
        <v>-</v>
      </c>
      <c r="P261" s="21"/>
      <c r="Q261" s="7" t="s">
        <v>37</v>
      </c>
      <c r="R261" s="13"/>
      <c r="S261" s="30"/>
      <c r="T261" s="43"/>
      <c r="W261" t="str">
        <f t="shared" si="114"/>
        <v>ATDPoço 7-BUZ-74D-RJS (P-5)Poço CG</v>
      </c>
      <c r="X2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2" spans="1:24" ht="12.5" x14ac:dyDescent="0.25">
      <c r="A262" s="10"/>
      <c r="B262" s="19" t="s">
        <v>145</v>
      </c>
      <c r="C262" s="5" t="s">
        <v>166</v>
      </c>
      <c r="D262" s="20" t="s">
        <v>29</v>
      </c>
      <c r="E262" s="35"/>
      <c r="F262" s="29" cm="1">
        <f t="array" ref="F262">IF(V262 &lt;&gt; "", V262, IFERROR(_xlfn.SINGLE(INDEX($G$1:G261,SUMPRODUCT(MAX(($W$1:W261=W262)*(ROW($W$1:W261))))))+IF(D262="Fiscal",30,90),""))</f>
        <v>45818</v>
      </c>
      <c r="G262" s="21">
        <v>45815</v>
      </c>
      <c r="H262" s="15">
        <f t="shared" si="124"/>
        <v>45825</v>
      </c>
      <c r="I262" s="15">
        <v>45818</v>
      </c>
      <c r="J262" s="32" t="s">
        <v>167</v>
      </c>
      <c r="K262" s="15">
        <f t="shared" si="125"/>
        <v>45835</v>
      </c>
      <c r="L262" s="15">
        <v>45828</v>
      </c>
      <c r="M262" s="15">
        <f t="shared" si="126"/>
        <v>45840</v>
      </c>
      <c r="N262" s="13">
        <v>45840</v>
      </c>
      <c r="O262" s="2" t="str">
        <f>IFERROR(IF(tblColetas[[#This Row],[Status Coleta]]="Reprovado","Reprovado",IF(ISERROR(SEARCH("Poço",D262)),IF(N262="","Erro",IF(Q262="Reprovado","",WORKDAY(N262,IF(D262="Operacional",10,3),FERIADOS!$A$3:$A$119))),"-")),"-")</f>
        <v>-</v>
      </c>
      <c r="P262" s="21"/>
      <c r="Q262" s="7" t="s">
        <v>37</v>
      </c>
      <c r="R262" s="13"/>
      <c r="S262" s="30"/>
      <c r="T262" s="43"/>
      <c r="W262" t="str">
        <f t="shared" si="114"/>
        <v>ATDPoço 7-BUZ-74D-RJS (P-5)Poço PVT</v>
      </c>
      <c r="X2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3" spans="1:24" ht="12.5" x14ac:dyDescent="0.25">
      <c r="A263" s="10"/>
      <c r="B263" s="19" t="s">
        <v>145</v>
      </c>
      <c r="C263" s="5" t="s">
        <v>146</v>
      </c>
      <c r="D263" s="20" t="s">
        <v>72</v>
      </c>
      <c r="E263" s="35"/>
      <c r="F263" s="29" cm="1">
        <f t="array" ref="F263">IF(V263 &lt;&gt; "", V263, IFERROR(_xlfn.SINGLE(INDEX($G$1:G262,SUMPRODUCT(MAX(($W$1:W262=W263)*(ROW($W$1:W262))))))+IF(D263="Fiscal",30,90),""))</f>
        <v>45765</v>
      </c>
      <c r="G263" s="21">
        <v>45762</v>
      </c>
      <c r="H263" s="15">
        <f t="shared" ref="H263:H273" si="127">IF(G263="","Erro", G263+10)</f>
        <v>45772</v>
      </c>
      <c r="I263" s="15"/>
      <c r="J263" s="32"/>
      <c r="K263" s="15">
        <f t="shared" ref="K263:K273" si="128">IF(G263="","Erro",G263+20)</f>
        <v>45782</v>
      </c>
      <c r="L263" s="15"/>
      <c r="M263" s="15">
        <f t="shared" ref="M263:M273" si="129">IF(G263="","Erro",G263+IF(D263="Operacional",45,25))</f>
        <v>45787</v>
      </c>
      <c r="N263" s="13">
        <v>45786</v>
      </c>
      <c r="O263" s="2">
        <f>IFERROR(IF(tblColetas[[#This Row],[Status Coleta]]="Reprovado","Reprovado",IF(ISERROR(SEARCH("Poço",D263)),IF(N263="","Erro",IF(Q263="Reprovado","",WORKDAY(N263,IF(D263="Operacional",10,3),FERIADOS!$A$3:$A$119))),"-")),"-")</f>
        <v>45791</v>
      </c>
      <c r="P263" s="21">
        <v>45791</v>
      </c>
      <c r="Q263" s="7" t="s">
        <v>37</v>
      </c>
      <c r="R263" s="13"/>
      <c r="S263" s="30"/>
      <c r="T263" s="43"/>
      <c r="W263" t="str">
        <f t="shared" si="114"/>
        <v>ATD777-AP-1403 (Fuel Gas to Flare Stack)Fiscal</v>
      </c>
      <c r="X2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4" spans="1:24" ht="12.5" x14ac:dyDescent="0.25">
      <c r="A264" s="10"/>
      <c r="B264" s="19" t="s">
        <v>145</v>
      </c>
      <c r="C264" s="5" t="s">
        <v>147</v>
      </c>
      <c r="D264" s="20" t="s">
        <v>72</v>
      </c>
      <c r="E264" s="35"/>
      <c r="F264" s="29" cm="1">
        <f t="array" ref="F264">IF(V264 &lt;&gt; "", V264, IFERROR(_xlfn.SINGLE(INDEX($G$1:G263,SUMPRODUCT(MAX(($W$1:W263=W264)*(ROW($W$1:W263))))))+IF(D264="Fiscal",30,90),""))</f>
        <v>45765</v>
      </c>
      <c r="G264" s="21">
        <v>45762</v>
      </c>
      <c r="H264" s="15">
        <f t="shared" si="127"/>
        <v>45772</v>
      </c>
      <c r="I264" s="15"/>
      <c r="J264" s="32"/>
      <c r="K264" s="15">
        <f t="shared" si="128"/>
        <v>45782</v>
      </c>
      <c r="L264" s="15"/>
      <c r="M264" s="15">
        <f t="shared" si="129"/>
        <v>45787</v>
      </c>
      <c r="N264" s="13">
        <v>45786</v>
      </c>
      <c r="O264" s="2">
        <f>IFERROR(IF(tblColetas[[#This Row],[Status Coleta]]="Reprovado","Reprovado",IF(ISERROR(SEARCH("Poço",D264)),IF(N264="","Erro",IF(Q264="Reprovado","",WORKDAY(N264,IF(D264="Operacional",10,3),FERIADOS!$A$3:$A$119))),"-")),"-")</f>
        <v>45791</v>
      </c>
      <c r="P264" s="21">
        <v>45791</v>
      </c>
      <c r="Q264" s="7" t="s">
        <v>37</v>
      </c>
      <c r="R264" s="13"/>
      <c r="S264" s="30"/>
      <c r="T264" s="43"/>
      <c r="W264" t="str">
        <f t="shared" si="114"/>
        <v>ATD777-AP-1506 (Fuel Gas)Fiscal</v>
      </c>
      <c r="X2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5" spans="1:24" ht="12.5" x14ac:dyDescent="0.25">
      <c r="A265" s="10"/>
      <c r="B265" s="19" t="s">
        <v>145</v>
      </c>
      <c r="C265" s="5" t="s">
        <v>148</v>
      </c>
      <c r="D265" s="20" t="s">
        <v>72</v>
      </c>
      <c r="E265" s="35"/>
      <c r="F265" s="29" cm="1">
        <f t="array" ref="F265">IF(V265 &lt;&gt; "", V265, IFERROR(_xlfn.SINGLE(INDEX($G$1:G264,SUMPRODUCT(MAX(($W$1:W264=W265)*(ROW($W$1:W264))))))+IF(D265="Fiscal",30,90),""))</f>
        <v>45765</v>
      </c>
      <c r="G265" s="21">
        <v>45762</v>
      </c>
      <c r="H265" s="15">
        <f t="shared" si="127"/>
        <v>45772</v>
      </c>
      <c r="I265" s="15"/>
      <c r="J265" s="32"/>
      <c r="K265" s="15">
        <f t="shared" si="128"/>
        <v>45782</v>
      </c>
      <c r="L265" s="15"/>
      <c r="M265" s="15">
        <f t="shared" si="129"/>
        <v>45787</v>
      </c>
      <c r="N265" s="13">
        <v>45786</v>
      </c>
      <c r="O265" s="2" t="str">
        <f>IFERROR(IF(tblColetas[[#This Row],[Status Coleta]]="Reprovado","Reprovado",IF(ISERROR(SEARCH("Poço",D265)),IF(N265="","Erro",IF(Q265="Reprovado","",WORKDAY(N265,IF(D265="Operacional",10,3),FERIADOS!$A$3:$A$119))),"-")),"-")</f>
        <v>Reprovado</v>
      </c>
      <c r="P265" s="21"/>
      <c r="Q265" s="7" t="s">
        <v>81</v>
      </c>
      <c r="R265" s="13"/>
      <c r="S265" s="33" t="s">
        <v>153</v>
      </c>
      <c r="T265" s="43"/>
      <c r="W265" t="str">
        <f t="shared" si="114"/>
        <v>ATD776-AP-0018-2 (HP Flare)Fiscal</v>
      </c>
      <c r="X2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6" spans="1:24" ht="12.5" x14ac:dyDescent="0.25">
      <c r="A266" s="10"/>
      <c r="B266" s="19" t="s">
        <v>145</v>
      </c>
      <c r="C266" s="5" t="s">
        <v>149</v>
      </c>
      <c r="D266" s="20" t="s">
        <v>72</v>
      </c>
      <c r="E266" s="35"/>
      <c r="F266" s="29" cm="1">
        <f t="array" ref="F266">IF(V266 &lt;&gt; "", V266, IFERROR(_xlfn.SINGLE(INDEX($G$1:G265,SUMPRODUCT(MAX(($W$1:W265=W266)*(ROW($W$1:W265))))))+IF(D266="Fiscal",30,90),""))</f>
        <v>45765</v>
      </c>
      <c r="G266" s="21">
        <v>45762</v>
      </c>
      <c r="H266" s="15">
        <f t="shared" si="127"/>
        <v>45772</v>
      </c>
      <c r="I266" s="15"/>
      <c r="J266" s="32"/>
      <c r="K266" s="15">
        <f t="shared" si="128"/>
        <v>45782</v>
      </c>
      <c r="L266" s="15"/>
      <c r="M266" s="15">
        <f t="shared" si="129"/>
        <v>45787</v>
      </c>
      <c r="N266" s="13">
        <v>45786</v>
      </c>
      <c r="O266" s="2">
        <f>IFERROR(IF(tblColetas[[#This Row],[Status Coleta]]="Reprovado","Reprovado",IF(ISERROR(SEARCH("Poço",D266)),IF(N266="","Erro",IF(Q266="Reprovado","",WORKDAY(N266,IF(D266="Operacional",10,3),FERIADOS!$A$3:$A$119))),"-")),"-")</f>
        <v>45791</v>
      </c>
      <c r="P266" s="21">
        <v>45791</v>
      </c>
      <c r="Q266" s="7" t="s">
        <v>37</v>
      </c>
      <c r="R266" s="13"/>
      <c r="S266" s="30"/>
      <c r="T266" s="43"/>
      <c r="W266" t="str">
        <f t="shared" si="114"/>
        <v>ATD776-AP-0036-2 (LP Flare)Fiscal</v>
      </c>
      <c r="X2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7" spans="1:24" ht="12.5" x14ac:dyDescent="0.25">
      <c r="A267" s="10"/>
      <c r="B267" s="19" t="s">
        <v>145</v>
      </c>
      <c r="C267" s="5" t="s">
        <v>151</v>
      </c>
      <c r="D267" s="20" t="s">
        <v>72</v>
      </c>
      <c r="E267" s="35"/>
      <c r="F267" s="29" cm="1">
        <f t="array" ref="F267">IF(V267 &lt;&gt; "", V267, IFERROR(_xlfn.SINGLE(INDEX($G$1:G266,SUMPRODUCT(MAX(($W$1:W266=W267)*(ROW($W$1:W266))))))+IF(D267="Fiscal",30,90),""))</f>
        <v>45765</v>
      </c>
      <c r="G267" s="21">
        <v>45762</v>
      </c>
      <c r="H267" s="15">
        <f t="shared" si="127"/>
        <v>45772</v>
      </c>
      <c r="I267" s="15"/>
      <c r="J267" s="32"/>
      <c r="K267" s="15">
        <f t="shared" si="128"/>
        <v>45782</v>
      </c>
      <c r="L267" s="15"/>
      <c r="M267" s="15">
        <f t="shared" si="129"/>
        <v>45787</v>
      </c>
      <c r="N267" s="13">
        <v>45786</v>
      </c>
      <c r="O267" s="2">
        <f>IFERROR(IF(tblColetas[[#This Row],[Status Coleta]]="Reprovado","Reprovado",IF(ISERROR(SEARCH("Poço",D267)),IF(N267="","Erro",IF(Q267="Reprovado","",WORKDAY(N267,IF(D267="Operacional",10,3),FERIADOS!$A$3:$A$119))),"-")),"-")</f>
        <v>45791</v>
      </c>
      <c r="P267" s="21">
        <v>45791</v>
      </c>
      <c r="Q267" s="7" t="s">
        <v>37</v>
      </c>
      <c r="R267" s="13"/>
      <c r="S267" s="30"/>
      <c r="T267" s="43"/>
      <c r="W267" t="str">
        <f t="shared" si="114"/>
        <v>ATD776-AP-7001 (Flare Assist)Fiscal</v>
      </c>
      <c r="X2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8" spans="1:24" ht="12.5" x14ac:dyDescent="0.25">
      <c r="A268" s="10"/>
      <c r="B268" s="19" t="s">
        <v>31</v>
      </c>
      <c r="C268" s="5" t="s">
        <v>122</v>
      </c>
      <c r="D268" s="20" t="s">
        <v>72</v>
      </c>
      <c r="E268" s="35"/>
      <c r="F268" s="29" cm="1">
        <f t="array" ref="F268">IF(V268 &lt;&gt; "", V268, IFERROR(_xlfn.SINGLE(INDEX($G$1:G267,SUMPRODUCT(MAX(($W$1:W267=W268)*(ROW($W$1:W267))))))+IF(D268="Fiscal",30,90),""))</f>
        <v>45767</v>
      </c>
      <c r="G268" s="21">
        <v>45765</v>
      </c>
      <c r="H268" s="15">
        <f t="shared" si="127"/>
        <v>45775</v>
      </c>
      <c r="I268" s="15"/>
      <c r="J268" s="32"/>
      <c r="K268" s="15">
        <f t="shared" si="128"/>
        <v>45785</v>
      </c>
      <c r="L268" s="15"/>
      <c r="M268" s="15">
        <f t="shared" si="129"/>
        <v>45790</v>
      </c>
      <c r="N268" s="13">
        <v>45790</v>
      </c>
      <c r="O268" s="2">
        <f>IFERROR(IF(tblColetas[[#This Row],[Status Coleta]]="Reprovado","Reprovado",IF(ISERROR(SEARCH("Poço",D268)),IF(N268="","Erro",IF(Q268="Reprovado","",WORKDAY(N268,IF(D268="Operacional",10,3),FERIADOS!$A$3:$A$119))),"-")),"-")</f>
        <v>45793</v>
      </c>
      <c r="P268" s="21">
        <v>45793</v>
      </c>
      <c r="Q268" s="7" t="s">
        <v>37</v>
      </c>
      <c r="R268" s="13"/>
      <c r="S268" s="30"/>
      <c r="T268" s="43"/>
      <c r="W268" t="str">
        <f t="shared" si="114"/>
        <v>CDIT77-FT-6911 (Export gas)Fiscal</v>
      </c>
      <c r="X2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69" spans="1:24" ht="12.5" x14ac:dyDescent="0.25">
      <c r="A269" s="10"/>
      <c r="B269" s="19" t="s">
        <v>31</v>
      </c>
      <c r="C269" s="5" t="s">
        <v>71</v>
      </c>
      <c r="D269" s="20" t="s">
        <v>72</v>
      </c>
      <c r="E269" s="35"/>
      <c r="F269" s="29" cm="1">
        <f t="array" ref="F269">IF(V269 &lt;&gt; "", V269, IFERROR(_xlfn.SINGLE(INDEX($G$1:G268,SUMPRODUCT(MAX(($W$1:W268=W269)*(ROW($W$1:W268))))))+IF(D269="Fiscal",30,90),""))</f>
        <v>45767</v>
      </c>
      <c r="G269" s="21">
        <v>45765</v>
      </c>
      <c r="H269" s="15">
        <f t="shared" si="127"/>
        <v>45775</v>
      </c>
      <c r="I269" s="15"/>
      <c r="J269" s="32"/>
      <c r="K269" s="15">
        <f t="shared" si="128"/>
        <v>45785</v>
      </c>
      <c r="L269" s="15"/>
      <c r="M269" s="15">
        <f t="shared" si="129"/>
        <v>45790</v>
      </c>
      <c r="N269" s="13">
        <v>45790</v>
      </c>
      <c r="O269" s="2">
        <f>IFERROR(IF(tblColetas[[#This Row],[Status Coleta]]="Reprovado","Reprovado",IF(ISERROR(SEARCH("Poço",D269)),IF(N269="","Erro",IF(Q269="Reprovado","",WORKDAY(N269,IF(D269="Operacional",10,3),FERIADOS!$A$3:$A$119))),"-")),"-")</f>
        <v>45793</v>
      </c>
      <c r="P269" s="21">
        <v>45793</v>
      </c>
      <c r="Q269" s="7" t="s">
        <v>37</v>
      </c>
      <c r="R269" s="13"/>
      <c r="S269" s="30"/>
      <c r="T269" s="43"/>
      <c r="W269" t="str">
        <f t="shared" si="114"/>
        <v>CDIT77-FT-0103 (Fuel Gas)Fiscal</v>
      </c>
      <c r="X2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0" spans="1:24" ht="12.5" x14ac:dyDescent="0.25">
      <c r="A270" s="10"/>
      <c r="B270" s="19" t="s">
        <v>31</v>
      </c>
      <c r="C270" s="5" t="s">
        <v>74</v>
      </c>
      <c r="D270" s="20" t="s">
        <v>72</v>
      </c>
      <c r="E270" s="35"/>
      <c r="F270" s="29" cm="1">
        <f t="array" ref="F270">IF(V270 &lt;&gt; "", V270, IFERROR(_xlfn.SINGLE(INDEX($G$1:G269,SUMPRODUCT(MAX(($W$1:W269=W270)*(ROW($W$1:W269))))))+IF(D270="Fiscal",30,90),""))</f>
        <v>45767</v>
      </c>
      <c r="G270" s="21">
        <v>45765</v>
      </c>
      <c r="H270" s="15">
        <f t="shared" si="127"/>
        <v>45775</v>
      </c>
      <c r="I270" s="15"/>
      <c r="J270" s="32"/>
      <c r="K270" s="15">
        <f t="shared" si="128"/>
        <v>45785</v>
      </c>
      <c r="L270" s="15"/>
      <c r="M270" s="15">
        <f t="shared" si="129"/>
        <v>45790</v>
      </c>
      <c r="N270" s="13">
        <v>45790</v>
      </c>
      <c r="O270" s="2">
        <f>IFERROR(IF(tblColetas[[#This Row],[Status Coleta]]="Reprovado","Reprovado",IF(ISERROR(SEARCH("Poço",D270)),IF(N270="","Erro",IF(Q270="Reprovado","",WORKDAY(N270,IF(D270="Operacional",10,3),FERIADOS!$A$3:$A$119))),"-")),"-")</f>
        <v>45793</v>
      </c>
      <c r="P270" s="21">
        <v>45793</v>
      </c>
      <c r="Q270" s="7" t="s">
        <v>37</v>
      </c>
      <c r="R270" s="13"/>
      <c r="S270" s="30"/>
      <c r="T270" s="43"/>
      <c r="W270" t="str">
        <f t="shared" si="114"/>
        <v>CDIT76-FT-0014 (HP Flare)Fiscal</v>
      </c>
      <c r="X2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1" spans="1:24" ht="12.5" x14ac:dyDescent="0.25">
      <c r="A271" s="10"/>
      <c r="B271" s="19" t="s">
        <v>31</v>
      </c>
      <c r="C271" s="5" t="s">
        <v>75</v>
      </c>
      <c r="D271" s="20" t="s">
        <v>72</v>
      </c>
      <c r="E271" s="35"/>
      <c r="F271" s="29" cm="1">
        <f t="array" ref="F271">IF(V271 &lt;&gt; "", V271, IFERROR(_xlfn.SINGLE(INDEX($G$1:G270,SUMPRODUCT(MAX(($W$1:W270=W271)*(ROW($W$1:W270))))))+IF(D271="Fiscal",30,90),""))</f>
        <v>45767</v>
      </c>
      <c r="G271" s="21">
        <v>45765</v>
      </c>
      <c r="H271" s="15">
        <f t="shared" si="127"/>
        <v>45775</v>
      </c>
      <c r="I271" s="15"/>
      <c r="J271" s="32"/>
      <c r="K271" s="15">
        <f t="shared" si="128"/>
        <v>45785</v>
      </c>
      <c r="L271" s="15"/>
      <c r="M271" s="15">
        <f t="shared" si="129"/>
        <v>45790</v>
      </c>
      <c r="N271" s="13">
        <v>45790</v>
      </c>
      <c r="O271" s="2">
        <f>IFERROR(IF(tblColetas[[#This Row],[Status Coleta]]="Reprovado","Reprovado",IF(ISERROR(SEARCH("Poço",D271)),IF(N271="","Erro",IF(Q271="Reprovado","",WORKDAY(N271,IF(D271="Operacional",10,3),FERIADOS!$A$3:$A$119))),"-")),"-")</f>
        <v>45793</v>
      </c>
      <c r="P271" s="21">
        <v>45793</v>
      </c>
      <c r="Q271" s="7" t="s">
        <v>37</v>
      </c>
      <c r="R271" s="13"/>
      <c r="S271" s="30"/>
      <c r="T271" s="43"/>
      <c r="W271" t="str">
        <f t="shared" si="114"/>
        <v>CDIT76-FT-0034 (LP Flare)Fiscal</v>
      </c>
      <c r="X2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2" spans="1:24" ht="12.5" x14ac:dyDescent="0.25">
      <c r="A272" s="10"/>
      <c r="B272" s="19" t="s">
        <v>38</v>
      </c>
      <c r="C272" s="5" t="s">
        <v>39</v>
      </c>
      <c r="D272" s="20" t="s">
        <v>26</v>
      </c>
      <c r="E272" s="35"/>
      <c r="F272" s="29" cm="1">
        <f t="array" ref="F272">IF(V272 &lt;&gt; "", V272, IFERROR(_xlfn.SINGLE(INDEX($G$1:G271,SUMPRODUCT(MAX(($W$1:W271=W272)*(ROW($W$1:W271))))))+IF(D272="Fiscal",30,90),""))</f>
        <v>45829</v>
      </c>
      <c r="G272" s="21">
        <v>45799</v>
      </c>
      <c r="H272" s="15">
        <f t="shared" si="127"/>
        <v>45809</v>
      </c>
      <c r="I272" s="15">
        <v>45807</v>
      </c>
      <c r="J272" s="32" t="s">
        <v>168</v>
      </c>
      <c r="K272" s="15">
        <f t="shared" si="128"/>
        <v>45819</v>
      </c>
      <c r="L272" s="15">
        <v>45817</v>
      </c>
      <c r="M272" s="15">
        <f t="shared" si="129"/>
        <v>45824</v>
      </c>
      <c r="N272" s="13">
        <v>45824</v>
      </c>
      <c r="O272" s="2" t="str">
        <f>IFERROR(IF(tblColetas[[#This Row],[Status Coleta]]="Reprovado","Reprovado",IF(ISERROR(SEARCH("Poço",D272)),IF(N272="","Erro",IF(Q272="Reprovado","",WORKDAY(N272,IF(D272="Operacional",10,3),FERIADOS!$A$3:$A$119))),"-")),"-")</f>
        <v>-</v>
      </c>
      <c r="P272" s="21"/>
      <c r="Q272" s="7" t="s">
        <v>37</v>
      </c>
      <c r="R272" s="13"/>
      <c r="S272" s="30"/>
      <c r="T272" s="43"/>
      <c r="W272" t="str">
        <f t="shared" si="114"/>
        <v>CDPPoço LL-119 (P-02)Poço CG</v>
      </c>
      <c r="X2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3" spans="1:24" ht="12.5" x14ac:dyDescent="0.25">
      <c r="A273" s="10"/>
      <c r="B273" s="19" t="s">
        <v>38</v>
      </c>
      <c r="C273" s="5" t="s">
        <v>39</v>
      </c>
      <c r="D273" s="20" t="s">
        <v>29</v>
      </c>
      <c r="E273" s="35"/>
      <c r="F273" s="29" cm="1">
        <f t="array" ref="F273">IF(V273 &lt;&gt; "", V273, IFERROR(_xlfn.SINGLE(INDEX($G$1:G272,SUMPRODUCT(MAX(($W$1:W272=W273)*(ROW($W$1:W272))))))+IF(D273="Fiscal",30,90),""))</f>
        <v>45829</v>
      </c>
      <c r="G273" s="21">
        <v>45799</v>
      </c>
      <c r="H273" s="15">
        <f t="shared" si="127"/>
        <v>45809</v>
      </c>
      <c r="I273" s="15">
        <v>45807</v>
      </c>
      <c r="J273" s="32" t="s">
        <v>168</v>
      </c>
      <c r="K273" s="15">
        <f t="shared" si="128"/>
        <v>45819</v>
      </c>
      <c r="L273" s="15">
        <v>45817</v>
      </c>
      <c r="M273" s="15">
        <f t="shared" si="129"/>
        <v>45824</v>
      </c>
      <c r="N273" s="13">
        <v>45824</v>
      </c>
      <c r="O273" s="2" t="str">
        <f>IFERROR(IF(tblColetas[[#This Row],[Status Coleta]]="Reprovado","Reprovado",IF(ISERROR(SEARCH("Poço",D273)),IF(N273="","Erro",IF(Q273="Reprovado","",WORKDAY(N273,IF(D273="Operacional",10,3),FERIADOS!$A$3:$A$119))),"-")),"-")</f>
        <v>-</v>
      </c>
      <c r="P273" s="21"/>
      <c r="Q273" s="7" t="s">
        <v>37</v>
      </c>
      <c r="R273" s="13"/>
      <c r="S273" s="30"/>
      <c r="T273" s="43"/>
      <c r="W273" t="str">
        <f t="shared" si="114"/>
        <v>CDPPoço LL-119 (P-02)Poço PVT</v>
      </c>
      <c r="X2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4" spans="1:24" ht="12.5" x14ac:dyDescent="0.25">
      <c r="A274" s="10"/>
      <c r="B274" s="19" t="s">
        <v>34</v>
      </c>
      <c r="C274" s="5" t="s">
        <v>35</v>
      </c>
      <c r="D274" s="20" t="s">
        <v>26</v>
      </c>
      <c r="E274" s="35"/>
      <c r="F274" s="29" cm="1">
        <f t="array" ref="F274">IF(V274 &lt;&gt; "", V274, IFERROR(_xlfn.SINGLE(INDEX($G$1:G273,SUMPRODUCT(MAX(($W$1:W273=W274)*(ROW($W$1:W273))))))+IF(D274="Fiscal",30,90),""))</f>
        <v>45830</v>
      </c>
      <c r="G274" s="21">
        <v>45818</v>
      </c>
      <c r="H274" s="15">
        <f t="shared" ref="H274:H279" si="130">IF(G274="","Erro", G274+10)</f>
        <v>45828</v>
      </c>
      <c r="I274" s="15">
        <v>45828</v>
      </c>
      <c r="J274" s="32" t="s">
        <v>169</v>
      </c>
      <c r="K274" s="15">
        <f t="shared" ref="K274:K279" si="131">IF(G274="","Erro",G274+20)</f>
        <v>45838</v>
      </c>
      <c r="L274" s="15">
        <v>45835</v>
      </c>
      <c r="M274" s="15">
        <f t="shared" ref="M274:M279" si="132">IF(G274="","Erro",G274+IF(D274="Operacional",45,25))</f>
        <v>45843</v>
      </c>
      <c r="N274" s="13">
        <v>45842</v>
      </c>
      <c r="O274" s="2" t="str">
        <f>IFERROR(IF(tblColetas[[#This Row],[Status Coleta]]="Reprovado","Reprovado",IF(ISERROR(SEARCH("Poço",D274)),IF(N274="","Erro",IF(Q274="Reprovado","",WORKDAY(N274,IF(D274="Operacional",10,3),FERIADOS!$A$3:$A$119))),"-")),"-")</f>
        <v>-</v>
      </c>
      <c r="P274" s="21"/>
      <c r="Q274" s="7" t="s">
        <v>37</v>
      </c>
      <c r="R274" s="13"/>
      <c r="S274" s="30"/>
      <c r="T274" s="43"/>
      <c r="W274" t="str">
        <f t="shared" si="114"/>
        <v>CDSPoço LL-07 (P-03)Poço CG</v>
      </c>
      <c r="X2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5" spans="1:24" ht="12.5" x14ac:dyDescent="0.25">
      <c r="A275" s="10"/>
      <c r="B275" s="19" t="s">
        <v>34</v>
      </c>
      <c r="C275" s="5" t="s">
        <v>35</v>
      </c>
      <c r="D275" s="20" t="s">
        <v>29</v>
      </c>
      <c r="E275" s="35"/>
      <c r="F275" s="29" cm="1">
        <f t="array" ref="F275">IF(V275 &lt;&gt; "", V275, IFERROR(_xlfn.SINGLE(INDEX($G$1:G274,SUMPRODUCT(MAX(($W$1:W274=W275)*(ROW($W$1:W274))))))+IF(D275="Fiscal",30,90),""))</f>
        <v>45830</v>
      </c>
      <c r="G275" s="21">
        <v>45818</v>
      </c>
      <c r="H275" s="15">
        <f t="shared" si="130"/>
        <v>45828</v>
      </c>
      <c r="I275" s="15">
        <v>45828</v>
      </c>
      <c r="J275" s="32" t="s">
        <v>169</v>
      </c>
      <c r="K275" s="15">
        <f t="shared" si="131"/>
        <v>45838</v>
      </c>
      <c r="L275" s="15">
        <v>45835</v>
      </c>
      <c r="M275" s="15">
        <f t="shared" si="132"/>
        <v>45843</v>
      </c>
      <c r="N275" s="13">
        <v>45842</v>
      </c>
      <c r="O275" s="2" t="str">
        <f>IFERROR(IF(tblColetas[[#This Row],[Status Coleta]]="Reprovado","Reprovado",IF(ISERROR(SEARCH("Poço",D275)),IF(N275="","Erro",IF(Q275="Reprovado","",WORKDAY(N275,IF(D275="Operacional",10,3),FERIADOS!$A$3:$A$119))),"-")),"-")</f>
        <v>-</v>
      </c>
      <c r="P275" s="21"/>
      <c r="Q275" s="7" t="s">
        <v>37</v>
      </c>
      <c r="R275" s="13"/>
      <c r="S275" s="30"/>
      <c r="T275" s="43"/>
      <c r="W275" t="str">
        <f t="shared" si="114"/>
        <v>CDSPoço LL-07 (P-03)Poço PVT</v>
      </c>
      <c r="X2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6" spans="1:24" ht="12.5" x14ac:dyDescent="0.25">
      <c r="A276" s="10"/>
      <c r="B276" s="19" t="s">
        <v>34</v>
      </c>
      <c r="C276" s="5" t="s">
        <v>71</v>
      </c>
      <c r="D276" s="20" t="s">
        <v>72</v>
      </c>
      <c r="E276" s="35"/>
      <c r="F276" s="29" cm="1">
        <f t="array" ref="F276">IF(V276 &lt;&gt; "", V276, IFERROR(_xlfn.SINGLE(INDEX($G$1:G275,SUMPRODUCT(MAX(($W$1:W275=W276)*(ROW($W$1:W275))))))+IF(D276="Fiscal",30,90),""))</f>
        <v>45772</v>
      </c>
      <c r="G276" s="21">
        <v>45768</v>
      </c>
      <c r="H276" s="15">
        <f t="shared" si="130"/>
        <v>45778</v>
      </c>
      <c r="I276" s="15"/>
      <c r="J276" s="32"/>
      <c r="K276" s="15">
        <f t="shared" si="131"/>
        <v>45788</v>
      </c>
      <c r="L276" s="15"/>
      <c r="M276" s="15">
        <f t="shared" si="132"/>
        <v>45793</v>
      </c>
      <c r="N276" s="13">
        <v>45793</v>
      </c>
      <c r="O276" s="2">
        <f>IFERROR(IF(tblColetas[[#This Row],[Status Coleta]]="Reprovado","Reprovado",IF(ISERROR(SEARCH("Poço",D276)),IF(N276="","Erro",IF(Q276="Reprovado","",WORKDAY(N276,IF(D276="Operacional",10,3),FERIADOS!$A$3:$A$119))),"-")),"-")</f>
        <v>45798</v>
      </c>
      <c r="P276" s="21">
        <v>45797</v>
      </c>
      <c r="Q276" s="7" t="s">
        <v>37</v>
      </c>
      <c r="R276" s="13"/>
      <c r="S276" s="30"/>
      <c r="T276" s="43"/>
      <c r="W276" t="str">
        <f t="shared" si="114"/>
        <v>CDST77-FT-0103 (Fuel Gas)Fiscal</v>
      </c>
      <c r="X2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7" spans="1:24" ht="12.5" x14ac:dyDescent="0.25">
      <c r="A277" s="10"/>
      <c r="B277" s="19" t="s">
        <v>34</v>
      </c>
      <c r="C277" s="5" t="s">
        <v>73</v>
      </c>
      <c r="D277" s="20" t="s">
        <v>72</v>
      </c>
      <c r="E277" s="35"/>
      <c r="F277" s="29" cm="1">
        <f t="array" ref="F277">IF(V277 &lt;&gt; "", V277, IFERROR(_xlfn.SINGLE(INDEX($G$1:G276,SUMPRODUCT(MAX(($W$1:W276=W277)*(ROW($W$1:W276))))))+IF(D277="Fiscal",30,90),""))</f>
        <v>45772</v>
      </c>
      <c r="G277" s="21">
        <v>45768</v>
      </c>
      <c r="H277" s="15">
        <f t="shared" si="130"/>
        <v>45778</v>
      </c>
      <c r="I277" s="15"/>
      <c r="J277" s="32"/>
      <c r="K277" s="15">
        <f t="shared" si="131"/>
        <v>45788</v>
      </c>
      <c r="L277" s="15"/>
      <c r="M277" s="15">
        <f t="shared" si="132"/>
        <v>45793</v>
      </c>
      <c r="N277" s="13">
        <v>45793</v>
      </c>
      <c r="O277" s="2">
        <f>IFERROR(IF(tblColetas[[#This Row],[Status Coleta]]="Reprovado","Reprovado",IF(ISERROR(SEARCH("Poço",D277)),IF(N277="","Erro",IF(Q277="Reprovado","",WORKDAY(N277,IF(D277="Operacional",10,3),FERIADOS!$A$3:$A$119))),"-")),"-")</f>
        <v>45798</v>
      </c>
      <c r="P277" s="21">
        <v>45797</v>
      </c>
      <c r="Q277" s="7" t="s">
        <v>37</v>
      </c>
      <c r="R277" s="13"/>
      <c r="S277" s="30"/>
      <c r="T277" s="43"/>
      <c r="W277" t="str">
        <f t="shared" si="114"/>
        <v>CDST74-AX-6911 (Export Gas)Fiscal</v>
      </c>
      <c r="X2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8" spans="1:24" ht="12.5" x14ac:dyDescent="0.25">
      <c r="A278" s="10"/>
      <c r="B278" s="19" t="s">
        <v>34</v>
      </c>
      <c r="C278" s="5" t="s">
        <v>74</v>
      </c>
      <c r="D278" s="20" t="s">
        <v>72</v>
      </c>
      <c r="E278" s="35"/>
      <c r="F278" s="29" cm="1">
        <f t="array" ref="F278">IF(V278 &lt;&gt; "", V278, IFERROR(_xlfn.SINGLE(INDEX($G$1:G277,SUMPRODUCT(MAX(($W$1:W277=W278)*(ROW($W$1:W277))))))+IF(D278="Fiscal",30,90),""))</f>
        <v>45772</v>
      </c>
      <c r="G278" s="21">
        <v>45768</v>
      </c>
      <c r="H278" s="15">
        <f t="shared" si="130"/>
        <v>45778</v>
      </c>
      <c r="I278" s="15"/>
      <c r="J278" s="32"/>
      <c r="K278" s="15">
        <f t="shared" si="131"/>
        <v>45788</v>
      </c>
      <c r="L278" s="15"/>
      <c r="M278" s="15">
        <f t="shared" si="132"/>
        <v>45793</v>
      </c>
      <c r="N278" s="13">
        <v>45793</v>
      </c>
      <c r="O278" s="2">
        <f>IFERROR(IF(tblColetas[[#This Row],[Status Coleta]]="Reprovado","Reprovado",IF(ISERROR(SEARCH("Poço",D278)),IF(N278="","Erro",IF(Q278="Reprovado","",WORKDAY(N278,IF(D278="Operacional",10,3),FERIADOS!$A$3:$A$119))),"-")),"-")</f>
        <v>45798</v>
      </c>
      <c r="P278" s="21">
        <v>45797</v>
      </c>
      <c r="Q278" s="7" t="s">
        <v>37</v>
      </c>
      <c r="R278" s="13"/>
      <c r="S278" s="30"/>
      <c r="T278" s="43"/>
      <c r="W278" t="str">
        <f t="shared" si="114"/>
        <v>CDST76-FT-0014 (HP Flare)Fiscal</v>
      </c>
      <c r="X2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79" spans="1:24" ht="12.5" x14ac:dyDescent="0.25">
      <c r="A279" s="10"/>
      <c r="B279" s="19" t="s">
        <v>34</v>
      </c>
      <c r="C279" s="5" t="s">
        <v>75</v>
      </c>
      <c r="D279" s="20" t="s">
        <v>72</v>
      </c>
      <c r="E279" s="35"/>
      <c r="F279" s="29" cm="1">
        <f t="array" ref="F279">IF(V279 &lt;&gt; "", V279, IFERROR(_xlfn.SINGLE(INDEX($G$1:G278,SUMPRODUCT(MAX(($W$1:W278=W279)*(ROW($W$1:W278))))))+IF(D279="Fiscal",30,90),""))</f>
        <v>45772</v>
      </c>
      <c r="G279" s="21">
        <v>45768</v>
      </c>
      <c r="H279" s="15">
        <f t="shared" si="130"/>
        <v>45778</v>
      </c>
      <c r="I279" s="15"/>
      <c r="J279" s="32"/>
      <c r="K279" s="15">
        <f t="shared" si="131"/>
        <v>45788</v>
      </c>
      <c r="L279" s="15"/>
      <c r="M279" s="15">
        <f t="shared" si="132"/>
        <v>45793</v>
      </c>
      <c r="N279" s="13">
        <v>45793</v>
      </c>
      <c r="O279" s="2">
        <f>IFERROR(IF(tblColetas[[#This Row],[Status Coleta]]="Reprovado","Reprovado",IF(ISERROR(SEARCH("Poço",D279)),IF(N279="","Erro",IF(Q279="Reprovado","",WORKDAY(N279,IF(D279="Operacional",10,3),FERIADOS!$A$3:$A$119))),"-")),"-")</f>
        <v>45798</v>
      </c>
      <c r="P279" s="21">
        <v>45797</v>
      </c>
      <c r="Q279" s="7" t="s">
        <v>37</v>
      </c>
      <c r="R279" s="13"/>
      <c r="S279" s="30"/>
      <c r="T279" s="43"/>
      <c r="W279" t="str">
        <f t="shared" si="114"/>
        <v>CDST76-FT-0034 (LP Flare)Fiscal</v>
      </c>
      <c r="X2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0" spans="1:24" ht="12.5" x14ac:dyDescent="0.25">
      <c r="A280" s="10"/>
      <c r="B280" s="19" t="s">
        <v>24</v>
      </c>
      <c r="C280" s="5" t="s">
        <v>76</v>
      </c>
      <c r="D280" s="20" t="s">
        <v>72</v>
      </c>
      <c r="E280" s="35"/>
      <c r="F280" s="29" cm="1">
        <f t="array" ref="F280">IF(V280 &lt;&gt; "", V280, IFERROR(_xlfn.SINGLE(INDEX($G$1:G279,SUMPRODUCT(MAX(($W$1:W279=W280)*(ROW($W$1:W279))))))+IF(D280="Fiscal",30,90),""))</f>
        <v>45774</v>
      </c>
      <c r="G280" s="21">
        <v>45770</v>
      </c>
      <c r="H280" s="15">
        <f t="shared" ref="H280:H287" si="133">IF(G280="","Erro", G280+10)</f>
        <v>45780</v>
      </c>
      <c r="I280" s="15">
        <v>45773</v>
      </c>
      <c r="J280" s="32" t="s">
        <v>110</v>
      </c>
      <c r="K280" s="15">
        <f t="shared" ref="K280:K287" si="134">IF(G280="","Erro",G280+20)</f>
        <v>45790</v>
      </c>
      <c r="L280" s="15">
        <v>45792</v>
      </c>
      <c r="M280" s="15">
        <f t="shared" ref="M280:M287" si="135">IF(G280="","Erro",G280+IF(D280="Operacional",45,25))</f>
        <v>45795</v>
      </c>
      <c r="N280" s="13">
        <v>45793</v>
      </c>
      <c r="O280" s="2" t="str">
        <f>IFERROR(IF(tblColetas[[#This Row],[Status Coleta]]="Reprovado","Reprovado",IF(ISERROR(SEARCH("Poço",D280)),IF(N280="","Erro",IF(Q280="Reprovado","",WORKDAY(N280,IF(D280="Operacional",10,3),FERIADOS!$A$3:$A$119))),"-")),"-")</f>
        <v>Reprovado</v>
      </c>
      <c r="P280" s="21"/>
      <c r="Q280" s="7" t="s">
        <v>81</v>
      </c>
      <c r="R280" s="13"/>
      <c r="S280" s="33" t="s">
        <v>162</v>
      </c>
      <c r="T280" s="43"/>
      <c r="W280" t="str">
        <f t="shared" si="114"/>
        <v>CDAM74-FT-005 (Export gas)Fiscal</v>
      </c>
      <c r="X2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1" spans="1:24" ht="12.5" x14ac:dyDescent="0.25">
      <c r="A281" s="10"/>
      <c r="B281" s="19" t="s">
        <v>24</v>
      </c>
      <c r="C281" s="5" t="s">
        <v>78</v>
      </c>
      <c r="D281" s="20" t="s">
        <v>72</v>
      </c>
      <c r="E281" s="35"/>
      <c r="F281" s="29" cm="1">
        <f t="array" ref="F281">IF(V281 &lt;&gt; "", V281, IFERROR(_xlfn.SINGLE(INDEX($G$1:G280,SUMPRODUCT(MAX(($W$1:W280=W281)*(ROW($W$1:W280))))))+IF(D281="Fiscal",30,90),""))</f>
        <v>45774</v>
      </c>
      <c r="G281" s="21">
        <v>45770</v>
      </c>
      <c r="H281" s="15">
        <f t="shared" si="133"/>
        <v>45780</v>
      </c>
      <c r="I281" s="15">
        <v>45773</v>
      </c>
      <c r="J281" s="32" t="s">
        <v>110</v>
      </c>
      <c r="K281" s="15">
        <f t="shared" si="134"/>
        <v>45790</v>
      </c>
      <c r="L281" s="15">
        <v>45792</v>
      </c>
      <c r="M281" s="15">
        <f t="shared" si="135"/>
        <v>45795</v>
      </c>
      <c r="N281" s="13">
        <v>45793</v>
      </c>
      <c r="O281" s="2" t="str">
        <f>IFERROR(IF(tblColetas[[#This Row],[Status Coleta]]="Reprovado","Reprovado",IF(ISERROR(SEARCH("Poço",D281)),IF(N281="","Erro",IF(Q281="Reprovado","",WORKDAY(N281,IF(D281="Operacional",10,3),FERIADOS!$A$3:$A$119))),"-")),"-")</f>
        <v>Reprovado</v>
      </c>
      <c r="P281" s="21"/>
      <c r="Q281" s="7" t="s">
        <v>81</v>
      </c>
      <c r="R281" s="13"/>
      <c r="S281" s="33" t="s">
        <v>162</v>
      </c>
      <c r="T281" s="43"/>
      <c r="W281" t="str">
        <f t="shared" si="114"/>
        <v>CDAT77-FT-001 (Fuel Gas)Fiscal</v>
      </c>
      <c r="X2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2" spans="1:24" ht="12.5" x14ac:dyDescent="0.25">
      <c r="A282" s="10"/>
      <c r="B282" s="19" t="s">
        <v>38</v>
      </c>
      <c r="C282" s="5" t="s">
        <v>41</v>
      </c>
      <c r="D282" s="20" t="s">
        <v>26</v>
      </c>
      <c r="E282" s="35"/>
      <c r="F282" s="29" cm="1">
        <f t="array" ref="F282">IF(V282 &lt;&gt; "", V282, IFERROR(_xlfn.SINGLE(INDEX($G$1:G281,SUMPRODUCT(MAX(($W$1:W281=W282)*(ROW($W$1:W281))))))+IF(D282="Fiscal",30,90),""))</f>
        <v>45834</v>
      </c>
      <c r="G282" s="21">
        <v>45793</v>
      </c>
      <c r="H282" s="15">
        <f t="shared" si="133"/>
        <v>45803</v>
      </c>
      <c r="I282" s="15">
        <v>45797</v>
      </c>
      <c r="J282" s="32" t="s">
        <v>154</v>
      </c>
      <c r="K282" s="15">
        <f t="shared" si="134"/>
        <v>45813</v>
      </c>
      <c r="L282" s="15">
        <v>45804</v>
      </c>
      <c r="M282" s="15">
        <f t="shared" si="135"/>
        <v>45818</v>
      </c>
      <c r="N282" s="13">
        <v>45818</v>
      </c>
      <c r="O282" s="2" t="str">
        <f>IFERROR(IF(tblColetas[[#This Row],[Status Coleta]]="Reprovado","Reprovado",IF(ISERROR(SEARCH("Poço",D282)),IF(N282="","Erro",IF(Q282="Reprovado","",WORKDAY(N282,IF(D282="Operacional",10,3),FERIADOS!$A$3:$A$119))),"-")),"-")</f>
        <v>-</v>
      </c>
      <c r="P282" s="21"/>
      <c r="Q282" s="7" t="s">
        <v>37</v>
      </c>
      <c r="R282" s="13"/>
      <c r="S282" s="30"/>
      <c r="T282" s="43"/>
      <c r="W282" t="str">
        <f t="shared" si="114"/>
        <v>CDPPoço LL-15 (P-3)Poço CG</v>
      </c>
      <c r="X2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3" spans="1:24" ht="12.5" x14ac:dyDescent="0.25">
      <c r="A283" s="10"/>
      <c r="B283" s="19" t="s">
        <v>38</v>
      </c>
      <c r="C283" s="5" t="s">
        <v>41</v>
      </c>
      <c r="D283" s="20" t="s">
        <v>29</v>
      </c>
      <c r="E283" s="35"/>
      <c r="F283" s="29" cm="1">
        <f t="array" ref="F283">IF(V283 &lt;&gt; "", V283, IFERROR(_xlfn.SINGLE(INDEX($G$1:G282,SUMPRODUCT(MAX(($W$1:W282=W283)*(ROW($W$1:W282))))))+IF(D283="Fiscal",30,90),""))</f>
        <v>45834</v>
      </c>
      <c r="G283" s="21">
        <v>45793</v>
      </c>
      <c r="H283" s="15">
        <f t="shared" si="133"/>
        <v>45803</v>
      </c>
      <c r="I283" s="15">
        <v>45797</v>
      </c>
      <c r="J283" s="32" t="s">
        <v>154</v>
      </c>
      <c r="K283" s="15">
        <f t="shared" si="134"/>
        <v>45813</v>
      </c>
      <c r="L283" s="15">
        <v>45804</v>
      </c>
      <c r="M283" s="15">
        <f t="shared" si="135"/>
        <v>45818</v>
      </c>
      <c r="N283" s="13">
        <v>45818</v>
      </c>
      <c r="O283" s="2" t="str">
        <f>IFERROR(IF(tblColetas[[#This Row],[Status Coleta]]="Reprovado","Reprovado",IF(ISERROR(SEARCH("Poço",D283)),IF(N283="","Erro",IF(Q283="Reprovado","",WORKDAY(N283,IF(D283="Operacional",10,3),FERIADOS!$A$3:$A$119))),"-")),"-")</f>
        <v>-</v>
      </c>
      <c r="P283" s="21"/>
      <c r="Q283" s="7" t="s">
        <v>37</v>
      </c>
      <c r="R283" s="13"/>
      <c r="S283" s="30"/>
      <c r="T283" s="43"/>
      <c r="W283" t="str">
        <f t="shared" si="114"/>
        <v>CDPPoço LL-15 (P-3)Poço PVT</v>
      </c>
      <c r="X2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4" spans="1:24" ht="12.5" x14ac:dyDescent="0.25">
      <c r="A284" s="10"/>
      <c r="B284" s="19" t="s">
        <v>34</v>
      </c>
      <c r="C284" s="5" t="s">
        <v>43</v>
      </c>
      <c r="D284" s="20" t="s">
        <v>26</v>
      </c>
      <c r="E284" s="35"/>
      <c r="F284" s="29" cm="1">
        <f t="array" ref="F284">IF(V284 &lt;&gt; "", V284, IFERROR(_xlfn.SINGLE(INDEX($G$1:G283,SUMPRODUCT(MAX(($W$1:W283=W284)*(ROW($W$1:W283))))))+IF(D284="Fiscal",30,90),""))</f>
        <v>45835</v>
      </c>
      <c r="G284" s="21">
        <v>45825</v>
      </c>
      <c r="H284" s="15">
        <f t="shared" si="133"/>
        <v>45835</v>
      </c>
      <c r="I284" s="15">
        <v>45828</v>
      </c>
      <c r="J284" s="32" t="s">
        <v>169</v>
      </c>
      <c r="K284" s="15">
        <f t="shared" si="134"/>
        <v>45845</v>
      </c>
      <c r="L284" s="15">
        <v>45835</v>
      </c>
      <c r="M284" s="15">
        <f t="shared" si="135"/>
        <v>45850</v>
      </c>
      <c r="N284" s="13">
        <v>45849</v>
      </c>
      <c r="O284" s="2" t="str">
        <f>IFERROR(IF(tblColetas[[#This Row],[Status Coleta]]="Reprovado","Reprovado",IF(ISERROR(SEARCH("Poço",D284)),IF(N284="","Erro",IF(Q284="Reprovado","",WORKDAY(N284,IF(D284="Operacional",10,3),FERIADOS!$A$3:$A$119))),"-")),"-")</f>
        <v>-</v>
      </c>
      <c r="P284" s="21"/>
      <c r="Q284" s="7" t="s">
        <v>37</v>
      </c>
      <c r="R284" s="13"/>
      <c r="S284" s="30"/>
      <c r="T284" s="43"/>
      <c r="W284" t="str">
        <f t="shared" si="114"/>
        <v>CDSPoço LL-59 (P-10)Poço CG</v>
      </c>
      <c r="X2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5" spans="1:24" ht="12.5" x14ac:dyDescent="0.25">
      <c r="A285" s="10"/>
      <c r="B285" s="19" t="s">
        <v>34</v>
      </c>
      <c r="C285" s="5" t="s">
        <v>43</v>
      </c>
      <c r="D285" s="20" t="s">
        <v>29</v>
      </c>
      <c r="E285" s="35"/>
      <c r="F285" s="29" cm="1">
        <f t="array" ref="F285">IF(V285 &lt;&gt; "", V285, IFERROR(_xlfn.SINGLE(INDEX($G$1:G284,SUMPRODUCT(MAX(($W$1:W284=W285)*(ROW($W$1:W284))))))+IF(D285="Fiscal",30,90),""))</f>
        <v>45835</v>
      </c>
      <c r="G285" s="21">
        <v>45825</v>
      </c>
      <c r="H285" s="15">
        <f t="shared" si="133"/>
        <v>45835</v>
      </c>
      <c r="I285" s="15">
        <v>45828</v>
      </c>
      <c r="J285" s="32" t="s">
        <v>169</v>
      </c>
      <c r="K285" s="15">
        <f t="shared" si="134"/>
        <v>45845</v>
      </c>
      <c r="L285" s="15">
        <v>45835</v>
      </c>
      <c r="M285" s="15">
        <f t="shared" si="135"/>
        <v>45850</v>
      </c>
      <c r="N285" s="13">
        <v>45849</v>
      </c>
      <c r="O285" s="2" t="str">
        <f>IFERROR(IF(tblColetas[[#This Row],[Status Coleta]]="Reprovado","Reprovado",IF(ISERROR(SEARCH("Poço",D285)),IF(N285="","Erro",IF(Q285="Reprovado","",WORKDAY(N285,IF(D285="Operacional",10,3),FERIADOS!$A$3:$A$119))),"-")),"-")</f>
        <v>-</v>
      </c>
      <c r="P285" s="21"/>
      <c r="Q285" s="7" t="s">
        <v>37</v>
      </c>
      <c r="R285" s="13"/>
      <c r="S285" s="30"/>
      <c r="T285" s="43"/>
      <c r="W285" t="str">
        <f t="shared" si="114"/>
        <v>CDSPoço LL-59 (P-10)Poço PVT</v>
      </c>
      <c r="X2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6" spans="1:24" ht="12.5" x14ac:dyDescent="0.25">
      <c r="A286" s="10"/>
      <c r="B286" s="19" t="s">
        <v>38</v>
      </c>
      <c r="C286" s="5" t="s">
        <v>50</v>
      </c>
      <c r="D286" s="20" t="s">
        <v>29</v>
      </c>
      <c r="E286" s="35"/>
      <c r="F286" s="29" cm="1">
        <f t="array" ref="F286">IF(V286 &lt;&gt; "", V286, IFERROR(_xlfn.SINGLE(INDEX($G$1:G285,SUMPRODUCT(MAX(($W$1:W285=W286)*(ROW($W$1:W285))))))+IF(D286="Fiscal",30,90),""))</f>
        <v>45837</v>
      </c>
      <c r="G286" s="21">
        <v>45797</v>
      </c>
      <c r="H286" s="15">
        <f t="shared" si="133"/>
        <v>45807</v>
      </c>
      <c r="I286" s="15">
        <v>45807</v>
      </c>
      <c r="J286" s="32" t="s">
        <v>168</v>
      </c>
      <c r="K286" s="15">
        <f t="shared" si="134"/>
        <v>45817</v>
      </c>
      <c r="L286" s="15">
        <v>45817</v>
      </c>
      <c r="M286" s="15">
        <f t="shared" si="135"/>
        <v>45822</v>
      </c>
      <c r="N286" s="13">
        <v>45821</v>
      </c>
      <c r="O286" s="2" t="str">
        <f>IFERROR(IF(tblColetas[[#This Row],[Status Coleta]]="Reprovado","Reprovado",IF(ISERROR(SEARCH("Poço",D286)),IF(N286="","Erro",IF(Q286="Reprovado","",WORKDAY(N286,IF(D286="Operacional",10,3),FERIADOS!$A$3:$A$119))),"-")),"-")</f>
        <v>-</v>
      </c>
      <c r="P286" s="21"/>
      <c r="Q286" s="7" t="s">
        <v>37</v>
      </c>
      <c r="R286" s="13"/>
      <c r="S286" s="30"/>
      <c r="T286" s="43"/>
      <c r="W286" t="str">
        <f t="shared" si="114"/>
        <v>CDPPoço LL-28 (P-1)Poço PVT</v>
      </c>
      <c r="X2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7" spans="1:24" ht="12.5" x14ac:dyDescent="0.25">
      <c r="A287" s="10"/>
      <c r="B287" s="19" t="s">
        <v>38</v>
      </c>
      <c r="C287" s="5" t="s">
        <v>50</v>
      </c>
      <c r="D287" s="20" t="s">
        <v>26</v>
      </c>
      <c r="E287" s="35"/>
      <c r="F287" s="29" cm="1">
        <f t="array" ref="F287">IF(V287 &lt;&gt; "", V287, IFERROR(_xlfn.SINGLE(INDEX($G$1:G286,SUMPRODUCT(MAX(($W$1:W286=W287)*(ROW($W$1:W286))))))+IF(D287="Fiscal",30,90),""))</f>
        <v>45837</v>
      </c>
      <c r="G287" s="21">
        <v>45797</v>
      </c>
      <c r="H287" s="15">
        <f t="shared" si="133"/>
        <v>45807</v>
      </c>
      <c r="I287" s="15">
        <v>45807</v>
      </c>
      <c r="J287" s="32" t="s">
        <v>168</v>
      </c>
      <c r="K287" s="15">
        <f t="shared" si="134"/>
        <v>45817</v>
      </c>
      <c r="L287" s="15">
        <v>45817</v>
      </c>
      <c r="M287" s="15">
        <f t="shared" si="135"/>
        <v>45822</v>
      </c>
      <c r="N287" s="13">
        <v>45821</v>
      </c>
      <c r="O287" s="2" t="str">
        <f>IFERROR(IF(tblColetas[[#This Row],[Status Coleta]]="Reprovado","Reprovado",IF(ISERROR(SEARCH("Poço",D287)),IF(N287="","Erro",IF(Q287="Reprovado","",WORKDAY(N287,IF(D287="Operacional",10,3),FERIADOS!$A$3:$A$119))),"-")),"-")</f>
        <v>-</v>
      </c>
      <c r="P287" s="21"/>
      <c r="Q287" s="7" t="s">
        <v>37</v>
      </c>
      <c r="R287" s="13"/>
      <c r="S287" s="30"/>
      <c r="T287" s="43"/>
      <c r="W287" t="str">
        <f t="shared" si="114"/>
        <v>CDPPoço LL-28 (P-1)Poço CG</v>
      </c>
      <c r="X2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8" spans="1:24" ht="12.5" x14ac:dyDescent="0.25">
      <c r="A288" s="10"/>
      <c r="B288" s="19" t="s">
        <v>38</v>
      </c>
      <c r="C288" s="5" t="s">
        <v>99</v>
      </c>
      <c r="D288" s="20" t="s">
        <v>70</v>
      </c>
      <c r="E288" s="35"/>
      <c r="F288" s="29" cm="1">
        <f t="array" ref="F288">IF(V288 &lt;&gt; "", V288, IFERROR(_xlfn.SINGLE(INDEX($G$1:G287,SUMPRODUCT(MAX(($W$1:W287=W288)*(ROW($W$1:W287))))))+IF(D288="Fiscal",30,90),""))</f>
        <v>45814</v>
      </c>
      <c r="G288" s="21">
        <v>45812</v>
      </c>
      <c r="H288" s="15">
        <f t="shared" ref="H288:H300" si="136">IF(G288="","Erro", G288+10)</f>
        <v>45822</v>
      </c>
      <c r="I288" s="15"/>
      <c r="J288" s="32"/>
      <c r="K288" s="15">
        <f t="shared" ref="K288:K300" si="137">IF(G288="","Erro",G288+20)</f>
        <v>45832</v>
      </c>
      <c r="L288" s="15"/>
      <c r="M288" s="15">
        <f t="shared" ref="M288:M300" si="138">IF(G288="","Erro",G288+IF(D288="Operacional",45,25))</f>
        <v>45837</v>
      </c>
      <c r="N288" s="13">
        <v>45835</v>
      </c>
      <c r="O288" s="2">
        <f>IFERROR(IF(tblColetas[[#This Row],[Status Coleta]]="Reprovado","Reprovado",IF(ISERROR(SEARCH("Poço",D288)),IF(N288="","Erro",IF(Q288="Reprovado","",WORKDAY(N288,IF(D288="Operacional",10,3),FERIADOS!$A$3:$A$119))),"-")),"-")</f>
        <v>45840</v>
      </c>
      <c r="P288" s="21">
        <v>45840</v>
      </c>
      <c r="Q288" s="7" t="s">
        <v>37</v>
      </c>
      <c r="R288" s="13"/>
      <c r="S288" s="30"/>
      <c r="T288" s="43"/>
      <c r="W288" t="str">
        <f t="shared" ref="W288:W351" si="139">B288&amp;C288&amp;D288</f>
        <v>CDPT73-AP-0016 (Gas Lift)Gas Lift</v>
      </c>
      <c r="X2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89" spans="1:24" ht="12.5" x14ac:dyDescent="0.25">
      <c r="A289" s="10"/>
      <c r="B289" s="8" t="s">
        <v>46</v>
      </c>
      <c r="C289" s="5" t="s">
        <v>74</v>
      </c>
      <c r="D289" s="9" t="s">
        <v>72</v>
      </c>
      <c r="E289" s="36"/>
      <c r="F289" s="29" cm="1">
        <f t="array" ref="F289">IF(V289 &lt;&gt; "", V289, IFERROR(_xlfn.SINGLE(INDEX($G$1:G288,SUMPRODUCT(MAX(($W$1:W288=W289)*(ROW($W$1:W288))))))+IF(D289="Fiscal",30,90),""))</f>
        <v>45782</v>
      </c>
      <c r="G289" s="13">
        <v>45781</v>
      </c>
      <c r="H289" s="15">
        <f t="shared" si="136"/>
        <v>45791</v>
      </c>
      <c r="I289" s="15"/>
      <c r="J289" s="32"/>
      <c r="K289" s="15">
        <f t="shared" si="137"/>
        <v>45801</v>
      </c>
      <c r="L289" s="15"/>
      <c r="M289" s="15">
        <f t="shared" si="138"/>
        <v>45806</v>
      </c>
      <c r="N289" s="13">
        <v>45806</v>
      </c>
      <c r="O289" s="2">
        <f>IFERROR(IF(tblColetas[[#This Row],[Status Coleta]]="Reprovado","Reprovado",IF(ISERROR(SEARCH("Poço",D289)),IF(N289="","Erro",IF(Q289="Reprovado","",WORKDAY(N289,IF(D289="Operacional",10,3),FERIADOS!$A$3:$A$119))),"-")),"-")</f>
        <v>45811</v>
      </c>
      <c r="P289" s="13">
        <v>45812</v>
      </c>
      <c r="Q289" s="7" t="s">
        <v>37</v>
      </c>
      <c r="R289" s="13"/>
      <c r="S289" s="30"/>
      <c r="T289" s="43"/>
      <c r="W289" t="str">
        <f t="shared" si="139"/>
        <v>CDMT76-FT-0014 (HP Flare)Fiscal</v>
      </c>
      <c r="X2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0" spans="1:24" ht="12.5" x14ac:dyDescent="0.25">
      <c r="A290" s="10"/>
      <c r="B290" s="8" t="s">
        <v>46</v>
      </c>
      <c r="C290" s="5" t="s">
        <v>75</v>
      </c>
      <c r="D290" s="9" t="s">
        <v>72</v>
      </c>
      <c r="E290" s="36"/>
      <c r="F290" s="29" cm="1">
        <f t="array" ref="F290">IF(V290 &lt;&gt; "", V290, IFERROR(_xlfn.SINGLE(INDEX($G$1:G289,SUMPRODUCT(MAX(($W$1:W289=W290)*(ROW($W$1:W289))))))+IF(D290="Fiscal",30,90),""))</f>
        <v>45782</v>
      </c>
      <c r="G290" s="13">
        <v>45781</v>
      </c>
      <c r="H290" s="15">
        <f t="shared" si="136"/>
        <v>45791</v>
      </c>
      <c r="I290" s="15"/>
      <c r="J290" s="32"/>
      <c r="K290" s="15">
        <f t="shared" si="137"/>
        <v>45801</v>
      </c>
      <c r="L290" s="15"/>
      <c r="M290" s="15">
        <f t="shared" si="138"/>
        <v>45806</v>
      </c>
      <c r="N290" s="13">
        <v>45806</v>
      </c>
      <c r="O290" s="2">
        <f>IFERROR(IF(tblColetas[[#This Row],[Status Coleta]]="Reprovado","Reprovado",IF(ISERROR(SEARCH("Poço",D290)),IF(N290="","Erro",IF(Q290="Reprovado","",WORKDAY(N290,IF(D290="Operacional",10,3),FERIADOS!$A$3:$A$119))),"-")),"-")</f>
        <v>45811</v>
      </c>
      <c r="P290" s="13">
        <v>45812</v>
      </c>
      <c r="Q290" s="7" t="s">
        <v>37</v>
      </c>
      <c r="R290" s="13"/>
      <c r="S290" s="30"/>
      <c r="T290" s="43"/>
      <c r="W290" t="str">
        <f t="shared" si="139"/>
        <v>CDMT76-FT-0034 (LP Flare)Fiscal</v>
      </c>
      <c r="X2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1" spans="1:24" ht="12.5" x14ac:dyDescent="0.25">
      <c r="A291" s="10"/>
      <c r="B291" s="8" t="s">
        <v>46</v>
      </c>
      <c r="C291" s="5" t="s">
        <v>71</v>
      </c>
      <c r="D291" s="9" t="s">
        <v>72</v>
      </c>
      <c r="E291" s="36"/>
      <c r="F291" s="29" cm="1">
        <f t="array" ref="F291">IF(V291 &lt;&gt; "", V291, IFERROR(_xlfn.SINGLE(INDEX($G$1:G290,SUMPRODUCT(MAX(($W$1:W290=W291)*(ROW($W$1:W290))))))+IF(D291="Fiscal",30,90),""))</f>
        <v>45782</v>
      </c>
      <c r="G291" s="13">
        <v>45781</v>
      </c>
      <c r="H291" s="15">
        <f t="shared" si="136"/>
        <v>45791</v>
      </c>
      <c r="I291" s="15"/>
      <c r="J291" s="32"/>
      <c r="K291" s="15">
        <f t="shared" si="137"/>
        <v>45801</v>
      </c>
      <c r="L291" s="15"/>
      <c r="M291" s="15">
        <f t="shared" si="138"/>
        <v>45806</v>
      </c>
      <c r="N291" s="13">
        <v>45806</v>
      </c>
      <c r="O291" s="2">
        <f>IFERROR(IF(tblColetas[[#This Row],[Status Coleta]]="Reprovado","Reprovado",IF(ISERROR(SEARCH("Poço",D291)),IF(N291="","Erro",IF(Q291="Reprovado","",WORKDAY(N291,IF(D291="Operacional",10,3),FERIADOS!$A$3:$A$119))),"-")),"-")</f>
        <v>45811</v>
      </c>
      <c r="P291" s="13">
        <v>45812</v>
      </c>
      <c r="Q291" s="7" t="s">
        <v>37</v>
      </c>
      <c r="R291" s="13"/>
      <c r="S291" s="30"/>
      <c r="T291" s="43"/>
      <c r="W291" t="str">
        <f t="shared" si="139"/>
        <v>CDMT77-FT-0103 (Fuel Gas)Fiscal</v>
      </c>
      <c r="X2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2" spans="1:24" ht="12.5" x14ac:dyDescent="0.25">
      <c r="A292" s="10"/>
      <c r="B292" s="8" t="s">
        <v>46</v>
      </c>
      <c r="C292" s="5" t="s">
        <v>125</v>
      </c>
      <c r="D292" s="9" t="s">
        <v>72</v>
      </c>
      <c r="E292" s="36"/>
      <c r="F292" s="29" cm="1">
        <f t="array" ref="F292">IF(V292 &lt;&gt; "", V292, IFERROR(_xlfn.SINGLE(INDEX($G$1:G291,SUMPRODUCT(MAX(($W$1:W291=W292)*(ROW($W$1:W291))))))+IF(D292="Fiscal",30,90),""))</f>
        <v>45782</v>
      </c>
      <c r="G292" s="13">
        <v>45781</v>
      </c>
      <c r="H292" s="15">
        <f t="shared" si="136"/>
        <v>45791</v>
      </c>
      <c r="I292" s="15"/>
      <c r="J292" s="32"/>
      <c r="K292" s="15">
        <f t="shared" si="137"/>
        <v>45801</v>
      </c>
      <c r="L292" s="15"/>
      <c r="M292" s="15">
        <f t="shared" si="138"/>
        <v>45806</v>
      </c>
      <c r="N292" s="13">
        <v>45806</v>
      </c>
      <c r="O292" s="2">
        <f>IFERROR(IF(tblColetas[[#This Row],[Status Coleta]]="Reprovado","Reprovado",IF(ISERROR(SEARCH("Poço",D292)),IF(N292="","Erro",IF(Q292="Reprovado","",WORKDAY(N292,IF(D292="Operacional",10,3),FERIADOS!$A$3:$A$119))),"-")),"-")</f>
        <v>45811</v>
      </c>
      <c r="P292" s="13">
        <v>45812</v>
      </c>
      <c r="Q292" s="7" t="s">
        <v>37</v>
      </c>
      <c r="R292" s="13"/>
      <c r="S292" s="30"/>
      <c r="T292" s="43"/>
      <c r="W292" t="str">
        <f t="shared" si="139"/>
        <v>CDMT74-FT-6901 (Export Gas)Fiscal</v>
      </c>
      <c r="X2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3" spans="1:24" ht="12.5" x14ac:dyDescent="0.25">
      <c r="A293" s="10"/>
      <c r="B293" s="19" t="s">
        <v>52</v>
      </c>
      <c r="C293" s="5" t="s">
        <v>112</v>
      </c>
      <c r="D293" s="20" t="s">
        <v>72</v>
      </c>
      <c r="E293" s="35"/>
      <c r="F293" s="29" cm="1">
        <f t="array" ref="F293">IF(V293 &lt;&gt; "", V293, IFERROR(_xlfn.SINGLE(INDEX($G$1:G292,SUMPRODUCT(MAX(($W$1:W292=W293)*(ROW($W$1:W292))))))+IF(D293="Fiscal",30,90),""))</f>
        <v>45778</v>
      </c>
      <c r="G293" s="21">
        <v>45776</v>
      </c>
      <c r="H293" s="15">
        <f t="shared" si="136"/>
        <v>45786</v>
      </c>
      <c r="I293" s="15"/>
      <c r="J293" s="32"/>
      <c r="K293" s="15">
        <f t="shared" si="137"/>
        <v>45796</v>
      </c>
      <c r="L293" s="15"/>
      <c r="M293" s="15">
        <f t="shared" si="138"/>
        <v>45801</v>
      </c>
      <c r="N293" s="13">
        <v>45800</v>
      </c>
      <c r="O293" s="2">
        <f>IFERROR(IF(tblColetas[[#This Row],[Status Coleta]]="Reprovado","Reprovado",IF(ISERROR(SEARCH("Poço",D293)),IF(N293="","Erro",IF(Q293="Reprovado","",WORKDAY(N293,IF(D293="Operacional",10,3),FERIADOS!$A$3:$A$119))),"-")),"-")</f>
        <v>45805</v>
      </c>
      <c r="P293" s="21">
        <v>45805</v>
      </c>
      <c r="Q293" s="7" t="s">
        <v>37</v>
      </c>
      <c r="R293" s="13"/>
      <c r="S293" s="30"/>
      <c r="T293" s="43"/>
      <c r="W293" t="str">
        <f t="shared" si="139"/>
        <v>SEP776-AP-0006 (HP Flare)Fiscal</v>
      </c>
      <c r="X2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4" spans="1:24" ht="12.5" x14ac:dyDescent="0.25">
      <c r="A294" s="10"/>
      <c r="B294" s="19" t="s">
        <v>52</v>
      </c>
      <c r="C294" s="5" t="s">
        <v>113</v>
      </c>
      <c r="D294" s="20" t="s">
        <v>72</v>
      </c>
      <c r="E294" s="35"/>
      <c r="F294" s="29" cm="1">
        <f t="array" ref="F294">IF(V294 &lt;&gt; "", V294, IFERROR(_xlfn.SINGLE(INDEX($G$1:G293,SUMPRODUCT(MAX(($W$1:W293=W294)*(ROW($W$1:W293))))))+IF(D294="Fiscal",30,90),""))</f>
        <v>45778</v>
      </c>
      <c r="G294" s="21">
        <v>45776</v>
      </c>
      <c r="H294" s="15">
        <f t="shared" si="136"/>
        <v>45786</v>
      </c>
      <c r="I294" s="15"/>
      <c r="J294" s="32"/>
      <c r="K294" s="15">
        <f t="shared" si="137"/>
        <v>45796</v>
      </c>
      <c r="L294" s="15"/>
      <c r="M294" s="15">
        <f t="shared" si="138"/>
        <v>45801</v>
      </c>
      <c r="N294" s="13">
        <v>45800</v>
      </c>
      <c r="O294" s="2" t="str">
        <f>IFERROR(IF(tblColetas[[#This Row],[Status Coleta]]="Reprovado","Reprovado",IF(ISERROR(SEARCH("Poço",D294)),IF(N294="","Erro",IF(Q294="Reprovado","",WORKDAY(N294,IF(D294="Operacional",10,3),FERIADOS!$A$3:$A$119))),"-")),"-")</f>
        <v>Reprovado</v>
      </c>
      <c r="P294" s="21"/>
      <c r="Q294" s="7" t="s">
        <v>81</v>
      </c>
      <c r="R294" s="13"/>
      <c r="S294" s="33" t="s">
        <v>135</v>
      </c>
      <c r="T294" s="43"/>
      <c r="W294" t="str">
        <f t="shared" si="139"/>
        <v>SEP776-AP-0030 (LP Flare)Fiscal</v>
      </c>
      <c r="X2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5" spans="1:24" ht="12.5" x14ac:dyDescent="0.25">
      <c r="A295" s="10"/>
      <c r="B295" s="19" t="s">
        <v>52</v>
      </c>
      <c r="C295" s="5" t="s">
        <v>114</v>
      </c>
      <c r="D295" s="20" t="s">
        <v>72</v>
      </c>
      <c r="E295" s="35"/>
      <c r="F295" s="29" cm="1">
        <f t="array" ref="F295">IF(V295 &lt;&gt; "", V295, IFERROR(_xlfn.SINGLE(INDEX($G$1:G294,SUMPRODUCT(MAX(($W$1:W294=W295)*(ROW($W$1:W294))))))+IF(D295="Fiscal",30,90),""))</f>
        <v>45778</v>
      </c>
      <c r="G295" s="21">
        <v>45776</v>
      </c>
      <c r="H295" s="15">
        <f t="shared" si="136"/>
        <v>45786</v>
      </c>
      <c r="I295" s="15"/>
      <c r="J295" s="32"/>
      <c r="K295" s="15">
        <f t="shared" si="137"/>
        <v>45796</v>
      </c>
      <c r="L295" s="15"/>
      <c r="M295" s="15">
        <f t="shared" si="138"/>
        <v>45801</v>
      </c>
      <c r="N295" s="13">
        <v>45800</v>
      </c>
      <c r="O295" s="2">
        <f>IFERROR(IF(tblColetas[[#This Row],[Status Coleta]]="Reprovado","Reprovado",IF(ISERROR(SEARCH("Poço",D295)),IF(N295="","Erro",IF(Q295="Reprovado","",WORKDAY(N295,IF(D295="Operacional",10,3),FERIADOS!$A$3:$A$119))),"-")),"-")</f>
        <v>45805</v>
      </c>
      <c r="P295" s="21">
        <v>45805</v>
      </c>
      <c r="Q295" s="7" t="s">
        <v>37</v>
      </c>
      <c r="R295" s="13"/>
      <c r="S295" s="30"/>
      <c r="T295" s="43"/>
      <c r="W295" t="str">
        <f t="shared" si="139"/>
        <v>SEP777-AP-1104 (Fuel Gas)Fiscal</v>
      </c>
      <c r="X2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6" spans="1:24" ht="12.5" x14ac:dyDescent="0.25">
      <c r="A296" s="10"/>
      <c r="B296" s="19" t="s">
        <v>52</v>
      </c>
      <c r="C296" s="5" t="s">
        <v>115</v>
      </c>
      <c r="D296" s="20" t="s">
        <v>72</v>
      </c>
      <c r="E296" s="35"/>
      <c r="F296" s="29" cm="1">
        <f t="array" ref="F296">IF(V296 &lt;&gt; "", V296, IFERROR(_xlfn.SINGLE(INDEX($G$1:G295,SUMPRODUCT(MAX(($W$1:W295=W296)*(ROW($W$1:W295))))))+IF(D296="Fiscal",30,90),""))</f>
        <v>45778</v>
      </c>
      <c r="G296" s="21">
        <v>45776</v>
      </c>
      <c r="H296" s="15">
        <f t="shared" si="136"/>
        <v>45786</v>
      </c>
      <c r="I296" s="15"/>
      <c r="J296" s="32"/>
      <c r="K296" s="15">
        <f t="shared" si="137"/>
        <v>45796</v>
      </c>
      <c r="L296" s="15"/>
      <c r="M296" s="15">
        <f t="shared" si="138"/>
        <v>45801</v>
      </c>
      <c r="N296" s="13">
        <v>45800</v>
      </c>
      <c r="O296" s="2" t="str">
        <f>IFERROR(IF(tblColetas[[#This Row],[Status Coleta]]="Reprovado","Reprovado",IF(ISERROR(SEARCH("Poço",D296)),IF(N296="","Erro",IF(Q296="Reprovado","",WORKDAY(N296,IF(D296="Operacional",10,3),FERIADOS!$A$3:$A$119))),"-")),"-")</f>
        <v>Reprovado</v>
      </c>
      <c r="P296" s="21"/>
      <c r="Q296" s="7" t="s">
        <v>81</v>
      </c>
      <c r="R296" s="13"/>
      <c r="S296" s="33" t="s">
        <v>135</v>
      </c>
      <c r="T296" s="43"/>
      <c r="W296" t="str">
        <f t="shared" si="139"/>
        <v>SEP771-AP-0221 (Flare Assist)Fiscal</v>
      </c>
      <c r="X2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7" spans="1:24" ht="12.5" x14ac:dyDescent="0.25">
      <c r="A297" s="10"/>
      <c r="B297" s="19" t="s">
        <v>38</v>
      </c>
      <c r="C297" s="5" t="s">
        <v>74</v>
      </c>
      <c r="D297" s="20" t="s">
        <v>72</v>
      </c>
      <c r="E297" s="35"/>
      <c r="F297" s="29" cm="1">
        <f t="array" ref="F297">IF(V297 &lt;&gt; "", V297, IFERROR(_xlfn.SINGLE(INDEX($G$1:G296,SUMPRODUCT(MAX(($W$1:W296=W297)*(ROW($W$1:W296))))))+IF(D297="Fiscal",30,90),""))</f>
        <v>45784</v>
      </c>
      <c r="G297" s="21">
        <v>45783</v>
      </c>
      <c r="H297" s="15">
        <f t="shared" si="136"/>
        <v>45793</v>
      </c>
      <c r="I297" s="15"/>
      <c r="J297" s="32"/>
      <c r="K297" s="15">
        <f t="shared" si="137"/>
        <v>45803</v>
      </c>
      <c r="L297" s="15"/>
      <c r="M297" s="15">
        <f t="shared" si="138"/>
        <v>45808</v>
      </c>
      <c r="N297" s="13">
        <v>45807</v>
      </c>
      <c r="O297" s="2">
        <f>IFERROR(IF(tblColetas[[#This Row],[Status Coleta]]="Reprovado","Reprovado",IF(ISERROR(SEARCH("Poço",D297)),IF(N297="","Erro",IF(Q297="Reprovado","",WORKDAY(N297,IF(D297="Operacional",10,3),FERIADOS!$A$3:$A$119))),"-")),"-")</f>
        <v>45812</v>
      </c>
      <c r="P297" s="21">
        <v>45812</v>
      </c>
      <c r="Q297" s="7" t="s">
        <v>37</v>
      </c>
      <c r="R297" s="13"/>
      <c r="S297" s="30"/>
      <c r="T297" s="43"/>
      <c r="W297" t="str">
        <f t="shared" si="139"/>
        <v>CDPT76-FT-0014 (HP Flare)Fiscal</v>
      </c>
      <c r="X2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8" spans="1:24" ht="12.5" x14ac:dyDescent="0.25">
      <c r="A298" s="10"/>
      <c r="B298" s="19" t="s">
        <v>38</v>
      </c>
      <c r="C298" s="5" t="s">
        <v>75</v>
      </c>
      <c r="D298" s="20" t="s">
        <v>72</v>
      </c>
      <c r="E298" s="35"/>
      <c r="F298" s="29" cm="1">
        <f t="array" ref="F298">IF(V298 &lt;&gt; "", V298, IFERROR(_xlfn.SINGLE(INDEX($G$1:G297,SUMPRODUCT(MAX(($W$1:W297=W298)*(ROW($W$1:W297))))))+IF(D298="Fiscal",30,90),""))</f>
        <v>45784</v>
      </c>
      <c r="G298" s="21">
        <v>45783</v>
      </c>
      <c r="H298" s="15">
        <f t="shared" si="136"/>
        <v>45793</v>
      </c>
      <c r="I298" s="15"/>
      <c r="J298" s="32"/>
      <c r="K298" s="15">
        <f t="shared" si="137"/>
        <v>45803</v>
      </c>
      <c r="L298" s="15"/>
      <c r="M298" s="15">
        <f t="shared" si="138"/>
        <v>45808</v>
      </c>
      <c r="N298" s="13">
        <v>45807</v>
      </c>
      <c r="O298" s="2">
        <f>IFERROR(IF(tblColetas[[#This Row],[Status Coleta]]="Reprovado","Reprovado",IF(ISERROR(SEARCH("Poço",D298)),IF(N298="","Erro",IF(Q298="Reprovado","",WORKDAY(N298,IF(D298="Operacional",10,3),FERIADOS!$A$3:$A$119))),"-")),"-")</f>
        <v>45812</v>
      </c>
      <c r="P298" s="21">
        <v>45812</v>
      </c>
      <c r="Q298" s="7" t="s">
        <v>37</v>
      </c>
      <c r="R298" s="13"/>
      <c r="S298" s="30"/>
      <c r="T298" s="43"/>
      <c r="W298" t="str">
        <f t="shared" si="139"/>
        <v>CDPT76-FT-0034 (LP Flare)Fiscal</v>
      </c>
      <c r="X2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299" spans="1:24" ht="12.5" x14ac:dyDescent="0.25">
      <c r="A299" s="10"/>
      <c r="B299" s="19" t="s">
        <v>38</v>
      </c>
      <c r="C299" s="5" t="s">
        <v>71</v>
      </c>
      <c r="D299" s="20" t="s">
        <v>72</v>
      </c>
      <c r="E299" s="35"/>
      <c r="F299" s="29" cm="1">
        <f t="array" ref="F299">IF(V299 &lt;&gt; "", V299, IFERROR(_xlfn.SINGLE(INDEX($G$1:G298,SUMPRODUCT(MAX(($W$1:W298=W299)*(ROW($W$1:W298))))))+IF(D299="Fiscal",30,90),""))</f>
        <v>45784</v>
      </c>
      <c r="G299" s="21">
        <v>45783</v>
      </c>
      <c r="H299" s="15">
        <f t="shared" si="136"/>
        <v>45793</v>
      </c>
      <c r="I299" s="15"/>
      <c r="J299" s="32"/>
      <c r="K299" s="15">
        <f t="shared" si="137"/>
        <v>45803</v>
      </c>
      <c r="L299" s="15"/>
      <c r="M299" s="15">
        <f t="shared" si="138"/>
        <v>45808</v>
      </c>
      <c r="N299" s="13">
        <v>45807</v>
      </c>
      <c r="O299" s="2">
        <f>IFERROR(IF(tblColetas[[#This Row],[Status Coleta]]="Reprovado","Reprovado",IF(ISERROR(SEARCH("Poço",D299)),IF(N299="","Erro",IF(Q299="Reprovado","",WORKDAY(N299,IF(D299="Operacional",10,3),FERIADOS!$A$3:$A$119))),"-")),"-")</f>
        <v>45812</v>
      </c>
      <c r="P299" s="21">
        <v>45812</v>
      </c>
      <c r="Q299" s="7" t="s">
        <v>37</v>
      </c>
      <c r="R299" s="13"/>
      <c r="S299" s="30"/>
      <c r="T299" s="43"/>
      <c r="W299" t="str">
        <f t="shared" si="139"/>
        <v>CDPT77-FT-0103 (Fuel Gas)Fiscal</v>
      </c>
      <c r="X2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0" spans="1:24" ht="12.5" x14ac:dyDescent="0.25">
      <c r="A300" s="10"/>
      <c r="B300" s="19" t="s">
        <v>38</v>
      </c>
      <c r="C300" s="5" t="s">
        <v>98</v>
      </c>
      <c r="D300" s="20" t="s">
        <v>72</v>
      </c>
      <c r="E300" s="35"/>
      <c r="F300" s="29" cm="1">
        <f t="array" ref="F300">IF(V300 &lt;&gt; "", V300, IFERROR(_xlfn.SINGLE(INDEX($G$1:G299,SUMPRODUCT(MAX(($W$1:W299=W300)*(ROW($W$1:W299))))))+IF(D300="Fiscal",30,90),""))</f>
        <v>45784</v>
      </c>
      <c r="G300" s="21">
        <v>45783</v>
      </c>
      <c r="H300" s="15">
        <f t="shared" si="136"/>
        <v>45793</v>
      </c>
      <c r="I300" s="15"/>
      <c r="J300" s="32"/>
      <c r="K300" s="15">
        <f t="shared" si="137"/>
        <v>45803</v>
      </c>
      <c r="L300" s="15"/>
      <c r="M300" s="15">
        <f t="shared" si="138"/>
        <v>45808</v>
      </c>
      <c r="N300" s="13">
        <v>45807</v>
      </c>
      <c r="O300" s="2">
        <f>IFERROR(IF(tblColetas[[#This Row],[Status Coleta]]="Reprovado","Reprovado",IF(ISERROR(SEARCH("Poço",D300)),IF(N300="","Erro",IF(Q300="Reprovado","",WORKDAY(N300,IF(D300="Operacional",10,3),FERIADOS!$A$3:$A$119))),"-")),"-")</f>
        <v>45812</v>
      </c>
      <c r="P300" s="21">
        <v>45812</v>
      </c>
      <c r="Q300" s="7" t="s">
        <v>37</v>
      </c>
      <c r="R300" s="13"/>
      <c r="S300" s="30"/>
      <c r="T300" s="43"/>
      <c r="W300" t="str">
        <f t="shared" si="139"/>
        <v>CDPT74-FT-6701 (Export Gas)Fiscal</v>
      </c>
      <c r="X3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1" spans="1:24" ht="12.5" x14ac:dyDescent="0.25">
      <c r="A301" s="10"/>
      <c r="B301" s="19" t="s">
        <v>34</v>
      </c>
      <c r="C301" s="5" t="s">
        <v>91</v>
      </c>
      <c r="D301" s="20" t="s">
        <v>26</v>
      </c>
      <c r="E301" s="35"/>
      <c r="F301" s="29" cm="1">
        <f t="array" ref="F301">IF(V301 &lt;&gt; "", V301, IFERROR(_xlfn.SINGLE(INDEX($G$1:G300,SUMPRODUCT(MAX(($W$1:W300=W301)*(ROW($W$1:W300))))))+IF(D301="Fiscal",30,90),""))</f>
        <v>45845</v>
      </c>
      <c r="G301" s="21">
        <v>45801</v>
      </c>
      <c r="H301" s="15">
        <f t="shared" ref="H301:H306" si="140">IF(G301="","Erro", G301+10)</f>
        <v>45811</v>
      </c>
      <c r="I301" s="15">
        <v>45811</v>
      </c>
      <c r="J301" s="32" t="s">
        <v>170</v>
      </c>
      <c r="K301" s="15">
        <f t="shared" ref="K301:K306" si="141">IF(G301="","Erro",G301+20)</f>
        <v>45821</v>
      </c>
      <c r="L301" s="15">
        <v>45821</v>
      </c>
      <c r="M301" s="15">
        <f t="shared" ref="M301:M306" si="142">IF(G301="","Erro",G301+IF(D301="Operacional",45,25))</f>
        <v>45826</v>
      </c>
      <c r="N301" s="13">
        <v>45826</v>
      </c>
      <c r="O301" s="2" t="str">
        <f>IFERROR(IF(tblColetas[[#This Row],[Status Coleta]]="Reprovado","Reprovado",IF(ISERROR(SEARCH("Poço",D301)),IF(N301="","Erro",IF(Q301="Reprovado","",WORKDAY(N301,IF(D301="Operacional",10,3),FERIADOS!$A$3:$A$119))),"-")),"-")</f>
        <v>Reprovado</v>
      </c>
      <c r="P301" s="21"/>
      <c r="Q301" s="7" t="s">
        <v>81</v>
      </c>
      <c r="R301" s="13"/>
      <c r="S301" s="33" t="s">
        <v>127</v>
      </c>
      <c r="T301" s="43"/>
      <c r="W301" t="str">
        <f t="shared" si="139"/>
        <v>CDSPoço LL-80 (P-08)Poço CG</v>
      </c>
      <c r="X3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2" spans="1:24" ht="12.5" x14ac:dyDescent="0.25">
      <c r="A302" s="10"/>
      <c r="B302" s="19" t="s">
        <v>34</v>
      </c>
      <c r="C302" s="5" t="s">
        <v>91</v>
      </c>
      <c r="D302" s="20" t="s">
        <v>29</v>
      </c>
      <c r="E302" s="35"/>
      <c r="F302" s="29" cm="1">
        <f t="array" ref="F302">IF(V302 &lt;&gt; "", V302, IFERROR(_xlfn.SINGLE(INDEX($G$1:G301,SUMPRODUCT(MAX(($W$1:W301=W302)*(ROW($W$1:W301))))))+IF(D302="Fiscal",30,90),""))</f>
        <v>45845</v>
      </c>
      <c r="G302" s="21">
        <v>45801</v>
      </c>
      <c r="H302" s="15">
        <f t="shared" si="140"/>
        <v>45811</v>
      </c>
      <c r="I302" s="15">
        <v>45811</v>
      </c>
      <c r="J302" s="32" t="s">
        <v>170</v>
      </c>
      <c r="K302" s="15">
        <f t="shared" si="141"/>
        <v>45821</v>
      </c>
      <c r="L302" s="15">
        <v>45821</v>
      </c>
      <c r="M302" s="15">
        <f t="shared" si="142"/>
        <v>45826</v>
      </c>
      <c r="N302" s="13">
        <v>45826</v>
      </c>
      <c r="O302" s="2" t="str">
        <f>IFERROR(IF(tblColetas[[#This Row],[Status Coleta]]="Reprovado","Reprovado",IF(ISERROR(SEARCH("Poço",D302)),IF(N302="","Erro",IF(Q302="Reprovado","",WORKDAY(N302,IF(D302="Operacional",10,3),FERIADOS!$A$3:$A$119))),"-")),"-")</f>
        <v>-</v>
      </c>
      <c r="P302" s="21"/>
      <c r="Q302" s="7" t="s">
        <v>37</v>
      </c>
      <c r="R302" s="13"/>
      <c r="S302" s="30"/>
      <c r="T302" s="43"/>
      <c r="W302" t="str">
        <f t="shared" si="139"/>
        <v>CDSPoço LL-80 (P-08)Poço PVT</v>
      </c>
      <c r="X3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3" spans="1:24" ht="12.5" x14ac:dyDescent="0.25">
      <c r="A303" s="10"/>
      <c r="B303" s="19" t="s">
        <v>46</v>
      </c>
      <c r="C303" s="5" t="s">
        <v>47</v>
      </c>
      <c r="D303" s="20" t="s">
        <v>26</v>
      </c>
      <c r="E303" s="35"/>
      <c r="F303" s="29" cm="1">
        <f t="array" ref="F303">IF(V303 &lt;&gt; "", V303, IFERROR(_xlfn.SINGLE(INDEX($G$1:G302,SUMPRODUCT(MAX(($W$1:W302=W303)*(ROW($W$1:W302))))))+IF(D303="Fiscal",30,90),""))</f>
        <v>45834</v>
      </c>
      <c r="G303" s="21">
        <v>45826</v>
      </c>
      <c r="H303" s="15">
        <f t="shared" si="140"/>
        <v>45836</v>
      </c>
      <c r="I303" s="15">
        <v>45834</v>
      </c>
      <c r="J303" s="32" t="s">
        <v>171</v>
      </c>
      <c r="K303" s="15">
        <f t="shared" si="141"/>
        <v>45846</v>
      </c>
      <c r="L303" s="15">
        <v>45842</v>
      </c>
      <c r="M303" s="15">
        <f t="shared" si="142"/>
        <v>45851</v>
      </c>
      <c r="N303" s="13">
        <v>45849</v>
      </c>
      <c r="O303" s="2" t="str">
        <f>IFERROR(IF(tblColetas[[#This Row],[Status Coleta]]="Reprovado","Reprovado",IF(ISERROR(SEARCH("Poço",D303)),IF(N303="","Erro",IF(Q303="Reprovado","",WORKDAY(N303,IF(D303="Operacional",10,3),FERIADOS!$A$3:$A$119))),"-")),"-")</f>
        <v>-</v>
      </c>
      <c r="P303" s="21"/>
      <c r="Q303" s="7" t="s">
        <v>37</v>
      </c>
      <c r="R303" s="13"/>
      <c r="S303" s="30"/>
      <c r="T303" s="43"/>
      <c r="W303" t="str">
        <f t="shared" si="139"/>
        <v>CDMPoço LL-87 (P-14)Poço CG</v>
      </c>
      <c r="X3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4" spans="1:24" ht="12.5" x14ac:dyDescent="0.25">
      <c r="A304" s="10"/>
      <c r="B304" s="19" t="s">
        <v>46</v>
      </c>
      <c r="C304" s="5" t="s">
        <v>47</v>
      </c>
      <c r="D304" s="20" t="s">
        <v>29</v>
      </c>
      <c r="E304" s="35"/>
      <c r="F304" s="29" cm="1">
        <f t="array" ref="F304">IF(V304 &lt;&gt; "", V304, IFERROR(_xlfn.SINGLE(INDEX($G$1:G303,SUMPRODUCT(MAX(($W$1:W303=W304)*(ROW($W$1:W303))))))+IF(D304="Fiscal",30,90),""))</f>
        <v>45834</v>
      </c>
      <c r="G304" s="21">
        <v>45826</v>
      </c>
      <c r="H304" s="15">
        <f t="shared" si="140"/>
        <v>45836</v>
      </c>
      <c r="I304" s="15">
        <v>45834</v>
      </c>
      <c r="J304" s="32" t="s">
        <v>171</v>
      </c>
      <c r="K304" s="15">
        <f t="shared" si="141"/>
        <v>45846</v>
      </c>
      <c r="L304" s="15">
        <v>45842</v>
      </c>
      <c r="M304" s="15">
        <f t="shared" si="142"/>
        <v>45851</v>
      </c>
      <c r="N304" s="13">
        <v>45849</v>
      </c>
      <c r="O304" s="2" t="str">
        <f>IFERROR(IF(tblColetas[[#This Row],[Status Coleta]]="Reprovado","Reprovado",IF(ISERROR(SEARCH("Poço",D304)),IF(N304="","Erro",IF(Q304="Reprovado","",WORKDAY(N304,IF(D304="Operacional",10,3),FERIADOS!$A$3:$A$119))),"-")),"-")</f>
        <v>-</v>
      </c>
      <c r="P304" s="21"/>
      <c r="Q304" s="7" t="s">
        <v>37</v>
      </c>
      <c r="R304" s="13"/>
      <c r="S304" s="30"/>
      <c r="T304" s="43"/>
      <c r="W304" t="str">
        <f t="shared" si="139"/>
        <v>CDMPoço LL-87 (P-14)Poço PVT</v>
      </c>
      <c r="X3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5" spans="1:24" ht="12.5" x14ac:dyDescent="0.25">
      <c r="A305" s="10"/>
      <c r="B305" s="8" t="s">
        <v>34</v>
      </c>
      <c r="C305" s="5" t="s">
        <v>109</v>
      </c>
      <c r="D305" s="9" t="s">
        <v>26</v>
      </c>
      <c r="E305" s="36"/>
      <c r="F305" s="29" cm="1">
        <f t="array" ref="F305">IF(V305 &lt;&gt; "", V305, IFERROR(_xlfn.SINGLE(INDEX($G$1:G304,SUMPRODUCT(MAX(($W$1:W304=W305)*(ROW($W$1:W304))))))+IF(D305="Fiscal",30,90),""))</f>
        <v>45848</v>
      </c>
      <c r="G305" s="13">
        <v>45837</v>
      </c>
      <c r="H305" s="15">
        <f t="shared" si="140"/>
        <v>45847</v>
      </c>
      <c r="I305" s="15">
        <v>45845</v>
      </c>
      <c r="J305" s="32" t="s">
        <v>172</v>
      </c>
      <c r="K305" s="15">
        <f t="shared" si="141"/>
        <v>45857</v>
      </c>
      <c r="L305" s="15">
        <v>45852</v>
      </c>
      <c r="M305" s="15">
        <f t="shared" si="142"/>
        <v>45862</v>
      </c>
      <c r="N305" s="13">
        <v>45862</v>
      </c>
      <c r="O305" s="2" t="str">
        <f>IFERROR(IF(tblColetas[[#This Row],[Status Coleta]]="Reprovado","Reprovado",IF(ISERROR(SEARCH("Poço",D305)),IF(N305="","Erro",IF(Q305="Reprovado","",WORKDAY(N305,IF(D305="Operacional",10,3),FERIADOS!$A$3:$A$119))),"-")),"-")</f>
        <v>-</v>
      </c>
      <c r="P305" s="13"/>
      <c r="Q305" s="7" t="s">
        <v>37</v>
      </c>
      <c r="R305" s="13"/>
      <c r="S305" s="30"/>
      <c r="T305" s="43"/>
      <c r="W305" t="str">
        <f t="shared" si="139"/>
        <v>CDSPoço LL-106 (P-16)Poço CG</v>
      </c>
      <c r="X3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6" spans="1:24" ht="12.5" x14ac:dyDescent="0.25">
      <c r="A306" s="10"/>
      <c r="B306" s="8" t="s">
        <v>34</v>
      </c>
      <c r="C306" s="5" t="s">
        <v>109</v>
      </c>
      <c r="D306" s="9" t="s">
        <v>29</v>
      </c>
      <c r="E306" s="36"/>
      <c r="F306" s="29" cm="1">
        <f t="array" ref="F306">IF(V306 &lt;&gt; "", V306, IFERROR(_xlfn.SINGLE(INDEX($G$1:G305,SUMPRODUCT(MAX(($W$1:W305=W306)*(ROW($W$1:W305))))))+IF(D306="Fiscal",30,90),""))</f>
        <v>45848</v>
      </c>
      <c r="G306" s="13">
        <v>45837</v>
      </c>
      <c r="H306" s="15">
        <f t="shared" si="140"/>
        <v>45847</v>
      </c>
      <c r="I306" s="15">
        <v>45845</v>
      </c>
      <c r="J306" s="32" t="s">
        <v>172</v>
      </c>
      <c r="K306" s="15">
        <f t="shared" si="141"/>
        <v>45857</v>
      </c>
      <c r="L306" s="15">
        <v>45852</v>
      </c>
      <c r="M306" s="15">
        <f t="shared" si="142"/>
        <v>45862</v>
      </c>
      <c r="N306" s="13">
        <v>45862</v>
      </c>
      <c r="O306" s="2" t="str">
        <f>IFERROR(IF(tblColetas[[#This Row],[Status Coleta]]="Reprovado","Reprovado",IF(ISERROR(SEARCH("Poço",D306)),IF(N306="","Erro",IF(Q306="Reprovado","",WORKDAY(N306,IF(D306="Operacional",10,3),FERIADOS!$A$3:$A$119))),"-")),"-")</f>
        <v>-</v>
      </c>
      <c r="P306" s="13"/>
      <c r="Q306" s="7" t="s">
        <v>37</v>
      </c>
      <c r="R306" s="13"/>
      <c r="S306" s="30"/>
      <c r="T306" s="43"/>
      <c r="W306" t="str">
        <f t="shared" si="139"/>
        <v>CDSPoço LL-106 (P-16)Poço PVT</v>
      </c>
      <c r="X3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7" spans="1:24" ht="12.5" x14ac:dyDescent="0.25">
      <c r="A307" s="10"/>
      <c r="B307" s="8" t="s">
        <v>31</v>
      </c>
      <c r="C307" s="5" t="s">
        <v>122</v>
      </c>
      <c r="D307" s="9" t="s">
        <v>72</v>
      </c>
      <c r="E307" s="36"/>
      <c r="F307" s="29" cm="1">
        <f t="array" ref="F307">IF(V307 &lt;&gt; "", V307, IFERROR(_xlfn.SINGLE(INDEX($G$1:G306,SUMPRODUCT(MAX(($W$1:W306=W307)*(ROW($W$1:W306))))))+IF(D307="Fiscal",30,90),""))</f>
        <v>45795</v>
      </c>
      <c r="G307" s="13">
        <v>45790</v>
      </c>
      <c r="H307" s="15">
        <f t="shared" ref="H307:H312" si="143">IF(G307="","Erro", G307+10)</f>
        <v>45800</v>
      </c>
      <c r="I307" s="15"/>
      <c r="J307" s="32"/>
      <c r="K307" s="15">
        <f t="shared" ref="K307:K312" si="144">IF(G307="","Erro",G307+20)</f>
        <v>45810</v>
      </c>
      <c r="L307" s="15"/>
      <c r="M307" s="15">
        <f t="shared" ref="M307:M312" si="145">IF(G307="","Erro",G307+IF(D307="Operacional",45,25))</f>
        <v>45815</v>
      </c>
      <c r="N307" s="13">
        <v>45814</v>
      </c>
      <c r="O307" s="2">
        <f>IFERROR(IF(tblColetas[[#This Row],[Status Coleta]]="Reprovado","Reprovado",IF(ISERROR(SEARCH("Poço",D307)),IF(N307="","Erro",IF(Q307="Reprovado","",WORKDAY(N307,IF(D307="Operacional",10,3),FERIADOS!$A$3:$A$119))),"-")),"-")</f>
        <v>45819</v>
      </c>
      <c r="P307" s="13">
        <v>45818</v>
      </c>
      <c r="Q307" s="7" t="s">
        <v>37</v>
      </c>
      <c r="R307" s="13"/>
      <c r="S307" s="30"/>
      <c r="T307" s="43"/>
      <c r="W307" t="str">
        <f t="shared" si="139"/>
        <v>CDIT77-FT-6911 (Export gas)Fiscal</v>
      </c>
      <c r="X3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8" spans="1:24" ht="12.5" x14ac:dyDescent="0.25">
      <c r="A308" s="10"/>
      <c r="B308" s="8" t="s">
        <v>31</v>
      </c>
      <c r="C308" s="5" t="s">
        <v>71</v>
      </c>
      <c r="D308" s="9" t="s">
        <v>72</v>
      </c>
      <c r="E308" s="36"/>
      <c r="F308" s="29" cm="1">
        <f t="array" ref="F308">IF(V308 &lt;&gt; "", V308, IFERROR(_xlfn.SINGLE(INDEX($G$1:G307,SUMPRODUCT(MAX(($W$1:W307=W308)*(ROW($W$1:W307))))))+IF(D308="Fiscal",30,90),""))</f>
        <v>45795</v>
      </c>
      <c r="G308" s="13">
        <v>45790</v>
      </c>
      <c r="H308" s="15">
        <f t="shared" si="143"/>
        <v>45800</v>
      </c>
      <c r="I308" s="15"/>
      <c r="J308" s="32"/>
      <c r="K308" s="15">
        <f t="shared" si="144"/>
        <v>45810</v>
      </c>
      <c r="L308" s="15"/>
      <c r="M308" s="15">
        <f t="shared" si="145"/>
        <v>45815</v>
      </c>
      <c r="N308" s="13">
        <v>45814</v>
      </c>
      <c r="O308" s="2">
        <f>IFERROR(IF(tblColetas[[#This Row],[Status Coleta]]="Reprovado","Reprovado",IF(ISERROR(SEARCH("Poço",D308)),IF(N308="","Erro",IF(Q308="Reprovado","",WORKDAY(N308,IF(D308="Operacional",10,3),FERIADOS!$A$3:$A$119))),"-")),"-")</f>
        <v>45819</v>
      </c>
      <c r="P308" s="13">
        <v>45818</v>
      </c>
      <c r="Q308" s="7" t="s">
        <v>37</v>
      </c>
      <c r="R308" s="13"/>
      <c r="S308" s="30"/>
      <c r="T308" s="43"/>
      <c r="W308" t="str">
        <f t="shared" si="139"/>
        <v>CDIT77-FT-0103 (Fuel Gas)Fiscal</v>
      </c>
      <c r="X3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09" spans="1:24" ht="12.5" x14ac:dyDescent="0.25">
      <c r="A309" s="10"/>
      <c r="B309" s="8" t="s">
        <v>31</v>
      </c>
      <c r="C309" s="5" t="s">
        <v>74</v>
      </c>
      <c r="D309" s="9" t="s">
        <v>72</v>
      </c>
      <c r="E309" s="36"/>
      <c r="F309" s="29" cm="1">
        <f t="array" ref="F309">IF(V309 &lt;&gt; "", V309, IFERROR(_xlfn.SINGLE(INDEX($G$1:G308,SUMPRODUCT(MAX(($W$1:W308=W309)*(ROW($W$1:W308))))))+IF(D309="Fiscal",30,90),""))</f>
        <v>45795</v>
      </c>
      <c r="G309" s="13">
        <v>45790</v>
      </c>
      <c r="H309" s="15">
        <f t="shared" si="143"/>
        <v>45800</v>
      </c>
      <c r="I309" s="15"/>
      <c r="J309" s="32"/>
      <c r="K309" s="15">
        <f t="shared" si="144"/>
        <v>45810</v>
      </c>
      <c r="L309" s="15"/>
      <c r="M309" s="15">
        <f t="shared" si="145"/>
        <v>45815</v>
      </c>
      <c r="N309" s="13">
        <v>45814</v>
      </c>
      <c r="O309" s="2">
        <f>IFERROR(IF(tblColetas[[#This Row],[Status Coleta]]="Reprovado","Reprovado",IF(ISERROR(SEARCH("Poço",D309)),IF(N309="","Erro",IF(Q309="Reprovado","",WORKDAY(N309,IF(D309="Operacional",10,3),FERIADOS!$A$3:$A$119))),"-")),"-")</f>
        <v>45819</v>
      </c>
      <c r="P309" s="13">
        <v>45818</v>
      </c>
      <c r="Q309" s="7" t="s">
        <v>37</v>
      </c>
      <c r="R309" s="13"/>
      <c r="S309" s="30"/>
      <c r="T309" s="43"/>
      <c r="W309" t="str">
        <f t="shared" si="139"/>
        <v>CDIT76-FT-0014 (HP Flare)Fiscal</v>
      </c>
      <c r="X3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0" spans="1:24" ht="12.5" x14ac:dyDescent="0.25">
      <c r="A310" s="10"/>
      <c r="B310" s="8" t="s">
        <v>31</v>
      </c>
      <c r="C310" s="5" t="s">
        <v>75</v>
      </c>
      <c r="D310" s="9" t="s">
        <v>72</v>
      </c>
      <c r="E310" s="36"/>
      <c r="F310" s="29" cm="1">
        <f t="array" ref="F310">IF(V310 &lt;&gt; "", V310, IFERROR(_xlfn.SINGLE(INDEX($G$1:G309,SUMPRODUCT(MAX(($W$1:W309=W310)*(ROW($W$1:W309))))))+IF(D310="Fiscal",30,90),""))</f>
        <v>45795</v>
      </c>
      <c r="G310" s="13">
        <v>45790</v>
      </c>
      <c r="H310" s="15">
        <f t="shared" si="143"/>
        <v>45800</v>
      </c>
      <c r="I310" s="15"/>
      <c r="J310" s="32"/>
      <c r="K310" s="15">
        <f t="shared" si="144"/>
        <v>45810</v>
      </c>
      <c r="L310" s="15"/>
      <c r="M310" s="15">
        <f t="shared" si="145"/>
        <v>45815</v>
      </c>
      <c r="N310" s="13">
        <v>45814</v>
      </c>
      <c r="O310" s="2">
        <f>IFERROR(IF(tblColetas[[#This Row],[Status Coleta]]="Reprovado","Reprovado",IF(ISERROR(SEARCH("Poço",D310)),IF(N310="","Erro",IF(Q310="Reprovado","",WORKDAY(N310,IF(D310="Operacional",10,3),FERIADOS!$A$3:$A$119))),"-")),"-")</f>
        <v>45819</v>
      </c>
      <c r="P310" s="13">
        <v>45818</v>
      </c>
      <c r="Q310" s="7" t="s">
        <v>37</v>
      </c>
      <c r="R310" s="13"/>
      <c r="S310" s="30"/>
      <c r="T310" s="43"/>
      <c r="W310" t="str">
        <f t="shared" si="139"/>
        <v>CDIT76-FT-0034 (LP Flare)Fiscal</v>
      </c>
      <c r="X3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1" spans="1:24" ht="12.5" x14ac:dyDescent="0.25">
      <c r="A311" s="10"/>
      <c r="B311" s="19" t="s">
        <v>52</v>
      </c>
      <c r="C311" s="5" t="s">
        <v>53</v>
      </c>
      <c r="D311" s="20" t="s">
        <v>26</v>
      </c>
      <c r="E311" s="35"/>
      <c r="F311" s="29" cm="1">
        <f t="array" ref="F311">IF(V311 &lt;&gt; "", V311, IFERROR(_xlfn.SINGLE(INDEX($G$1:G310,SUMPRODUCT(MAX(($W$1:W310=W311)*(ROW($W$1:W310))))))+IF(D311="Fiscal",30,90),""))</f>
        <v>45853</v>
      </c>
      <c r="G311" s="21">
        <v>45834</v>
      </c>
      <c r="H311" s="15">
        <f t="shared" si="143"/>
        <v>45844</v>
      </c>
      <c r="I311" s="15">
        <v>45837</v>
      </c>
      <c r="J311" s="32" t="s">
        <v>173</v>
      </c>
      <c r="K311" s="15">
        <f t="shared" si="144"/>
        <v>45854</v>
      </c>
      <c r="L311" s="15">
        <v>45852</v>
      </c>
      <c r="M311" s="15">
        <f t="shared" si="145"/>
        <v>45859</v>
      </c>
      <c r="N311" s="13">
        <v>45859</v>
      </c>
      <c r="O311" s="2" t="str">
        <f>IFERROR(IF(tblColetas[[#This Row],[Status Coleta]]="Reprovado","Reprovado",IF(ISERROR(SEARCH("Poço",D311)),IF(N311="","Erro",IF(Q311="Reprovado","",WORKDAY(N311,IF(D311="Operacional",10,3),FERIADOS!$A$3:$A$119))),"-")),"-")</f>
        <v>-</v>
      </c>
      <c r="P311" s="21"/>
      <c r="Q311" s="7" t="s">
        <v>37</v>
      </c>
      <c r="R311" s="13"/>
      <c r="S311" s="30"/>
      <c r="T311" s="43"/>
      <c r="W311" t="str">
        <f t="shared" si="139"/>
        <v>SEPPoço MRO-27  P-8Poço CG</v>
      </c>
      <c r="X3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2" spans="1:24" ht="12.5" x14ac:dyDescent="0.25">
      <c r="A312" s="10"/>
      <c r="B312" s="19" t="s">
        <v>52</v>
      </c>
      <c r="C312" s="5" t="s">
        <v>53</v>
      </c>
      <c r="D312" s="20" t="s">
        <v>29</v>
      </c>
      <c r="E312" s="35"/>
      <c r="F312" s="29" cm="1">
        <f t="array" ref="F312">IF(V312 &lt;&gt; "", V312, IFERROR(_xlfn.SINGLE(INDEX($G$1:G311,SUMPRODUCT(MAX(($W$1:W311=W312)*(ROW($W$1:W311))))))+IF(D312="Fiscal",30,90),""))</f>
        <v>45853</v>
      </c>
      <c r="G312" s="21">
        <v>45834</v>
      </c>
      <c r="H312" s="15">
        <f t="shared" si="143"/>
        <v>45844</v>
      </c>
      <c r="I312" s="15">
        <v>45837</v>
      </c>
      <c r="J312" s="32" t="s">
        <v>173</v>
      </c>
      <c r="K312" s="15">
        <f t="shared" si="144"/>
        <v>45854</v>
      </c>
      <c r="L312" s="15">
        <v>45852</v>
      </c>
      <c r="M312" s="15">
        <f t="shared" si="145"/>
        <v>45859</v>
      </c>
      <c r="N312" s="13">
        <v>45859</v>
      </c>
      <c r="O312" s="2" t="str">
        <f>IFERROR(IF(tblColetas[[#This Row],[Status Coleta]]="Reprovado","Reprovado",IF(ISERROR(SEARCH("Poço",D312)),IF(N312="","Erro",IF(Q312="Reprovado","",WORKDAY(N312,IF(D312="Operacional",10,3),FERIADOS!$A$3:$A$119))),"-")),"-")</f>
        <v>-</v>
      </c>
      <c r="P312" s="21"/>
      <c r="Q312" s="7" t="s">
        <v>37</v>
      </c>
      <c r="R312" s="13"/>
      <c r="S312" s="30"/>
      <c r="T312" s="43"/>
      <c r="W312" t="str">
        <f t="shared" si="139"/>
        <v>SEPPoço MRO-27  P-8Poço PVT</v>
      </c>
      <c r="X3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3" spans="1:24" ht="12.5" x14ac:dyDescent="0.25">
      <c r="A313" s="10"/>
      <c r="B313" s="19" t="s">
        <v>46</v>
      </c>
      <c r="C313" s="5" t="s">
        <v>55</v>
      </c>
      <c r="D313" s="20" t="s">
        <v>26</v>
      </c>
      <c r="E313" s="35"/>
      <c r="F313" s="29" cm="1">
        <f t="array" ref="F313">IF(V313 &lt;&gt; "", V313, IFERROR(_xlfn.SINGLE(INDEX($G$1:G312,SUMPRODUCT(MAX(($W$1:W312=W313)*(ROW($W$1:W312))))))+IF(D313="Fiscal",30,90),""))</f>
        <v>45859</v>
      </c>
      <c r="G313" s="21">
        <v>45799</v>
      </c>
      <c r="H313" s="15">
        <f t="shared" ref="H313:H318" si="146">IF(G313="","Erro", G313+10)</f>
        <v>45809</v>
      </c>
      <c r="I313" s="15">
        <v>45810</v>
      </c>
      <c r="J313" s="32" t="s">
        <v>144</v>
      </c>
      <c r="K313" s="15">
        <f t="shared" ref="K313:K318" si="147">IF(G313="","Erro",G313+20)</f>
        <v>45819</v>
      </c>
      <c r="L313" s="15">
        <v>45817</v>
      </c>
      <c r="M313" s="15">
        <f t="shared" ref="M313:M318" si="148">IF(G313="","Erro",G313+IF(D313="Operacional",45,25))</f>
        <v>45824</v>
      </c>
      <c r="N313" s="13">
        <v>45824</v>
      </c>
      <c r="O313" s="2" t="str">
        <f>IFERROR(IF(tblColetas[[#This Row],[Status Coleta]]="Reprovado","Reprovado",IF(ISERROR(SEARCH("Poço",D313)),IF(N313="","Erro",IF(Q313="Reprovado","",WORKDAY(N313,IF(D313="Operacional",10,3),FERIADOS!$A$3:$A$119))),"-")),"-")</f>
        <v>-</v>
      </c>
      <c r="P313" s="21"/>
      <c r="Q313" s="7" t="s">
        <v>37</v>
      </c>
      <c r="R313" s="13"/>
      <c r="S313" s="33" t="s">
        <v>174</v>
      </c>
      <c r="T313" s="43"/>
      <c r="W313" t="str">
        <f t="shared" si="139"/>
        <v>CDMPoço TUP-128 (P-06)Poço CG</v>
      </c>
      <c r="X3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4" spans="1:24" ht="12.5" x14ac:dyDescent="0.25">
      <c r="A314" s="10"/>
      <c r="B314" s="19" t="s">
        <v>46</v>
      </c>
      <c r="C314" s="5" t="s">
        <v>55</v>
      </c>
      <c r="D314" s="20" t="s">
        <v>29</v>
      </c>
      <c r="E314" s="35"/>
      <c r="F314" s="29" cm="1">
        <f t="array" ref="F314">IF(V314 &lt;&gt; "", V314, IFERROR(_xlfn.SINGLE(INDEX($G$1:G313,SUMPRODUCT(MAX(($W$1:W313=W314)*(ROW($W$1:W313))))))+IF(D314="Fiscal",30,90),""))</f>
        <v>45859</v>
      </c>
      <c r="G314" s="21">
        <v>45799</v>
      </c>
      <c r="H314" s="15">
        <f t="shared" si="146"/>
        <v>45809</v>
      </c>
      <c r="I314" s="15">
        <v>45810</v>
      </c>
      <c r="J314" s="32" t="s">
        <v>144</v>
      </c>
      <c r="K314" s="15">
        <f t="shared" si="147"/>
        <v>45819</v>
      </c>
      <c r="L314" s="15">
        <v>45817</v>
      </c>
      <c r="M314" s="15">
        <f t="shared" si="148"/>
        <v>45824</v>
      </c>
      <c r="N314" s="13">
        <v>45824</v>
      </c>
      <c r="O314" s="2" t="str">
        <f>IFERROR(IF(tblColetas[[#This Row],[Status Coleta]]="Reprovado","Reprovado",IF(ISERROR(SEARCH("Poço",D314)),IF(N314="","Erro",IF(Q314="Reprovado","",WORKDAY(N314,IF(D314="Operacional",10,3),FERIADOS!$A$3:$A$119))),"-")),"-")</f>
        <v>-</v>
      </c>
      <c r="P314" s="21"/>
      <c r="Q314" s="7" t="s">
        <v>37</v>
      </c>
      <c r="R314" s="13"/>
      <c r="S314" s="33" t="s">
        <v>174</v>
      </c>
      <c r="T314" s="43"/>
      <c r="W314" t="str">
        <f t="shared" si="139"/>
        <v>CDMPoço TUP-128 (P-06)Poço PVT</v>
      </c>
      <c r="X3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5" spans="1:24" ht="12.5" x14ac:dyDescent="0.25">
      <c r="A315" s="10"/>
      <c r="B315" s="19" t="s">
        <v>24</v>
      </c>
      <c r="C315" s="5" t="s">
        <v>76</v>
      </c>
      <c r="D315" s="20" t="s">
        <v>72</v>
      </c>
      <c r="E315" s="35"/>
      <c r="F315" s="29" cm="1">
        <f t="array" ref="F315">IF(V315 &lt;&gt; "", V315, IFERROR(_xlfn.SINGLE(INDEX($G$1:G314,SUMPRODUCT(MAX(($W$1:W314=W315)*(ROW($W$1:W314))))))+IF(D315="Fiscal",30,90),""))</f>
        <v>45800</v>
      </c>
      <c r="G315" s="21">
        <v>45798</v>
      </c>
      <c r="H315" s="15">
        <f t="shared" si="146"/>
        <v>45808</v>
      </c>
      <c r="I315" s="15">
        <v>45808</v>
      </c>
      <c r="J315" s="32" t="s">
        <v>132</v>
      </c>
      <c r="K315" s="15">
        <f t="shared" si="147"/>
        <v>45818</v>
      </c>
      <c r="L315" s="15">
        <v>45821</v>
      </c>
      <c r="M315" s="15">
        <f t="shared" si="148"/>
        <v>45823</v>
      </c>
      <c r="N315" s="13">
        <v>45822</v>
      </c>
      <c r="O315" s="2" t="str">
        <f>IFERROR(IF(tblColetas[[#This Row],[Status Coleta]]="Reprovado","Reprovado",IF(ISERROR(SEARCH("Poço",D315)),IF(N315="","Erro",IF(Q315="Reprovado","",WORKDAY(N315,IF(D315="Operacional",10,3),FERIADOS!$A$3:$A$119))),"-")),"-")</f>
        <v>Reprovado</v>
      </c>
      <c r="P315" s="21"/>
      <c r="Q315" s="7" t="s">
        <v>81</v>
      </c>
      <c r="R315" s="13"/>
      <c r="S315" s="33" t="s">
        <v>162</v>
      </c>
      <c r="T315" s="43"/>
      <c r="W315" t="str">
        <f t="shared" si="139"/>
        <v>CDAM74-FT-005 (Export gas)Fiscal</v>
      </c>
      <c r="X3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6" spans="1:24" ht="12.5" x14ac:dyDescent="0.25">
      <c r="A316" s="10"/>
      <c r="B316" s="19" t="s">
        <v>24</v>
      </c>
      <c r="C316" s="5" t="s">
        <v>78</v>
      </c>
      <c r="D316" s="20" t="s">
        <v>72</v>
      </c>
      <c r="E316" s="35"/>
      <c r="F316" s="29" cm="1">
        <f t="array" ref="F316">IF(V316 &lt;&gt; "", V316, IFERROR(_xlfn.SINGLE(INDEX($G$1:G315,SUMPRODUCT(MAX(($W$1:W315=W316)*(ROW($W$1:W315))))))+IF(D316="Fiscal",30,90),""))</f>
        <v>45800</v>
      </c>
      <c r="G316" s="21">
        <v>45798</v>
      </c>
      <c r="H316" s="15">
        <f t="shared" si="146"/>
        <v>45808</v>
      </c>
      <c r="I316" s="15">
        <v>45808</v>
      </c>
      <c r="J316" s="32" t="s">
        <v>132</v>
      </c>
      <c r="K316" s="15">
        <f t="shared" si="147"/>
        <v>45818</v>
      </c>
      <c r="L316" s="15">
        <v>45821</v>
      </c>
      <c r="M316" s="15">
        <f t="shared" si="148"/>
        <v>45823</v>
      </c>
      <c r="N316" s="13">
        <v>45822</v>
      </c>
      <c r="O316" s="2">
        <f>IFERROR(IF(tblColetas[[#This Row],[Status Coleta]]="Reprovado","Reprovado",IF(ISERROR(SEARCH("Poço",D316)),IF(N316="","Erro",IF(Q316="Reprovado","",WORKDAY(N316,IF(D316="Operacional",10,3),FERIADOS!$A$3:$A$119))),"-")),"-")</f>
        <v>45826</v>
      </c>
      <c r="P316" s="21">
        <v>45825</v>
      </c>
      <c r="Q316" s="7" t="s">
        <v>37</v>
      </c>
      <c r="R316" s="13"/>
      <c r="S316" s="30"/>
      <c r="T316" s="43"/>
      <c r="W316" t="str">
        <f t="shared" si="139"/>
        <v>CDAT77-FT-001 (Fuel Gas)Fiscal</v>
      </c>
      <c r="X3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7" spans="1:24" ht="12.5" x14ac:dyDescent="0.25">
      <c r="A317" s="10"/>
      <c r="B317" s="19" t="s">
        <v>34</v>
      </c>
      <c r="C317" s="5" t="s">
        <v>61</v>
      </c>
      <c r="D317" s="20" t="s">
        <v>26</v>
      </c>
      <c r="E317" s="35"/>
      <c r="F317" s="29" cm="1">
        <f t="array" ref="F317">IF(V317 &lt;&gt; "", V317, IFERROR(_xlfn.SINGLE(INDEX($G$1:G316,SUMPRODUCT(MAX(($W$1:W316=W317)*(ROW($W$1:W316))))))+IF(D317="Fiscal",30,90),""))</f>
        <v>45863</v>
      </c>
      <c r="G317" s="21">
        <v>45848</v>
      </c>
      <c r="H317" s="15">
        <f t="shared" si="146"/>
        <v>45858</v>
      </c>
      <c r="I317" s="15">
        <v>45849</v>
      </c>
      <c r="J317" s="32" t="s">
        <v>175</v>
      </c>
      <c r="K317" s="15">
        <f t="shared" si="147"/>
        <v>45868</v>
      </c>
      <c r="L317" s="15">
        <v>45856</v>
      </c>
      <c r="M317" s="15">
        <f t="shared" si="148"/>
        <v>45873</v>
      </c>
      <c r="N317" s="13">
        <v>45873</v>
      </c>
      <c r="O317" s="2" t="str">
        <f>IFERROR(IF(tblColetas[[#This Row],[Status Coleta]]="Reprovado","Reprovado",IF(ISERROR(SEARCH("Poço",D317)),IF(N317="","Erro",IF(Q317="Reprovado","",WORKDAY(N317,IF(D317="Operacional",10,3),FERIADOS!$A$3:$A$119))),"-")),"-")</f>
        <v>-</v>
      </c>
      <c r="P317" s="21"/>
      <c r="Q317" s="7" t="s">
        <v>37</v>
      </c>
      <c r="R317" s="13"/>
      <c r="S317" s="30"/>
      <c r="T317" s="43"/>
      <c r="W317" t="str">
        <f t="shared" si="139"/>
        <v>CDSPoço LL-91 (P-02)Poço CG</v>
      </c>
      <c r="X3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8" spans="1:24" ht="12.5" x14ac:dyDescent="0.25">
      <c r="A318" s="10"/>
      <c r="B318" s="19" t="s">
        <v>34</v>
      </c>
      <c r="C318" s="5" t="s">
        <v>61</v>
      </c>
      <c r="D318" s="20" t="s">
        <v>29</v>
      </c>
      <c r="E318" s="35"/>
      <c r="F318" s="29" cm="1">
        <f t="array" ref="F318">IF(V318 &lt;&gt; "", V318, IFERROR(_xlfn.SINGLE(INDEX($G$1:G317,SUMPRODUCT(MAX(($W$1:W317=W318)*(ROW($W$1:W317))))))+IF(D318="Fiscal",30,90),""))</f>
        <v>45863</v>
      </c>
      <c r="G318" s="21">
        <v>45848</v>
      </c>
      <c r="H318" s="15">
        <f t="shared" si="146"/>
        <v>45858</v>
      </c>
      <c r="I318" s="15">
        <v>45849</v>
      </c>
      <c r="J318" s="32" t="s">
        <v>175</v>
      </c>
      <c r="K318" s="15">
        <f t="shared" si="147"/>
        <v>45868</v>
      </c>
      <c r="L318" s="15">
        <v>45856</v>
      </c>
      <c r="M318" s="15">
        <f t="shared" si="148"/>
        <v>45873</v>
      </c>
      <c r="N318" s="13">
        <v>45873</v>
      </c>
      <c r="O318" s="2" t="str">
        <f>IFERROR(IF(tblColetas[[#This Row],[Status Coleta]]="Reprovado","Reprovado",IF(ISERROR(SEARCH("Poço",D318)),IF(N318="","Erro",IF(Q318="Reprovado","",WORKDAY(N318,IF(D318="Operacional",10,3),FERIADOS!$A$3:$A$119))),"-")),"-")</f>
        <v>-</v>
      </c>
      <c r="P318" s="21"/>
      <c r="Q318" s="7" t="s">
        <v>37</v>
      </c>
      <c r="R318" s="13"/>
      <c r="S318" s="30"/>
      <c r="T318" s="43"/>
      <c r="W318" t="str">
        <f t="shared" si="139"/>
        <v>CDSPoço LL-91 (P-02)Poço PVT</v>
      </c>
      <c r="X3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19" spans="1:24" ht="12.5" x14ac:dyDescent="0.25">
      <c r="A319" s="10"/>
      <c r="B319" s="19" t="s">
        <v>34</v>
      </c>
      <c r="C319" s="5" t="s">
        <v>71</v>
      </c>
      <c r="D319" s="20" t="s">
        <v>72</v>
      </c>
      <c r="E319" s="35"/>
      <c r="F319" s="29" cm="1">
        <f t="array" ref="F319">IF(V319 &lt;&gt; "", V319, IFERROR(_xlfn.SINGLE(INDEX($G$1:G318,SUMPRODUCT(MAX(($W$1:W318=W319)*(ROW($W$1:W318))))))+IF(D319="Fiscal",30,90),""))</f>
        <v>45798</v>
      </c>
      <c r="G319" s="21">
        <v>45794</v>
      </c>
      <c r="H319" s="15">
        <f t="shared" ref="H319:H325" si="149">IF(G319="","Erro", G319+10)</f>
        <v>45804</v>
      </c>
      <c r="I319" s="15"/>
      <c r="J319" s="32"/>
      <c r="K319" s="15">
        <f t="shared" ref="K319:K325" si="150">IF(G319="","Erro",G319+20)</f>
        <v>45814</v>
      </c>
      <c r="L319" s="15"/>
      <c r="M319" s="15">
        <f t="shared" ref="M319:M325" si="151">IF(G319="","Erro",G319+IF(D319="Operacional",45,25))</f>
        <v>45819</v>
      </c>
      <c r="N319" s="13">
        <v>45819</v>
      </c>
      <c r="O319" s="2">
        <f>IFERROR(IF(tblColetas[[#This Row],[Status Coleta]]="Reprovado","Reprovado",IF(ISERROR(SEARCH("Poço",D319)),IF(N319="","Erro",IF(Q319="Reprovado","",WORKDAY(N319,IF(D319="Operacional",10,3),FERIADOS!$A$3:$A$119))),"-")),"-")</f>
        <v>45824</v>
      </c>
      <c r="P319" s="21">
        <v>45823</v>
      </c>
      <c r="Q319" s="7" t="s">
        <v>37</v>
      </c>
      <c r="R319" s="13"/>
      <c r="S319" s="30"/>
      <c r="T319" s="43"/>
      <c r="W319" t="str">
        <f t="shared" si="139"/>
        <v>CDST77-FT-0103 (Fuel Gas)Fiscal</v>
      </c>
      <c r="X3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0" spans="1:24" ht="12.5" x14ac:dyDescent="0.25">
      <c r="A320" s="10"/>
      <c r="B320" s="19" t="s">
        <v>34</v>
      </c>
      <c r="C320" s="5" t="s">
        <v>73</v>
      </c>
      <c r="D320" s="20" t="s">
        <v>72</v>
      </c>
      <c r="E320" s="35"/>
      <c r="F320" s="29" cm="1">
        <f t="array" ref="F320">IF(V320 &lt;&gt; "", V320, IFERROR(_xlfn.SINGLE(INDEX($G$1:G319,SUMPRODUCT(MAX(($W$1:W319=W320)*(ROW($W$1:W319))))))+IF(D320="Fiscal",30,90),""))</f>
        <v>45798</v>
      </c>
      <c r="G320" s="21">
        <v>45794</v>
      </c>
      <c r="H320" s="15">
        <f>IF(G320="","Erro", G320+10)</f>
        <v>45804</v>
      </c>
      <c r="I320" s="15"/>
      <c r="J320" s="32"/>
      <c r="K320" s="15">
        <f>IF(G320="","Erro",G320+20)</f>
        <v>45814</v>
      </c>
      <c r="L320" s="15"/>
      <c r="M320" s="15">
        <f>IF(G320="","Erro",G320+IF(D320="Operacional",45,25))</f>
        <v>45819</v>
      </c>
      <c r="N320" s="13">
        <v>45819</v>
      </c>
      <c r="O320" s="2">
        <f>IFERROR(IF(tblColetas[[#This Row],[Status Coleta]]="Reprovado","Reprovado",IF(ISERROR(SEARCH("Poço",D320)),IF(N320="","Erro",IF(Q320="Reprovado","",WORKDAY(N320,IF(D320="Operacional",10,3),FERIADOS!$A$3:$A$119))),"-")),"-")</f>
        <v>45824</v>
      </c>
      <c r="P320" s="21">
        <v>45823</v>
      </c>
      <c r="Q320" s="7" t="s">
        <v>37</v>
      </c>
      <c r="R320" s="13"/>
      <c r="S320" s="30"/>
      <c r="T320" s="43"/>
      <c r="W320" t="str">
        <f t="shared" si="139"/>
        <v>CDST74-AX-6911 (Export Gas)Fiscal</v>
      </c>
      <c r="X3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1" spans="1:24" ht="12.5" x14ac:dyDescent="0.25">
      <c r="A321" s="10"/>
      <c r="B321" s="19" t="s">
        <v>34</v>
      </c>
      <c r="C321" s="5" t="s">
        <v>74</v>
      </c>
      <c r="D321" s="20" t="s">
        <v>72</v>
      </c>
      <c r="E321" s="35"/>
      <c r="F321" s="29" cm="1">
        <f t="array" ref="F321">IF(V321 &lt;&gt; "", V321, IFERROR(_xlfn.SINGLE(INDEX($G$1:G320,SUMPRODUCT(MAX(($W$1:W320=W321)*(ROW($W$1:W320))))))+IF(D321="Fiscal",30,90),""))</f>
        <v>45798</v>
      </c>
      <c r="G321" s="21">
        <v>45794</v>
      </c>
      <c r="H321" s="15">
        <f>IF(G321="","Erro", G321+10)</f>
        <v>45804</v>
      </c>
      <c r="I321" s="15"/>
      <c r="J321" s="32"/>
      <c r="K321" s="15">
        <f>IF(G321="","Erro",G321+20)</f>
        <v>45814</v>
      </c>
      <c r="L321" s="15"/>
      <c r="M321" s="15">
        <f>IF(G321="","Erro",G321+IF(D321="Operacional",45,25))</f>
        <v>45819</v>
      </c>
      <c r="N321" s="13">
        <v>45819</v>
      </c>
      <c r="O321" s="2">
        <f>IFERROR(IF(tblColetas[[#This Row],[Status Coleta]]="Reprovado","Reprovado",IF(ISERROR(SEARCH("Poço",D321)),IF(N321="","Erro",IF(Q321="Reprovado","",WORKDAY(N321,IF(D321="Operacional",10,3),FERIADOS!$A$3:$A$119))),"-")),"-")</f>
        <v>45824</v>
      </c>
      <c r="P321" s="21">
        <v>45823</v>
      </c>
      <c r="Q321" s="7" t="s">
        <v>37</v>
      </c>
      <c r="R321" s="13"/>
      <c r="S321" s="30"/>
      <c r="T321" s="43"/>
      <c r="W321" t="str">
        <f t="shared" si="139"/>
        <v>CDST76-FT-0014 (HP Flare)Fiscal</v>
      </c>
      <c r="X3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2" spans="1:24" ht="12.5" x14ac:dyDescent="0.25">
      <c r="A322" s="10"/>
      <c r="B322" s="19" t="s">
        <v>34</v>
      </c>
      <c r="C322" s="5" t="s">
        <v>75</v>
      </c>
      <c r="D322" s="20" t="s">
        <v>72</v>
      </c>
      <c r="E322" s="35"/>
      <c r="F322" s="29" cm="1">
        <f t="array" ref="F322">IF(V322 &lt;&gt; "", V322, IFERROR(_xlfn.SINGLE(INDEX($G$1:G321,SUMPRODUCT(MAX(($W$1:W321=W322)*(ROW($W$1:W321))))))+IF(D322="Fiscal",30,90),""))</f>
        <v>45798</v>
      </c>
      <c r="G322" s="21">
        <v>45794</v>
      </c>
      <c r="H322" s="15">
        <f t="shared" si="149"/>
        <v>45804</v>
      </c>
      <c r="I322" s="15"/>
      <c r="J322" s="32"/>
      <c r="K322" s="15">
        <f t="shared" si="150"/>
        <v>45814</v>
      </c>
      <c r="L322" s="15"/>
      <c r="M322" s="15">
        <f t="shared" si="151"/>
        <v>45819</v>
      </c>
      <c r="N322" s="13">
        <v>45819</v>
      </c>
      <c r="O322" s="2">
        <f>IFERROR(IF(tblColetas[[#This Row],[Status Coleta]]="Reprovado","Reprovado",IF(ISERROR(SEARCH("Poço",D322)),IF(N322="","Erro",IF(Q322="Reprovado","",WORKDAY(N322,IF(D322="Operacional",10,3),FERIADOS!$A$3:$A$119))),"-")),"-")</f>
        <v>45824</v>
      </c>
      <c r="P322" s="21">
        <v>45823</v>
      </c>
      <c r="Q322" s="7" t="s">
        <v>37</v>
      </c>
      <c r="R322" s="13"/>
      <c r="S322" s="30"/>
      <c r="T322" s="43"/>
      <c r="W322" t="str">
        <f t="shared" si="139"/>
        <v>CDST76-FT-0034 (LP Flare)Fiscal</v>
      </c>
      <c r="X3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3" spans="1:24" ht="12.5" x14ac:dyDescent="0.25">
      <c r="A323" s="10"/>
      <c r="B323" s="19" t="s">
        <v>52</v>
      </c>
      <c r="C323" s="5" t="s">
        <v>121</v>
      </c>
      <c r="D323" s="20" t="s">
        <v>70</v>
      </c>
      <c r="E323" s="35"/>
      <c r="F323" s="29" cm="1">
        <f t="array" ref="F323">IF(V323 &lt;&gt; "", V323, IFERROR(_xlfn.SINGLE(INDEX($G$1:G322,SUMPRODUCT(MAX(($W$1:W322=W323)*(ROW($W$1:W322))))))+IF(D323="Fiscal",30,90),""))</f>
        <v>45838</v>
      </c>
      <c r="G323" s="21">
        <v>45805</v>
      </c>
      <c r="H323" s="15">
        <f t="shared" si="149"/>
        <v>45815</v>
      </c>
      <c r="I323" s="15"/>
      <c r="J323" s="32"/>
      <c r="K323" s="15">
        <f t="shared" si="150"/>
        <v>45825</v>
      </c>
      <c r="L323" s="15"/>
      <c r="M323" s="15">
        <f t="shared" si="151"/>
        <v>45830</v>
      </c>
      <c r="N323" s="13">
        <v>45828</v>
      </c>
      <c r="O323" s="2" t="str">
        <f>IFERROR(IF(tblColetas[[#This Row],[Status Coleta]]="Reprovado","Reprovado",IF(ISERROR(SEARCH("Poço",D323)),IF(N323="","Erro",IF(Q323="Reprovado","",WORKDAY(N323,IF(D323="Operacional",10,3),FERIADOS!$A$3:$A$119))),"-")),"-")</f>
        <v>Reprovado</v>
      </c>
      <c r="P323" s="21"/>
      <c r="Q323" s="7" t="s">
        <v>81</v>
      </c>
      <c r="R323" s="13"/>
      <c r="S323" s="33" t="s">
        <v>127</v>
      </c>
      <c r="T323" s="43"/>
      <c r="W323" t="str">
        <f t="shared" si="139"/>
        <v>SEP773-AP-0011 (Gas Lift Total)Gas Lift</v>
      </c>
      <c r="X3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4" spans="1:24" ht="12.5" x14ac:dyDescent="0.25">
      <c r="A324" s="10"/>
      <c r="B324" s="19" t="s">
        <v>52</v>
      </c>
      <c r="C324" s="5" t="s">
        <v>57</v>
      </c>
      <c r="D324" s="20" t="s">
        <v>26</v>
      </c>
      <c r="E324" s="35"/>
      <c r="F324" s="29" cm="1">
        <f t="array" ref="F324">IF(V324 &lt;&gt; "", V324, IFERROR(_xlfn.SINGLE(INDEX($G$1:G323,SUMPRODUCT(MAX(($W$1:W323=W324)*(ROW($W$1:W323))))))+IF(D324="Fiscal",30,90),""))</f>
        <v>45862</v>
      </c>
      <c r="G324" s="21">
        <v>45851</v>
      </c>
      <c r="H324" s="15">
        <f t="shared" si="149"/>
        <v>45861</v>
      </c>
      <c r="I324" s="15">
        <v>45856</v>
      </c>
      <c r="J324" s="32" t="s">
        <v>176</v>
      </c>
      <c r="K324" s="15">
        <f t="shared" si="150"/>
        <v>45871</v>
      </c>
      <c r="L324" s="15">
        <v>45861</v>
      </c>
      <c r="M324" s="15">
        <f t="shared" si="151"/>
        <v>45876</v>
      </c>
      <c r="N324" s="13">
        <v>45876</v>
      </c>
      <c r="O324" s="2" t="str">
        <f>IFERROR(IF(tblColetas[[#This Row],[Status Coleta]]="Reprovado","Reprovado",IF(ISERROR(SEARCH("Poço",D324)),IF(N324="","Erro",IF(Q324="Reprovado","",WORKDAY(N324,IF(D324="Operacional",10,3),FERIADOS!$A$3:$A$119))),"-")),"-")</f>
        <v>-</v>
      </c>
      <c r="P324" s="21"/>
      <c r="Q324" s="7" t="s">
        <v>37</v>
      </c>
      <c r="R324" s="13"/>
      <c r="S324" s="30"/>
      <c r="T324" s="43"/>
      <c r="W324" t="str">
        <f t="shared" si="139"/>
        <v>SEPPoço MRO-18D P-5Poço CG</v>
      </c>
      <c r="X3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5" spans="1:24" ht="12.5" x14ac:dyDescent="0.25">
      <c r="A325" s="10"/>
      <c r="B325" s="19" t="s">
        <v>52</v>
      </c>
      <c r="C325" s="5" t="s">
        <v>57</v>
      </c>
      <c r="D325" s="20" t="s">
        <v>29</v>
      </c>
      <c r="E325" s="35"/>
      <c r="F325" s="29" cm="1">
        <f t="array" ref="F325">IF(V325 &lt;&gt; "", V325, IFERROR(_xlfn.SINGLE(INDEX($G$1:G324,SUMPRODUCT(MAX(($W$1:W324=W325)*(ROW($W$1:W324))))))+IF(D325="Fiscal",30,90),""))</f>
        <v>45862</v>
      </c>
      <c r="G325" s="21">
        <v>45851</v>
      </c>
      <c r="H325" s="15">
        <f t="shared" si="149"/>
        <v>45861</v>
      </c>
      <c r="I325" s="15">
        <v>45856</v>
      </c>
      <c r="J325" s="32" t="s">
        <v>176</v>
      </c>
      <c r="K325" s="15">
        <f t="shared" si="150"/>
        <v>45871</v>
      </c>
      <c r="L325" s="15">
        <v>45861</v>
      </c>
      <c r="M325" s="15">
        <f t="shared" si="151"/>
        <v>45876</v>
      </c>
      <c r="N325" s="13">
        <v>45876</v>
      </c>
      <c r="O325" s="2" t="str">
        <f>IFERROR(IF(tblColetas[[#This Row],[Status Coleta]]="Reprovado","Reprovado",IF(ISERROR(SEARCH("Poço",D325)),IF(N325="","Erro",IF(Q325="Reprovado","",WORKDAY(N325,IF(D325="Operacional",10,3),FERIADOS!$A$3:$A$119))),"-")),"-")</f>
        <v>-</v>
      </c>
      <c r="P325" s="21"/>
      <c r="Q325" s="7" t="s">
        <v>37</v>
      </c>
      <c r="R325" s="13"/>
      <c r="S325" s="30"/>
      <c r="T325" s="43"/>
      <c r="W325" t="str">
        <f t="shared" si="139"/>
        <v>SEPPoço MRO-18D P-5Poço PVT</v>
      </c>
      <c r="X3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6" spans="1:24" ht="12.5" x14ac:dyDescent="0.25">
      <c r="A326" s="10"/>
      <c r="B326" s="8" t="s">
        <v>145</v>
      </c>
      <c r="C326" s="5" t="s">
        <v>146</v>
      </c>
      <c r="D326" s="9" t="s">
        <v>72</v>
      </c>
      <c r="E326" s="36"/>
      <c r="F326" s="29" cm="1">
        <f t="array" ref="F326">IF(V326 &lt;&gt; "", V326, IFERROR(_xlfn.SINGLE(INDEX($G$1:G325,SUMPRODUCT(MAX(($W$1:W325=W326)*(ROW($W$1:W325))))))+IF(D326="Fiscal",30,90),""))</f>
        <v>45792</v>
      </c>
      <c r="G326" s="13">
        <v>45792</v>
      </c>
      <c r="H326" s="15">
        <f t="shared" ref="H326:H332" si="152">IF(G326="","Erro", G326+10)</f>
        <v>45802</v>
      </c>
      <c r="I326" s="15"/>
      <c r="J326" s="32"/>
      <c r="K326" s="15">
        <f t="shared" ref="K326:K332" si="153">IF(G326="","Erro",G326+20)</f>
        <v>45812</v>
      </c>
      <c r="L326" s="15"/>
      <c r="M326" s="15">
        <f t="shared" ref="M326:M332" si="154">IF(G326="","Erro",G326+IF(D326="Operacional",45,25))</f>
        <v>45817</v>
      </c>
      <c r="N326" s="13">
        <v>45817</v>
      </c>
      <c r="O326" s="2">
        <f>IFERROR(IF(tblColetas[[#This Row],[Status Coleta]]="Reprovado","Reprovado",IF(ISERROR(SEARCH("Poço",D326)),IF(N326="","Erro",IF(Q326="Reprovado","",WORKDAY(N326,IF(D326="Operacional",10,3),FERIADOS!$A$3:$A$119))),"-")),"-")</f>
        <v>45820</v>
      </c>
      <c r="P326" s="13">
        <v>45819</v>
      </c>
      <c r="Q326" s="7" t="s">
        <v>37</v>
      </c>
      <c r="R326" s="13"/>
      <c r="S326" s="30"/>
      <c r="T326" s="43"/>
      <c r="W326" t="str">
        <f t="shared" si="139"/>
        <v>ATD777-AP-1403 (Fuel Gas to Flare Stack)Fiscal</v>
      </c>
      <c r="X3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7" spans="1:24" ht="12.5" x14ac:dyDescent="0.25">
      <c r="A327" s="10"/>
      <c r="B327" s="8" t="s">
        <v>145</v>
      </c>
      <c r="C327" s="5" t="s">
        <v>147</v>
      </c>
      <c r="D327" s="9" t="s">
        <v>72</v>
      </c>
      <c r="E327" s="36"/>
      <c r="F327" s="29" cm="1">
        <f t="array" ref="F327">IF(V327 &lt;&gt; "", V327, IFERROR(_xlfn.SINGLE(INDEX($G$1:G326,SUMPRODUCT(MAX(($W$1:W326=W327)*(ROW($W$1:W326))))))+IF(D327="Fiscal",30,90),""))</f>
        <v>45792</v>
      </c>
      <c r="G327" s="13">
        <v>45792</v>
      </c>
      <c r="H327" s="15">
        <f t="shared" si="152"/>
        <v>45802</v>
      </c>
      <c r="I327" s="15"/>
      <c r="J327" s="32"/>
      <c r="K327" s="15">
        <f t="shared" si="153"/>
        <v>45812</v>
      </c>
      <c r="L327" s="15"/>
      <c r="M327" s="15">
        <f t="shared" si="154"/>
        <v>45817</v>
      </c>
      <c r="N327" s="13">
        <v>45817</v>
      </c>
      <c r="O327" s="2">
        <f>IFERROR(IF(tblColetas[[#This Row],[Status Coleta]]="Reprovado","Reprovado",IF(ISERROR(SEARCH("Poço",D327)),IF(N327="","Erro",IF(Q327="Reprovado","",WORKDAY(N327,IF(D327="Operacional",10,3),FERIADOS!$A$3:$A$119))),"-")),"-")</f>
        <v>45820</v>
      </c>
      <c r="P327" s="13">
        <v>45819</v>
      </c>
      <c r="Q327" s="7" t="s">
        <v>37</v>
      </c>
      <c r="R327" s="13"/>
      <c r="S327" s="30"/>
      <c r="T327" s="43"/>
      <c r="W327" t="str">
        <f t="shared" si="139"/>
        <v>ATD777-AP-1506 (Fuel Gas)Fiscal</v>
      </c>
      <c r="X3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8" spans="1:24" ht="12.5" x14ac:dyDescent="0.25">
      <c r="A328" s="10"/>
      <c r="B328" s="8" t="s">
        <v>145</v>
      </c>
      <c r="C328" s="5" t="s">
        <v>148</v>
      </c>
      <c r="D328" s="9" t="s">
        <v>72</v>
      </c>
      <c r="E328" s="36"/>
      <c r="F328" s="29" cm="1">
        <f t="array" ref="F328">IF(V328 &lt;&gt; "", V328, IFERROR(_xlfn.SINGLE(INDEX($G$1:G327,SUMPRODUCT(MAX(($W$1:W327=W328)*(ROW($W$1:W327))))))+IF(D328="Fiscal",30,90),""))</f>
        <v>45792</v>
      </c>
      <c r="G328" s="13">
        <v>45792</v>
      </c>
      <c r="H328" s="15">
        <f t="shared" si="152"/>
        <v>45802</v>
      </c>
      <c r="I328" s="15"/>
      <c r="J328" s="32"/>
      <c r="K328" s="15">
        <f t="shared" si="153"/>
        <v>45812</v>
      </c>
      <c r="L328" s="15"/>
      <c r="M328" s="15">
        <f t="shared" si="154"/>
        <v>45817</v>
      </c>
      <c r="N328" s="13">
        <v>45817</v>
      </c>
      <c r="O328" s="2" t="str">
        <f>IFERROR(IF(tblColetas[[#This Row],[Status Coleta]]="Reprovado","Reprovado",IF(ISERROR(SEARCH("Poço",D328)),IF(N328="","Erro",IF(Q328="Reprovado","",WORKDAY(N328,IF(D328="Operacional",10,3),FERIADOS!$A$3:$A$119))),"-")),"-")</f>
        <v>Reprovado</v>
      </c>
      <c r="P328" s="13"/>
      <c r="Q328" s="7" t="s">
        <v>81</v>
      </c>
      <c r="R328" s="13"/>
      <c r="S328" s="33" t="s">
        <v>177</v>
      </c>
      <c r="T328" s="43"/>
      <c r="W328" t="str">
        <f t="shared" si="139"/>
        <v>ATD776-AP-0018-2 (HP Flare)Fiscal</v>
      </c>
      <c r="X3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29" spans="1:24" ht="12.5" x14ac:dyDescent="0.25">
      <c r="A329" s="10"/>
      <c r="B329" s="8" t="s">
        <v>145</v>
      </c>
      <c r="C329" s="5" t="s">
        <v>149</v>
      </c>
      <c r="D329" s="9" t="s">
        <v>72</v>
      </c>
      <c r="E329" s="36"/>
      <c r="F329" s="29" cm="1">
        <f t="array" ref="F329">IF(V329 &lt;&gt; "", V329, IFERROR(_xlfn.SINGLE(INDEX($G$1:G328,SUMPRODUCT(MAX(($W$1:W328=W329)*(ROW($W$1:W328))))))+IF(D329="Fiscal",30,90),""))</f>
        <v>45792</v>
      </c>
      <c r="G329" s="13">
        <v>45792</v>
      </c>
      <c r="H329" s="15">
        <f t="shared" si="152"/>
        <v>45802</v>
      </c>
      <c r="I329" s="15"/>
      <c r="J329" s="32"/>
      <c r="K329" s="15">
        <f t="shared" si="153"/>
        <v>45812</v>
      </c>
      <c r="L329" s="15"/>
      <c r="M329" s="15">
        <f t="shared" si="154"/>
        <v>45817</v>
      </c>
      <c r="N329" s="13">
        <v>45817</v>
      </c>
      <c r="O329" s="2">
        <f>IFERROR(IF(tblColetas[[#This Row],[Status Coleta]]="Reprovado","Reprovado",IF(ISERROR(SEARCH("Poço",D329)),IF(N329="","Erro",IF(Q329="Reprovado","",WORKDAY(N329,IF(D329="Operacional",10,3),FERIADOS!$A$3:$A$119))),"-")),"-")</f>
        <v>45820</v>
      </c>
      <c r="P329" s="13">
        <v>45819</v>
      </c>
      <c r="Q329" s="7" t="s">
        <v>37</v>
      </c>
      <c r="R329" s="13"/>
      <c r="S329" s="30"/>
      <c r="T329" s="43"/>
      <c r="W329" t="str">
        <f t="shared" si="139"/>
        <v>ATD776-AP-0036-2 (LP Flare)Fiscal</v>
      </c>
      <c r="X3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0" spans="1:24" ht="12.5" x14ac:dyDescent="0.25">
      <c r="A330" s="10"/>
      <c r="B330" s="8" t="s">
        <v>145</v>
      </c>
      <c r="C330" s="5" t="s">
        <v>151</v>
      </c>
      <c r="D330" s="9" t="s">
        <v>72</v>
      </c>
      <c r="E330" s="36"/>
      <c r="F330" s="29" cm="1">
        <f t="array" ref="F330">IF(V330 &lt;&gt; "", V330, IFERROR(_xlfn.SINGLE(INDEX($G$1:G329,SUMPRODUCT(MAX(($W$1:W329=W330)*(ROW($W$1:W329))))))+IF(D330="Fiscal",30,90),""))</f>
        <v>45792</v>
      </c>
      <c r="G330" s="13">
        <v>45792</v>
      </c>
      <c r="H330" s="15">
        <f t="shared" si="152"/>
        <v>45802</v>
      </c>
      <c r="I330" s="15"/>
      <c r="J330" s="32"/>
      <c r="K330" s="15">
        <f t="shared" si="153"/>
        <v>45812</v>
      </c>
      <c r="L330" s="15"/>
      <c r="M330" s="15">
        <f t="shared" si="154"/>
        <v>45817</v>
      </c>
      <c r="N330" s="13">
        <v>45817</v>
      </c>
      <c r="O330" s="2">
        <f>IFERROR(IF(tblColetas[[#This Row],[Status Coleta]]="Reprovado","Reprovado",IF(ISERROR(SEARCH("Poço",D330)),IF(N330="","Erro",IF(Q330="Reprovado","",WORKDAY(N330,IF(D330="Operacional",10,3),FERIADOS!$A$3:$A$119))),"-")),"-")</f>
        <v>45820</v>
      </c>
      <c r="P330" s="13">
        <v>45819</v>
      </c>
      <c r="Q330" s="7" t="s">
        <v>37</v>
      </c>
      <c r="R330" s="13"/>
      <c r="S330" s="30"/>
      <c r="T330" s="43"/>
      <c r="W330" t="str">
        <f t="shared" si="139"/>
        <v>ATD776-AP-7001 (Flare Assist)Fiscal</v>
      </c>
      <c r="X3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1" spans="1:24" ht="12.5" x14ac:dyDescent="0.25">
      <c r="A331" s="10"/>
      <c r="B331" s="19" t="s">
        <v>46</v>
      </c>
      <c r="C331" s="5" t="s">
        <v>92</v>
      </c>
      <c r="D331" s="20" t="s">
        <v>26</v>
      </c>
      <c r="E331" s="35"/>
      <c r="F331" s="29" cm="1">
        <f t="array" ref="F331">IF(V331 &lt;&gt; "", V331, IFERROR(_xlfn.SINGLE(INDEX($G$1:G330,SUMPRODUCT(MAX(($W$1:W330=W331)*(ROW($W$1:W330))))))+IF(D331="Fiscal",30,90),""))</f>
        <v>45866</v>
      </c>
      <c r="G331" s="21">
        <v>45853</v>
      </c>
      <c r="H331" s="15">
        <f t="shared" si="152"/>
        <v>45863</v>
      </c>
      <c r="I331" s="15">
        <v>45854</v>
      </c>
      <c r="J331" s="32" t="s">
        <v>178</v>
      </c>
      <c r="K331" s="15">
        <f t="shared" si="153"/>
        <v>45873</v>
      </c>
      <c r="L331" s="15">
        <v>45861</v>
      </c>
      <c r="M331" s="15">
        <f t="shared" si="154"/>
        <v>45878</v>
      </c>
      <c r="N331" s="13">
        <v>45877</v>
      </c>
      <c r="O331" s="2" t="str">
        <f>IFERROR(IF(tblColetas[[#This Row],[Status Coleta]]="Reprovado","Reprovado",IF(ISERROR(SEARCH("Poço",D331)),IF(N331="","Erro",IF(Q331="Reprovado","",WORKDAY(N331,IF(D331="Operacional",10,3),FERIADOS!$A$3:$A$119))),"-")),"-")</f>
        <v>-</v>
      </c>
      <c r="P331" s="21"/>
      <c r="Q331" s="7" t="s">
        <v>37</v>
      </c>
      <c r="R331" s="13"/>
      <c r="S331" s="30"/>
      <c r="T331" s="43"/>
      <c r="W331" t="str">
        <f t="shared" si="139"/>
        <v>CDMPoço LL-12 (P-05)Poço CG</v>
      </c>
      <c r="X3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2" spans="1:24" ht="12.5" x14ac:dyDescent="0.25">
      <c r="A332" s="10"/>
      <c r="B332" s="19" t="s">
        <v>46</v>
      </c>
      <c r="C332" s="5" t="s">
        <v>92</v>
      </c>
      <c r="D332" s="20" t="s">
        <v>29</v>
      </c>
      <c r="E332" s="35"/>
      <c r="F332" s="29" cm="1">
        <f t="array" ref="F332">IF(V332 &lt;&gt; "", V332, IFERROR(_xlfn.SINGLE(INDEX($G$1:G331,SUMPRODUCT(MAX(($W$1:W331=W332)*(ROW($W$1:W331))))))+IF(D332="Fiscal",30,90),""))</f>
        <v>45866</v>
      </c>
      <c r="G332" s="21">
        <v>45853</v>
      </c>
      <c r="H332" s="15">
        <f t="shared" si="152"/>
        <v>45863</v>
      </c>
      <c r="I332" s="15">
        <v>45854</v>
      </c>
      <c r="J332" s="32" t="s">
        <v>178</v>
      </c>
      <c r="K332" s="15">
        <f t="shared" si="153"/>
        <v>45873</v>
      </c>
      <c r="L332" s="15">
        <v>45861</v>
      </c>
      <c r="M332" s="15">
        <f t="shared" si="154"/>
        <v>45878</v>
      </c>
      <c r="N332" s="13">
        <v>45877</v>
      </c>
      <c r="O332" s="2" t="str">
        <f>IFERROR(IF(tblColetas[[#This Row],[Status Coleta]]="Reprovado","Reprovado",IF(ISERROR(SEARCH("Poço",D332)),IF(N332="","Erro",IF(Q332="Reprovado","",WORKDAY(N332,IF(D332="Operacional",10,3),FERIADOS!$A$3:$A$119))),"-")),"-")</f>
        <v>-</v>
      </c>
      <c r="P332" s="21"/>
      <c r="Q332" s="7" t="s">
        <v>37</v>
      </c>
      <c r="R332" s="13"/>
      <c r="S332" s="30"/>
      <c r="T332" s="43"/>
      <c r="W332" t="str">
        <f t="shared" si="139"/>
        <v>CDMPoço LL-12 (P-05)Poço PVT</v>
      </c>
      <c r="X3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3" spans="1:24" ht="12.5" x14ac:dyDescent="0.25">
      <c r="A333" s="10"/>
      <c r="B333" s="8" t="s">
        <v>24</v>
      </c>
      <c r="C333" s="5" t="s">
        <v>100</v>
      </c>
      <c r="D333" s="9" t="s">
        <v>26</v>
      </c>
      <c r="E333" s="36"/>
      <c r="F333" s="29" cm="1">
        <f t="array" ref="F333">IF(V333 &lt;&gt; "", V333, IFERROR(_xlfn.SINGLE(INDEX($G$1:G332,SUMPRODUCT(MAX(($W$1:W332=W333)*(ROW($W$1:W332))))))+IF(D333="Fiscal",30,90),""))</f>
        <v>45869</v>
      </c>
      <c r="G333" s="13">
        <v>45859</v>
      </c>
      <c r="H333" s="15">
        <f t="shared" ref="H333:H338" si="155">IF(G333="","Erro", G333+10)</f>
        <v>45869</v>
      </c>
      <c r="I333" s="15">
        <v>45868</v>
      </c>
      <c r="J333" s="32" t="s">
        <v>119</v>
      </c>
      <c r="K333" s="15">
        <f t="shared" ref="K333:K338" si="156">IF(G333="","Erro",G333+20)</f>
        <v>45879</v>
      </c>
      <c r="L333" s="15">
        <v>45877</v>
      </c>
      <c r="M333" s="15">
        <f t="shared" ref="M333:M338" si="157">IF(G333="","Erro",G333+IF(D333="Operacional",45,25))</f>
        <v>45884</v>
      </c>
      <c r="N333" s="13">
        <v>45884</v>
      </c>
      <c r="O333" s="2" t="str">
        <f>IFERROR(IF(tblColetas[[#This Row],[Status Coleta]]="Reprovado","Reprovado",IF(ISERROR(SEARCH("Poço",D333)),IF(N333="","Erro",IF(Q333="Reprovado","",WORKDAY(N333,IF(D333="Operacional",10,3),FERIADOS!$A$3:$A$119))),"-")),"-")</f>
        <v>-</v>
      </c>
      <c r="P333" s="13"/>
      <c r="Q333" s="7" t="s">
        <v>37</v>
      </c>
      <c r="R333" s="13"/>
      <c r="S333" s="30"/>
      <c r="T333" s="43"/>
      <c r="W333" t="str">
        <f t="shared" si="139"/>
        <v>CDAPoço JUB-63Poço CG</v>
      </c>
      <c r="X3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4" spans="1:24" ht="12.5" x14ac:dyDescent="0.25">
      <c r="A334" s="10"/>
      <c r="B334" s="8" t="s">
        <v>24</v>
      </c>
      <c r="C334" s="5" t="s">
        <v>100</v>
      </c>
      <c r="D334" s="9" t="s">
        <v>29</v>
      </c>
      <c r="E334" s="36"/>
      <c r="F334" s="29" cm="1">
        <f t="array" ref="F334">IF(V334 &lt;&gt; "", V334, IFERROR(_xlfn.SINGLE(INDEX($G$1:G333,SUMPRODUCT(MAX(($W$1:W333=W334)*(ROW($W$1:W333))))))+IF(D334="Fiscal",30,90),""))</f>
        <v>45869</v>
      </c>
      <c r="G334" s="13">
        <v>45859</v>
      </c>
      <c r="H334" s="15">
        <f t="shared" si="155"/>
        <v>45869</v>
      </c>
      <c r="I334" s="15">
        <v>45868</v>
      </c>
      <c r="J334" s="32" t="s">
        <v>119</v>
      </c>
      <c r="K334" s="15">
        <f t="shared" si="156"/>
        <v>45879</v>
      </c>
      <c r="L334" s="15">
        <v>45877</v>
      </c>
      <c r="M334" s="15">
        <f t="shared" si="157"/>
        <v>45884</v>
      </c>
      <c r="N334" s="13">
        <v>45884</v>
      </c>
      <c r="O334" s="2" t="str">
        <f>IFERROR(IF(tblColetas[[#This Row],[Status Coleta]]="Reprovado","Reprovado",IF(ISERROR(SEARCH("Poço",D334)),IF(N334="","Erro",IF(Q334="Reprovado","",WORKDAY(N334,IF(D334="Operacional",10,3),FERIADOS!$A$3:$A$119))),"-")),"-")</f>
        <v>-</v>
      </c>
      <c r="P334" s="13"/>
      <c r="Q334" s="7" t="s">
        <v>37</v>
      </c>
      <c r="R334" s="13"/>
      <c r="S334" s="30"/>
      <c r="T334" s="43"/>
      <c r="W334" t="str">
        <f t="shared" si="139"/>
        <v>CDAPoço JUB-63Poço PVT</v>
      </c>
      <c r="X3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5" spans="1:24" ht="12.5" x14ac:dyDescent="0.25">
      <c r="A335" s="10"/>
      <c r="B335" s="19" t="s">
        <v>34</v>
      </c>
      <c r="C335" s="5" t="s">
        <v>67</v>
      </c>
      <c r="D335" s="20" t="s">
        <v>26</v>
      </c>
      <c r="E335" s="35"/>
      <c r="F335" s="29" cm="1">
        <f t="array" ref="F335">IF(V335 &lt;&gt; "", V335, IFERROR(_xlfn.SINGLE(INDEX($G$1:G334,SUMPRODUCT(MAX(($W$1:W334=W335)*(ROW($W$1:W334))))))+IF(D335="Fiscal",30,90),""))</f>
        <v>45869</v>
      </c>
      <c r="G335" s="21">
        <v>45851</v>
      </c>
      <c r="H335" s="15">
        <f t="shared" si="155"/>
        <v>45861</v>
      </c>
      <c r="I335" s="15">
        <v>45860</v>
      </c>
      <c r="J335" s="32" t="s">
        <v>179</v>
      </c>
      <c r="K335" s="15">
        <f t="shared" si="156"/>
        <v>45871</v>
      </c>
      <c r="L335" s="15">
        <v>45868</v>
      </c>
      <c r="M335" s="15">
        <f t="shared" si="157"/>
        <v>45876</v>
      </c>
      <c r="N335" s="13">
        <v>45876</v>
      </c>
      <c r="O335" s="2" t="str">
        <f>IFERROR(IF(tblColetas[[#This Row],[Status Coleta]]="Reprovado","Reprovado",IF(ISERROR(SEARCH("Poço",D335)),IF(N335="","Erro",IF(Q335="Reprovado","",WORKDAY(N335,IF(D335="Operacional",10,3),FERIADOS!$A$3:$A$119))),"-")),"-")</f>
        <v>Reprovado</v>
      </c>
      <c r="P335" s="21"/>
      <c r="Q335" s="7" t="s">
        <v>81</v>
      </c>
      <c r="R335" s="13"/>
      <c r="S335" s="33" t="s">
        <v>180</v>
      </c>
      <c r="T335" s="43"/>
      <c r="W335" t="str">
        <f t="shared" si="139"/>
        <v>CDSPoço LL-81 (P-09)Poço CG</v>
      </c>
      <c r="X3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6" spans="1:24" ht="12.5" x14ac:dyDescent="0.25">
      <c r="A336" s="10"/>
      <c r="B336" s="19" t="s">
        <v>34</v>
      </c>
      <c r="C336" s="5" t="s">
        <v>67</v>
      </c>
      <c r="D336" s="20" t="s">
        <v>29</v>
      </c>
      <c r="E336" s="35"/>
      <c r="F336" s="29" cm="1">
        <f t="array" ref="F336">IF(V336 &lt;&gt; "", V336, IFERROR(_xlfn.SINGLE(INDEX($G$1:G335,SUMPRODUCT(MAX(($W$1:W335=W336)*(ROW($W$1:W335))))))+IF(D336="Fiscal",30,90),""))</f>
        <v>45869</v>
      </c>
      <c r="G336" s="21">
        <v>45851</v>
      </c>
      <c r="H336" s="15">
        <f t="shared" si="155"/>
        <v>45861</v>
      </c>
      <c r="I336" s="15">
        <v>45860</v>
      </c>
      <c r="J336" s="32" t="s">
        <v>179</v>
      </c>
      <c r="K336" s="15">
        <f t="shared" si="156"/>
        <v>45871</v>
      </c>
      <c r="L336" s="15">
        <v>45868</v>
      </c>
      <c r="M336" s="15">
        <f t="shared" si="157"/>
        <v>45876</v>
      </c>
      <c r="N336" s="13">
        <v>45876</v>
      </c>
      <c r="O336" s="2" t="str">
        <f>IFERROR(IF(tblColetas[[#This Row],[Status Coleta]]="Reprovado","Reprovado",IF(ISERROR(SEARCH("Poço",D336)),IF(N336="","Erro",IF(Q336="Reprovado","",WORKDAY(N336,IF(D336="Operacional",10,3),FERIADOS!$A$3:$A$119))),"-")),"-")</f>
        <v>-</v>
      </c>
      <c r="P336" s="21"/>
      <c r="Q336" s="7" t="s">
        <v>37</v>
      </c>
      <c r="R336" s="13"/>
      <c r="S336" s="30"/>
      <c r="T336" s="43"/>
      <c r="W336" t="str">
        <f t="shared" si="139"/>
        <v>CDSPoço LL-81 (P-09)Poço PVT</v>
      </c>
      <c r="X3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7" spans="1:24" ht="12.5" x14ac:dyDescent="0.25">
      <c r="A337" s="10"/>
      <c r="B337" s="19" t="s">
        <v>24</v>
      </c>
      <c r="C337" s="5" t="s">
        <v>101</v>
      </c>
      <c r="D337" s="20" t="s">
        <v>26</v>
      </c>
      <c r="E337" s="35"/>
      <c r="F337" s="29" cm="1">
        <f t="array" ref="F337">IF(V337 &lt;&gt; "", V337, IFERROR(_xlfn.SINGLE(INDEX($G$1:G336,SUMPRODUCT(MAX(($W$1:W336=W337)*(ROW($W$1:W336))))))+IF(D337="Fiscal",30,90),""))</f>
        <v>45872</v>
      </c>
      <c r="G337" s="21">
        <v>45861</v>
      </c>
      <c r="H337" s="15">
        <f t="shared" si="155"/>
        <v>45871</v>
      </c>
      <c r="I337" s="15">
        <v>45868</v>
      </c>
      <c r="J337" s="32" t="s">
        <v>119</v>
      </c>
      <c r="K337" s="15">
        <f t="shared" si="156"/>
        <v>45881</v>
      </c>
      <c r="L337" s="15">
        <v>45877</v>
      </c>
      <c r="M337" s="15">
        <f t="shared" si="157"/>
        <v>45886</v>
      </c>
      <c r="N337" s="13">
        <v>45884</v>
      </c>
      <c r="O337" s="2" t="str">
        <f>IFERROR(IF(tblColetas[[#This Row],[Status Coleta]]="Reprovado","Reprovado",IF(ISERROR(SEARCH("Poço",D337)),IF(N337="","Erro",IF(Q337="Reprovado","",WORKDAY(N337,IF(D337="Operacional",10,3),FERIADOS!$A$3:$A$119))),"-")),"-")</f>
        <v>-</v>
      </c>
      <c r="P337" s="21"/>
      <c r="Q337" s="7" t="s">
        <v>37</v>
      </c>
      <c r="R337" s="13"/>
      <c r="S337" s="30"/>
      <c r="T337" s="43"/>
      <c r="W337" t="str">
        <f t="shared" si="139"/>
        <v>CDAPoço 7-BAZ-04Poço CG</v>
      </c>
      <c r="X3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8" spans="1:24" ht="12.5" x14ac:dyDescent="0.25">
      <c r="A338" s="10"/>
      <c r="B338" s="19" t="s">
        <v>24</v>
      </c>
      <c r="C338" s="5" t="s">
        <v>101</v>
      </c>
      <c r="D338" s="20" t="s">
        <v>29</v>
      </c>
      <c r="E338" s="35"/>
      <c r="F338" s="29" cm="1">
        <f t="array" ref="F338">IF(V338 &lt;&gt; "", V338, IFERROR(_xlfn.SINGLE(INDEX($G$1:G337,SUMPRODUCT(MAX(($W$1:W337=W338)*(ROW($W$1:W337))))))+IF(D338="Fiscal",30,90),""))</f>
        <v>45872</v>
      </c>
      <c r="G338" s="21">
        <v>45861</v>
      </c>
      <c r="H338" s="15">
        <f t="shared" si="155"/>
        <v>45871</v>
      </c>
      <c r="I338" s="15">
        <v>45868</v>
      </c>
      <c r="J338" s="32" t="s">
        <v>119</v>
      </c>
      <c r="K338" s="15">
        <f t="shared" si="156"/>
        <v>45881</v>
      </c>
      <c r="L338" s="15">
        <v>45877</v>
      </c>
      <c r="M338" s="15">
        <f t="shared" si="157"/>
        <v>45886</v>
      </c>
      <c r="N338" s="13">
        <v>45884</v>
      </c>
      <c r="O338" s="2" t="str">
        <f>IFERROR(IF(tblColetas[[#This Row],[Status Coleta]]="Reprovado","Reprovado",IF(ISERROR(SEARCH("Poço",D338)),IF(N338="","Erro",IF(Q338="Reprovado","",WORKDAY(N338,IF(D338="Operacional",10,3),FERIADOS!$A$3:$A$119))),"-")),"-")</f>
        <v>-</v>
      </c>
      <c r="P338" s="21"/>
      <c r="Q338" s="7" t="s">
        <v>37</v>
      </c>
      <c r="R338" s="13"/>
      <c r="S338" s="30"/>
      <c r="T338" s="43"/>
      <c r="W338" t="str">
        <f t="shared" si="139"/>
        <v>CDAPoço 7-BAZ-04Poço PVT</v>
      </c>
      <c r="X3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39" spans="1:24" ht="12.5" x14ac:dyDescent="0.25">
      <c r="A339" s="10"/>
      <c r="B339" s="19" t="s">
        <v>52</v>
      </c>
      <c r="C339" s="5" t="s">
        <v>112</v>
      </c>
      <c r="D339" s="20" t="s">
        <v>72</v>
      </c>
      <c r="E339" s="35"/>
      <c r="F339" s="29" cm="1">
        <f t="array" ref="F339">IF(V339 &lt;&gt; "", V339, IFERROR(_xlfn.SINGLE(INDEX($G$1:G338,SUMPRODUCT(MAX(($W$1:W338=W339)*(ROW($W$1:W338))))))+IF(D339="Fiscal",30,90),""))</f>
        <v>45806</v>
      </c>
      <c r="G339" s="21">
        <v>45805</v>
      </c>
      <c r="H339" s="15">
        <f t="shared" ref="H339:H348" si="158">IF(G339="","Erro", G339+10)</f>
        <v>45815</v>
      </c>
      <c r="I339" s="15"/>
      <c r="J339" s="32"/>
      <c r="K339" s="15">
        <f t="shared" ref="K339:K348" si="159">IF(G339="","Erro",G339+20)</f>
        <v>45825</v>
      </c>
      <c r="L339" s="15"/>
      <c r="M339" s="15">
        <f t="shared" ref="M339:M348" si="160">IF(G339="","Erro",G339+IF(D339="Operacional",45,25))</f>
        <v>45830</v>
      </c>
      <c r="N339" s="13">
        <v>45828</v>
      </c>
      <c r="O339" s="2">
        <f>IFERROR(IF(tblColetas[[#This Row],[Status Coleta]]="Reprovado","Reprovado",IF(ISERROR(SEARCH("Poço",D339)),IF(N339="","Erro",IF(Q339="Reprovado","",WORKDAY(N339,IF(D339="Operacional",10,3),FERIADOS!$A$3:$A$119))),"-")),"-")</f>
        <v>45833</v>
      </c>
      <c r="P339" s="21">
        <v>45833</v>
      </c>
      <c r="Q339" s="7" t="s">
        <v>37</v>
      </c>
      <c r="R339" s="13"/>
      <c r="S339" s="30"/>
      <c r="T339" s="43"/>
      <c r="W339" t="str">
        <f t="shared" si="139"/>
        <v>SEP776-AP-0006 (HP Flare)Fiscal</v>
      </c>
      <c r="X3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0" spans="1:24" ht="12.5" x14ac:dyDescent="0.25">
      <c r="A340" s="10"/>
      <c r="B340" s="19" t="s">
        <v>52</v>
      </c>
      <c r="C340" s="5" t="s">
        <v>113</v>
      </c>
      <c r="D340" s="20" t="s">
        <v>72</v>
      </c>
      <c r="E340" s="35"/>
      <c r="F340" s="29" cm="1">
        <f t="array" ref="F340">IF(V340 &lt;&gt; "", V340, IFERROR(_xlfn.SINGLE(INDEX($G$1:G339,SUMPRODUCT(MAX(($W$1:W339=W340)*(ROW($W$1:W339))))))+IF(D340="Fiscal",30,90),""))</f>
        <v>45806</v>
      </c>
      <c r="G340" s="21">
        <v>45805</v>
      </c>
      <c r="H340" s="15">
        <f t="shared" si="158"/>
        <v>45815</v>
      </c>
      <c r="I340" s="15"/>
      <c r="J340" s="32"/>
      <c r="K340" s="15">
        <f t="shared" si="159"/>
        <v>45825</v>
      </c>
      <c r="L340" s="15"/>
      <c r="M340" s="15">
        <f t="shared" si="160"/>
        <v>45830</v>
      </c>
      <c r="N340" s="13">
        <v>45828</v>
      </c>
      <c r="O340" s="2" t="str">
        <f>IFERROR(IF(tblColetas[[#This Row],[Status Coleta]]="Reprovado","Reprovado",IF(ISERROR(SEARCH("Poço",D340)),IF(N340="","Erro",IF(Q340="Reprovado","",WORKDAY(N340,IF(D340="Operacional",10,3),FERIADOS!$A$3:$A$119))),"-")),"-")</f>
        <v>Reprovado</v>
      </c>
      <c r="P340" s="21"/>
      <c r="Q340" s="7" t="s">
        <v>81</v>
      </c>
      <c r="R340" s="13"/>
      <c r="S340" s="33" t="s">
        <v>135</v>
      </c>
      <c r="T340" s="43"/>
      <c r="W340" t="str">
        <f t="shared" si="139"/>
        <v>SEP776-AP-0030 (LP Flare)Fiscal</v>
      </c>
      <c r="X3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1" spans="1:24" ht="12.5" x14ac:dyDescent="0.25">
      <c r="A341" s="10"/>
      <c r="B341" s="19" t="s">
        <v>52</v>
      </c>
      <c r="C341" s="5" t="s">
        <v>114</v>
      </c>
      <c r="D341" s="20" t="s">
        <v>72</v>
      </c>
      <c r="E341" s="35"/>
      <c r="F341" s="29" cm="1">
        <f t="array" ref="F341">IF(V341 &lt;&gt; "", V341, IFERROR(_xlfn.SINGLE(INDEX($G$1:G340,SUMPRODUCT(MAX(($W$1:W340=W341)*(ROW($W$1:W340))))))+IF(D341="Fiscal",30,90),""))</f>
        <v>45806</v>
      </c>
      <c r="G341" s="21">
        <v>45805</v>
      </c>
      <c r="H341" s="15">
        <f t="shared" si="158"/>
        <v>45815</v>
      </c>
      <c r="I341" s="15"/>
      <c r="J341" s="32"/>
      <c r="K341" s="15">
        <f t="shared" si="159"/>
        <v>45825</v>
      </c>
      <c r="L341" s="15"/>
      <c r="M341" s="15">
        <f t="shared" si="160"/>
        <v>45830</v>
      </c>
      <c r="N341" s="13">
        <v>45828</v>
      </c>
      <c r="O341" s="2">
        <f>IFERROR(IF(tblColetas[[#This Row],[Status Coleta]]="Reprovado","Reprovado",IF(ISERROR(SEARCH("Poço",D341)),IF(N341="","Erro",IF(Q341="Reprovado","",WORKDAY(N341,IF(D341="Operacional",10,3),FERIADOS!$A$3:$A$119))),"-")),"-")</f>
        <v>45833</v>
      </c>
      <c r="P341" s="21">
        <v>45833</v>
      </c>
      <c r="Q341" s="7" t="s">
        <v>37</v>
      </c>
      <c r="R341" s="13"/>
      <c r="S341" s="30"/>
      <c r="T341" s="43"/>
      <c r="W341" t="str">
        <f t="shared" si="139"/>
        <v>SEP777-AP-1104 (Fuel Gas)Fiscal</v>
      </c>
      <c r="X3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2" spans="1:24" ht="12.5" x14ac:dyDescent="0.25">
      <c r="A342" s="10"/>
      <c r="B342" s="19" t="s">
        <v>52</v>
      </c>
      <c r="C342" s="5" t="s">
        <v>115</v>
      </c>
      <c r="D342" s="20" t="s">
        <v>72</v>
      </c>
      <c r="E342" s="35"/>
      <c r="F342" s="29" cm="1">
        <f t="array" ref="F342">IF(V342 &lt;&gt; "", V342, IFERROR(_xlfn.SINGLE(INDEX($G$1:G341,SUMPRODUCT(MAX(($W$1:W341=W342)*(ROW($W$1:W341))))))+IF(D342="Fiscal",30,90),""))</f>
        <v>45806</v>
      </c>
      <c r="G342" s="21">
        <v>45805</v>
      </c>
      <c r="H342" s="15">
        <f t="shared" si="158"/>
        <v>45815</v>
      </c>
      <c r="I342" s="15"/>
      <c r="J342" s="32"/>
      <c r="K342" s="15">
        <f t="shared" si="159"/>
        <v>45825</v>
      </c>
      <c r="L342" s="15"/>
      <c r="M342" s="15">
        <f t="shared" si="160"/>
        <v>45830</v>
      </c>
      <c r="N342" s="13">
        <v>45828</v>
      </c>
      <c r="O342" s="2">
        <f>IFERROR(IF(tblColetas[[#This Row],[Status Coleta]]="Reprovado","Reprovado",IF(ISERROR(SEARCH("Poço",D342)),IF(N342="","Erro",IF(Q342="Reprovado","",WORKDAY(N342,IF(D342="Operacional",10,3),FERIADOS!$A$3:$A$119))),"-")),"-")</f>
        <v>45833</v>
      </c>
      <c r="P342" s="21">
        <v>45833</v>
      </c>
      <c r="Q342" s="7" t="s">
        <v>37</v>
      </c>
      <c r="R342" s="13"/>
      <c r="S342" s="30"/>
      <c r="T342" s="43"/>
      <c r="W342" t="str">
        <f t="shared" si="139"/>
        <v>SEP771-AP-0221 (Flare Assist)Fiscal</v>
      </c>
      <c r="X3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3" spans="1:24" ht="12.5" x14ac:dyDescent="0.25">
      <c r="A343" s="10"/>
      <c r="B343" s="19" t="s">
        <v>46</v>
      </c>
      <c r="C343" s="5" t="s">
        <v>93</v>
      </c>
      <c r="D343" s="20" t="s">
        <v>26</v>
      </c>
      <c r="E343" s="35"/>
      <c r="F343" s="29" cm="1">
        <f t="array" ref="F343">IF(V343 &lt;&gt; "", V343, IFERROR(_xlfn.SINGLE(INDEX($G$1:G342,SUMPRODUCT(MAX(($W$1:W342=W343)*(ROW($W$1:W342))))))+IF(D343="Fiscal",30,90),""))</f>
        <v>45873</v>
      </c>
      <c r="G343" s="21">
        <v>45860</v>
      </c>
      <c r="H343" s="15">
        <f t="shared" si="158"/>
        <v>45870</v>
      </c>
      <c r="I343" s="15">
        <v>45870</v>
      </c>
      <c r="J343" s="32" t="s">
        <v>181</v>
      </c>
      <c r="K343" s="15">
        <f t="shared" si="159"/>
        <v>45880</v>
      </c>
      <c r="L343" s="15">
        <v>45875</v>
      </c>
      <c r="M343" s="15">
        <f t="shared" si="160"/>
        <v>45885</v>
      </c>
      <c r="N343" s="13">
        <v>45884</v>
      </c>
      <c r="O343" s="2" t="str">
        <f>IFERROR(IF(tblColetas[[#This Row],[Status Coleta]]="Reprovado","Reprovado",IF(ISERROR(SEARCH("Poço",D343)),IF(N343="","Erro",IF(Q343="Reprovado","",WORKDAY(N343,IF(D343="Operacional",10,3),FERIADOS!$A$3:$A$119))),"-")),"-")</f>
        <v>-</v>
      </c>
      <c r="P343" s="21"/>
      <c r="Q343" s="7" t="s">
        <v>37</v>
      </c>
      <c r="R343" s="13"/>
      <c r="S343" s="30"/>
      <c r="T343" s="43"/>
      <c r="W343" t="str">
        <f t="shared" si="139"/>
        <v>CDMPoço LL-61 (P-16)Poço CG</v>
      </c>
      <c r="X3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4" spans="1:24" ht="12.5" x14ac:dyDescent="0.25">
      <c r="A344" s="10"/>
      <c r="B344" s="19" t="s">
        <v>46</v>
      </c>
      <c r="C344" s="5" t="s">
        <v>93</v>
      </c>
      <c r="D344" s="20" t="s">
        <v>29</v>
      </c>
      <c r="E344" s="35"/>
      <c r="F344" s="29" cm="1">
        <f t="array" ref="F344">IF(V344 &lt;&gt; "", V344, IFERROR(_xlfn.SINGLE(INDEX($G$1:G343,SUMPRODUCT(MAX(($W$1:W343=W344)*(ROW($W$1:W343))))))+IF(D344="Fiscal",30,90),""))</f>
        <v>45873</v>
      </c>
      <c r="G344" s="21">
        <v>45860</v>
      </c>
      <c r="H344" s="15">
        <f t="shared" si="158"/>
        <v>45870</v>
      </c>
      <c r="I344" s="15">
        <v>45870</v>
      </c>
      <c r="J344" s="32" t="s">
        <v>181</v>
      </c>
      <c r="K344" s="15">
        <f t="shared" si="159"/>
        <v>45880</v>
      </c>
      <c r="L344" s="15">
        <v>45875</v>
      </c>
      <c r="M344" s="15">
        <f t="shared" si="160"/>
        <v>45885</v>
      </c>
      <c r="N344" s="13">
        <v>45884</v>
      </c>
      <c r="O344" s="2" t="str">
        <f>IFERROR(IF(tblColetas[[#This Row],[Status Coleta]]="Reprovado","Reprovado",IF(ISERROR(SEARCH("Poço",D344)),IF(N344="","Erro",IF(Q344="Reprovado","",WORKDAY(N344,IF(D344="Operacional",10,3),FERIADOS!$A$3:$A$119))),"-")),"-")</f>
        <v>-</v>
      </c>
      <c r="P344" s="21"/>
      <c r="Q344" s="7" t="s">
        <v>37</v>
      </c>
      <c r="R344" s="13"/>
      <c r="S344" s="30"/>
      <c r="T344" s="43"/>
      <c r="W344" t="str">
        <f t="shared" si="139"/>
        <v>CDMPoço LL-61 (P-16)Poço PVT</v>
      </c>
      <c r="X3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5" spans="1:24" ht="12.5" x14ac:dyDescent="0.25">
      <c r="A345" s="10"/>
      <c r="B345" s="19" t="s">
        <v>46</v>
      </c>
      <c r="C345" s="5" t="s">
        <v>74</v>
      </c>
      <c r="D345" s="20" t="s">
        <v>72</v>
      </c>
      <c r="E345" s="35"/>
      <c r="F345" s="29" cm="1">
        <f t="array" ref="F345">IF(V345 &lt;&gt; "", V345, IFERROR(_xlfn.SINGLE(INDEX($G$1:G344,SUMPRODUCT(MAX(($W$1:W344=W345)*(ROW($W$1:W344))))))+IF(D345="Fiscal",30,90),""))</f>
        <v>45811</v>
      </c>
      <c r="G345" s="21">
        <v>45809</v>
      </c>
      <c r="H345" s="15">
        <f t="shared" si="158"/>
        <v>45819</v>
      </c>
      <c r="I345" s="15"/>
      <c r="J345" s="32"/>
      <c r="K345" s="15">
        <f t="shared" si="159"/>
        <v>45829</v>
      </c>
      <c r="L345" s="15"/>
      <c r="M345" s="15">
        <f t="shared" si="160"/>
        <v>45834</v>
      </c>
      <c r="N345" s="13">
        <v>45834</v>
      </c>
      <c r="O345" s="2">
        <f>IFERROR(IF(tblColetas[[#This Row],[Status Coleta]]="Reprovado","Reprovado",IF(ISERROR(SEARCH("Poço",D345)),IF(N345="","Erro",IF(Q345="Reprovado","",WORKDAY(N345,IF(D345="Operacional",10,3),FERIADOS!$A$3:$A$119))),"-")),"-")</f>
        <v>45839</v>
      </c>
      <c r="P345" s="21">
        <v>45838</v>
      </c>
      <c r="Q345" s="7" t="s">
        <v>37</v>
      </c>
      <c r="R345" s="13"/>
      <c r="S345" s="30"/>
      <c r="T345" s="43"/>
      <c r="W345" t="str">
        <f t="shared" si="139"/>
        <v>CDMT76-FT-0014 (HP Flare)Fiscal</v>
      </c>
      <c r="X3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6" spans="1:24" ht="12.5" x14ac:dyDescent="0.25">
      <c r="A346" s="10"/>
      <c r="B346" s="19" t="s">
        <v>46</v>
      </c>
      <c r="C346" s="5" t="s">
        <v>75</v>
      </c>
      <c r="D346" s="20" t="s">
        <v>72</v>
      </c>
      <c r="E346" s="35"/>
      <c r="F346" s="29" cm="1">
        <f t="array" ref="F346">IF(V346 &lt;&gt; "", V346, IFERROR(_xlfn.SINGLE(INDEX($G$1:G345,SUMPRODUCT(MAX(($W$1:W345=W346)*(ROW($W$1:W345))))))+IF(D346="Fiscal",30,90),""))</f>
        <v>45811</v>
      </c>
      <c r="G346" s="21">
        <v>45809</v>
      </c>
      <c r="H346" s="15">
        <f t="shared" si="158"/>
        <v>45819</v>
      </c>
      <c r="I346" s="15"/>
      <c r="J346" s="32"/>
      <c r="K346" s="15">
        <f t="shared" si="159"/>
        <v>45829</v>
      </c>
      <c r="L346" s="15"/>
      <c r="M346" s="15">
        <f t="shared" si="160"/>
        <v>45834</v>
      </c>
      <c r="N346" s="13">
        <v>45834</v>
      </c>
      <c r="O346" s="2">
        <f>IFERROR(IF(tblColetas[[#This Row],[Status Coleta]]="Reprovado","Reprovado",IF(ISERROR(SEARCH("Poço",D346)),IF(N346="","Erro",IF(Q346="Reprovado","",WORKDAY(N346,IF(D346="Operacional",10,3),FERIADOS!$A$3:$A$119))),"-")),"-")</f>
        <v>45839</v>
      </c>
      <c r="P346" s="21">
        <v>45838</v>
      </c>
      <c r="Q346" s="7" t="s">
        <v>37</v>
      </c>
      <c r="R346" s="13"/>
      <c r="S346" s="30"/>
      <c r="T346" s="43"/>
      <c r="W346" t="str">
        <f t="shared" si="139"/>
        <v>CDMT76-FT-0034 (LP Flare)Fiscal</v>
      </c>
      <c r="X3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7" spans="1:24" ht="12.5" x14ac:dyDescent="0.25">
      <c r="A347" s="10"/>
      <c r="B347" s="19" t="s">
        <v>46</v>
      </c>
      <c r="C347" s="5" t="s">
        <v>71</v>
      </c>
      <c r="D347" s="20" t="s">
        <v>72</v>
      </c>
      <c r="E347" s="35"/>
      <c r="F347" s="29" cm="1">
        <f t="array" ref="F347">IF(V347 &lt;&gt; "", V347, IFERROR(_xlfn.SINGLE(INDEX($G$1:G346,SUMPRODUCT(MAX(($W$1:W346=W347)*(ROW($W$1:W346))))))+IF(D347="Fiscal",30,90),""))</f>
        <v>45811</v>
      </c>
      <c r="G347" s="21">
        <v>45809</v>
      </c>
      <c r="H347" s="15">
        <f t="shared" si="158"/>
        <v>45819</v>
      </c>
      <c r="I347" s="15"/>
      <c r="J347" s="32"/>
      <c r="K347" s="15">
        <f t="shared" si="159"/>
        <v>45829</v>
      </c>
      <c r="L347" s="15"/>
      <c r="M347" s="15">
        <f t="shared" si="160"/>
        <v>45834</v>
      </c>
      <c r="N347" s="13">
        <v>45834</v>
      </c>
      <c r="O347" s="2">
        <f>IFERROR(IF(tblColetas[[#This Row],[Status Coleta]]="Reprovado","Reprovado",IF(ISERROR(SEARCH("Poço",D347)),IF(N347="","Erro",IF(Q347="Reprovado","",WORKDAY(N347,IF(D347="Operacional",10,3),FERIADOS!$A$3:$A$119))),"-")),"-")</f>
        <v>45839</v>
      </c>
      <c r="P347" s="21">
        <v>45838</v>
      </c>
      <c r="Q347" s="7" t="s">
        <v>37</v>
      </c>
      <c r="R347" s="13"/>
      <c r="S347" s="30"/>
      <c r="T347" s="43"/>
      <c r="W347" t="str">
        <f t="shared" si="139"/>
        <v>CDMT77-FT-0103 (Fuel Gas)Fiscal</v>
      </c>
      <c r="X3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8" spans="1:24" ht="12.5" x14ac:dyDescent="0.25">
      <c r="A348" s="10"/>
      <c r="B348" s="19" t="s">
        <v>46</v>
      </c>
      <c r="C348" s="5" t="s">
        <v>125</v>
      </c>
      <c r="D348" s="20" t="s">
        <v>72</v>
      </c>
      <c r="E348" s="35"/>
      <c r="F348" s="29" cm="1">
        <f t="array" ref="F348">IF(V348 &lt;&gt; "", V348, IFERROR(_xlfn.SINGLE(INDEX($G$1:G347,SUMPRODUCT(MAX(($W$1:W347=W348)*(ROW($W$1:W347))))))+IF(D348="Fiscal",30,90),""))</f>
        <v>45811</v>
      </c>
      <c r="G348" s="21">
        <v>45809</v>
      </c>
      <c r="H348" s="15">
        <f t="shared" si="158"/>
        <v>45819</v>
      </c>
      <c r="I348" s="15"/>
      <c r="J348" s="32"/>
      <c r="K348" s="15">
        <f t="shared" si="159"/>
        <v>45829</v>
      </c>
      <c r="L348" s="15"/>
      <c r="M348" s="15">
        <f t="shared" si="160"/>
        <v>45834</v>
      </c>
      <c r="N348" s="13">
        <v>45834</v>
      </c>
      <c r="O348" s="2">
        <f>IFERROR(IF(tblColetas[[#This Row],[Status Coleta]]="Reprovado","Reprovado",IF(ISERROR(SEARCH("Poço",D348)),IF(N348="","Erro",IF(Q348="Reprovado","",WORKDAY(N348,IF(D348="Operacional",10,3),FERIADOS!$A$3:$A$119))),"-")),"-")</f>
        <v>45839</v>
      </c>
      <c r="P348" s="21">
        <v>45838</v>
      </c>
      <c r="Q348" s="7" t="s">
        <v>37</v>
      </c>
      <c r="R348" s="13"/>
      <c r="S348" s="30"/>
      <c r="T348" s="43"/>
      <c r="W348" t="str">
        <f t="shared" si="139"/>
        <v>CDMT74-FT-6901 (Export Gas)Fiscal</v>
      </c>
      <c r="X3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49" spans="1:24" ht="12.5" x14ac:dyDescent="0.25">
      <c r="A349" s="10"/>
      <c r="B349" s="19" t="s">
        <v>38</v>
      </c>
      <c r="C349" s="5" t="s">
        <v>74</v>
      </c>
      <c r="D349" s="20" t="s">
        <v>72</v>
      </c>
      <c r="E349" s="35"/>
      <c r="F349" s="29" cm="1">
        <f t="array" ref="F349">IF(V349 &lt;&gt; "", V349, IFERROR(_xlfn.SINGLE(INDEX($G$1:G348,SUMPRODUCT(MAX(($W$1:W348=W349)*(ROW($W$1:W348))))))+IF(D349="Fiscal",30,90),""))</f>
        <v>45813</v>
      </c>
      <c r="G349" s="21">
        <v>45812</v>
      </c>
      <c r="H349" s="15">
        <f t="shared" ref="H349:H354" si="161">IF(G349="","Erro", G349+10)</f>
        <v>45822</v>
      </c>
      <c r="I349" s="15"/>
      <c r="J349" s="32"/>
      <c r="K349" s="15">
        <f t="shared" ref="K349:K354" si="162">IF(G349="","Erro",G349+20)</f>
        <v>45832</v>
      </c>
      <c r="L349" s="15"/>
      <c r="M349" s="15">
        <f t="shared" ref="M349:M354" si="163">IF(G349="","Erro",G349+IF(D349="Operacional",45,25))</f>
        <v>45837</v>
      </c>
      <c r="N349" s="13">
        <v>45835</v>
      </c>
      <c r="O349" s="2">
        <f>IFERROR(IF(tblColetas[[#This Row],[Status Coleta]]="Reprovado","Reprovado",IF(ISERROR(SEARCH("Poço",D349)),IF(N349="","Erro",IF(Q349="Reprovado","",WORKDAY(N349,IF(D349="Operacional",10,3),FERIADOS!$A$3:$A$119))),"-")),"-")</f>
        <v>45840</v>
      </c>
      <c r="P349" s="21">
        <v>45840</v>
      </c>
      <c r="Q349" s="7" t="s">
        <v>37</v>
      </c>
      <c r="R349" s="13"/>
      <c r="S349" s="30"/>
      <c r="T349" s="43"/>
      <c r="W349" t="str">
        <f t="shared" si="139"/>
        <v>CDPT76-FT-0014 (HP Flare)Fiscal</v>
      </c>
      <c r="X3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0" spans="1:24" ht="12.5" x14ac:dyDescent="0.25">
      <c r="A350" s="10"/>
      <c r="B350" s="19" t="s">
        <v>38</v>
      </c>
      <c r="C350" s="5" t="s">
        <v>75</v>
      </c>
      <c r="D350" s="20" t="s">
        <v>72</v>
      </c>
      <c r="E350" s="35"/>
      <c r="F350" s="29" cm="1">
        <f t="array" ref="F350">IF(V350 &lt;&gt; "", V350, IFERROR(_xlfn.SINGLE(INDEX($G$1:G349,SUMPRODUCT(MAX(($W$1:W349=W350)*(ROW($W$1:W349))))))+IF(D350="Fiscal",30,90),""))</f>
        <v>45813</v>
      </c>
      <c r="G350" s="21">
        <v>45812</v>
      </c>
      <c r="H350" s="15">
        <f t="shared" si="161"/>
        <v>45822</v>
      </c>
      <c r="I350" s="15"/>
      <c r="J350" s="32"/>
      <c r="K350" s="15">
        <f t="shared" si="162"/>
        <v>45832</v>
      </c>
      <c r="L350" s="15"/>
      <c r="M350" s="15">
        <f t="shared" si="163"/>
        <v>45837</v>
      </c>
      <c r="N350" s="13">
        <v>45835</v>
      </c>
      <c r="O350" s="2">
        <f>IFERROR(IF(tblColetas[[#This Row],[Status Coleta]]="Reprovado","Reprovado",IF(ISERROR(SEARCH("Poço",D350)),IF(N350="","Erro",IF(Q350="Reprovado","",WORKDAY(N350,IF(D350="Operacional",10,3),FERIADOS!$A$3:$A$119))),"-")),"-")</f>
        <v>45840</v>
      </c>
      <c r="P350" s="21">
        <v>45840</v>
      </c>
      <c r="Q350" s="7" t="s">
        <v>37</v>
      </c>
      <c r="R350" s="13"/>
      <c r="S350" s="30"/>
      <c r="T350" s="43"/>
      <c r="W350" t="str">
        <f t="shared" si="139"/>
        <v>CDPT76-FT-0034 (LP Flare)Fiscal</v>
      </c>
      <c r="X3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1" spans="1:24" ht="12.5" x14ac:dyDescent="0.25">
      <c r="A351" s="10"/>
      <c r="B351" s="19" t="s">
        <v>38</v>
      </c>
      <c r="C351" s="5" t="s">
        <v>71</v>
      </c>
      <c r="D351" s="20" t="s">
        <v>72</v>
      </c>
      <c r="E351" s="35"/>
      <c r="F351" s="29" cm="1">
        <f t="array" ref="F351">IF(V351 &lt;&gt; "", V351, IFERROR(_xlfn.SINGLE(INDEX($G$1:G350,SUMPRODUCT(MAX(($W$1:W350=W351)*(ROW($W$1:W350))))))+IF(D351="Fiscal",30,90),""))</f>
        <v>45813</v>
      </c>
      <c r="G351" s="21">
        <v>45812</v>
      </c>
      <c r="H351" s="15">
        <f t="shared" si="161"/>
        <v>45822</v>
      </c>
      <c r="I351" s="15"/>
      <c r="J351" s="32"/>
      <c r="K351" s="15">
        <f t="shared" si="162"/>
        <v>45832</v>
      </c>
      <c r="L351" s="15"/>
      <c r="M351" s="15">
        <f t="shared" si="163"/>
        <v>45837</v>
      </c>
      <c r="N351" s="13">
        <v>45835</v>
      </c>
      <c r="O351" s="2">
        <f>IFERROR(IF(tblColetas[[#This Row],[Status Coleta]]="Reprovado","Reprovado",IF(ISERROR(SEARCH("Poço",D351)),IF(N351="","Erro",IF(Q351="Reprovado","",WORKDAY(N351,IF(D351="Operacional",10,3),FERIADOS!$A$3:$A$119))),"-")),"-")</f>
        <v>45840</v>
      </c>
      <c r="P351" s="21">
        <v>45840</v>
      </c>
      <c r="Q351" s="7" t="s">
        <v>37</v>
      </c>
      <c r="R351" s="13"/>
      <c r="S351" s="30"/>
      <c r="T351" s="43"/>
      <c r="W351" t="str">
        <f t="shared" si="139"/>
        <v>CDPT77-FT-0103 (Fuel Gas)Fiscal</v>
      </c>
      <c r="X3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2" spans="1:24" ht="12.5" x14ac:dyDescent="0.25">
      <c r="A352" s="10"/>
      <c r="B352" s="19" t="s">
        <v>38</v>
      </c>
      <c r="C352" s="5" t="s">
        <v>98</v>
      </c>
      <c r="D352" s="20" t="s">
        <v>72</v>
      </c>
      <c r="E352" s="35"/>
      <c r="F352" s="29" cm="1">
        <f t="array" ref="F352">IF(V352 &lt;&gt; "", V352, IFERROR(_xlfn.SINGLE(INDEX($G$1:G351,SUMPRODUCT(MAX(($W$1:W351=W352)*(ROW($W$1:W351))))))+IF(D352="Fiscal",30,90),""))</f>
        <v>45813</v>
      </c>
      <c r="G352" s="21">
        <v>45812</v>
      </c>
      <c r="H352" s="15">
        <f t="shared" si="161"/>
        <v>45822</v>
      </c>
      <c r="I352" s="15"/>
      <c r="J352" s="32"/>
      <c r="K352" s="15">
        <f t="shared" si="162"/>
        <v>45832</v>
      </c>
      <c r="L352" s="15"/>
      <c r="M352" s="15">
        <f t="shared" si="163"/>
        <v>45837</v>
      </c>
      <c r="N352" s="13">
        <v>45835</v>
      </c>
      <c r="O352" s="2" t="str">
        <f>IFERROR(IF(tblColetas[[#This Row],[Status Coleta]]="Reprovado","Reprovado",IF(ISERROR(SEARCH("Poço",D352)),IF(N352="","Erro",IF(Q352="Reprovado","",WORKDAY(N352,IF(D352="Operacional",10,3),FERIADOS!$A$3:$A$119))),"-")),"-")</f>
        <v>Reprovado</v>
      </c>
      <c r="P352" s="21"/>
      <c r="Q352" s="7" t="s">
        <v>81</v>
      </c>
      <c r="R352" s="13"/>
      <c r="S352" s="33" t="s">
        <v>182</v>
      </c>
      <c r="T352" s="43"/>
      <c r="W352" t="str">
        <f t="shared" ref="W352:W415" si="164">B352&amp;C352&amp;D352</f>
        <v>CDPT74-FT-6701 (Export Gas)Fiscal</v>
      </c>
      <c r="X3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3" spans="1:24" ht="12.5" x14ac:dyDescent="0.25">
      <c r="A353" s="10"/>
      <c r="B353" s="19" t="s">
        <v>31</v>
      </c>
      <c r="C353" s="5" t="s">
        <v>105</v>
      </c>
      <c r="D353" s="20" t="s">
        <v>26</v>
      </c>
      <c r="E353" s="35"/>
      <c r="F353" s="29" cm="1">
        <f t="array" ref="F353">IF(V353 &lt;&gt; "", V353, IFERROR(_xlfn.SINGLE(INDEX($G$1:G352,SUMPRODUCT(MAX(($W$1:W352=W353)*(ROW($W$1:W352))))))+IF(D353="Fiscal",30,90),""))</f>
        <v>45878</v>
      </c>
      <c r="G353" s="21">
        <v>45830</v>
      </c>
      <c r="H353" s="15">
        <f t="shared" si="161"/>
        <v>45840</v>
      </c>
      <c r="I353" s="15">
        <v>45836</v>
      </c>
      <c r="J353" s="32" t="s">
        <v>183</v>
      </c>
      <c r="K353" s="15">
        <f t="shared" si="162"/>
        <v>45850</v>
      </c>
      <c r="L353" s="15">
        <v>45847</v>
      </c>
      <c r="M353" s="15">
        <f t="shared" si="163"/>
        <v>45855</v>
      </c>
      <c r="N353" s="13">
        <v>45855</v>
      </c>
      <c r="O353" s="2" t="str">
        <f>IFERROR(IF(tblColetas[[#This Row],[Status Coleta]]="Reprovado","Reprovado",IF(ISERROR(SEARCH("Poço",D353)),IF(N353="","Erro",IF(Q353="Reprovado","",WORKDAY(N353,IF(D353="Operacional",10,3),FERIADOS!$A$3:$A$119))),"-")),"-")</f>
        <v>-</v>
      </c>
      <c r="P353" s="21"/>
      <c r="Q353" s="7" t="s">
        <v>37</v>
      </c>
      <c r="R353" s="13"/>
      <c r="S353" s="30"/>
      <c r="T353" s="43"/>
      <c r="W353" t="str">
        <f t="shared" si="164"/>
        <v>CDIPoço SPH-16 (P-7)Poço CG</v>
      </c>
      <c r="X3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4" spans="1:24" ht="12.5" x14ac:dyDescent="0.25">
      <c r="A354" s="10"/>
      <c r="B354" s="19" t="s">
        <v>31</v>
      </c>
      <c r="C354" s="5" t="s">
        <v>105</v>
      </c>
      <c r="D354" s="20" t="s">
        <v>29</v>
      </c>
      <c r="E354" s="35"/>
      <c r="F354" s="29" cm="1">
        <f t="array" ref="F354">IF(V354 &lt;&gt; "", V354, IFERROR(_xlfn.SINGLE(INDEX($G$1:G353,SUMPRODUCT(MAX(($W$1:W353=W354)*(ROW($W$1:W353))))))+IF(D354="Fiscal",30,90),""))</f>
        <v>45878</v>
      </c>
      <c r="G354" s="21">
        <v>45830</v>
      </c>
      <c r="H354" s="15">
        <f t="shared" si="161"/>
        <v>45840</v>
      </c>
      <c r="I354" s="15">
        <v>45836</v>
      </c>
      <c r="J354" s="32" t="s">
        <v>183</v>
      </c>
      <c r="K354" s="15">
        <f t="shared" si="162"/>
        <v>45850</v>
      </c>
      <c r="L354" s="15">
        <v>45847</v>
      </c>
      <c r="M354" s="15">
        <f t="shared" si="163"/>
        <v>45855</v>
      </c>
      <c r="N354" s="13">
        <v>45855</v>
      </c>
      <c r="O354" s="2" t="str">
        <f>IFERROR(IF(tblColetas[[#This Row],[Status Coleta]]="Reprovado","Reprovado",IF(ISERROR(SEARCH("Poço",D354)),IF(N354="","Erro",IF(Q354="Reprovado","",WORKDAY(N354,IF(D354="Operacional",10,3),FERIADOS!$A$3:$A$119))),"-")),"-")</f>
        <v>-</v>
      </c>
      <c r="P354" s="21"/>
      <c r="Q354" s="7" t="s">
        <v>37</v>
      </c>
      <c r="R354" s="13"/>
      <c r="S354" s="30"/>
      <c r="T354" s="43"/>
      <c r="W354" t="str">
        <f t="shared" si="164"/>
        <v>CDIPoço SPH-16 (P-7)Poço PVT</v>
      </c>
      <c r="X3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5" spans="1:24" ht="25" x14ac:dyDescent="0.25">
      <c r="A355" s="10"/>
      <c r="B355" s="8" t="s">
        <v>34</v>
      </c>
      <c r="C355" s="5" t="s">
        <v>89</v>
      </c>
      <c r="D355" s="9" t="s">
        <v>26</v>
      </c>
      <c r="E355" s="36"/>
      <c r="F355" s="29" cm="1">
        <f t="array" ref="F355">IF(V355 &lt;&gt; "", V355, IFERROR(_xlfn.SINGLE(INDEX($G$1:G354,SUMPRODUCT(MAX(($W$1:W354=W355)*(ROW($W$1:W354))))))+IF(D355="Fiscal",30,90),""))</f>
        <v>45880</v>
      </c>
      <c r="G355" s="13">
        <v>45806</v>
      </c>
      <c r="H355" s="15">
        <f t="shared" ref="H355:H386" si="165">IF(G355="","Erro", G355+10)</f>
        <v>45816</v>
      </c>
      <c r="I355" s="15">
        <v>45811</v>
      </c>
      <c r="J355" s="32" t="s">
        <v>170</v>
      </c>
      <c r="K355" s="15">
        <f t="shared" ref="K355:K386" si="166">IF(G355="","Erro",G355+20)</f>
        <v>45826</v>
      </c>
      <c r="L355" s="15">
        <v>45821</v>
      </c>
      <c r="M355" s="15">
        <f t="shared" ref="M355:M386" si="167">IF(G355="","Erro",G355+IF(D355="Operacional",45,25))</f>
        <v>45831</v>
      </c>
      <c r="N355" s="13">
        <v>45831</v>
      </c>
      <c r="O355" s="2" t="str">
        <f>IFERROR(IF(tblColetas[[#This Row],[Status Coleta]]="Reprovado","Reprovado",IF(ISERROR(SEARCH("Poço",D355)),IF(N355="","Erro",IF(Q355="Reprovado","",WORKDAY(N355,IF(D355="Operacional",10,3),FERIADOS!$A$3:$A$119))),"-")),"-")</f>
        <v>Reprovado</v>
      </c>
      <c r="P355" s="13"/>
      <c r="Q355" s="7" t="s">
        <v>81</v>
      </c>
      <c r="R355" s="13"/>
      <c r="S355" s="47" t="s">
        <v>184</v>
      </c>
      <c r="T355" s="43"/>
      <c r="W355" t="str">
        <f t="shared" si="164"/>
        <v>CDSPoço LL-46 (P-01)Poço CG</v>
      </c>
      <c r="X3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6" spans="1:24" ht="25" x14ac:dyDescent="0.25">
      <c r="A356" s="10"/>
      <c r="B356" s="8" t="s">
        <v>34</v>
      </c>
      <c r="C356" s="5" t="s">
        <v>89</v>
      </c>
      <c r="D356" s="9" t="s">
        <v>29</v>
      </c>
      <c r="E356" s="36"/>
      <c r="F356" s="29" cm="1">
        <f t="array" ref="F356">IF(V356 &lt;&gt; "", V356, IFERROR(_xlfn.SINGLE(INDEX($G$1:G355,SUMPRODUCT(MAX(($W$1:W355=W356)*(ROW($W$1:W355))))))+IF(D356="Fiscal",30,90),""))</f>
        <v>45880</v>
      </c>
      <c r="G356" s="13">
        <v>45806</v>
      </c>
      <c r="H356" s="15">
        <f t="shared" si="165"/>
        <v>45816</v>
      </c>
      <c r="I356" s="15">
        <v>45811</v>
      </c>
      <c r="J356" s="32" t="s">
        <v>170</v>
      </c>
      <c r="K356" s="15">
        <f t="shared" si="166"/>
        <v>45826</v>
      </c>
      <c r="L356" s="15">
        <v>45821</v>
      </c>
      <c r="M356" s="15">
        <f t="shared" si="167"/>
        <v>45831</v>
      </c>
      <c r="N356" s="13">
        <v>45831</v>
      </c>
      <c r="O356" s="2" t="str">
        <f>IFERROR(IF(tblColetas[[#This Row],[Status Coleta]]="Reprovado","Reprovado",IF(ISERROR(SEARCH("Poço",D356)),IF(N356="","Erro",IF(Q356="Reprovado","",WORKDAY(N356,IF(D356="Operacional",10,3),FERIADOS!$A$3:$A$119))),"-")),"-")</f>
        <v>Reprovado</v>
      </c>
      <c r="P356" s="13"/>
      <c r="Q356" s="7" t="s">
        <v>81</v>
      </c>
      <c r="R356" s="13"/>
      <c r="S356" s="47" t="s">
        <v>184</v>
      </c>
      <c r="T356" s="43"/>
      <c r="W356" t="str">
        <f t="shared" si="164"/>
        <v>CDSPoço LL-46 (P-01)Poço PVT</v>
      </c>
      <c r="X3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7" spans="1:24" ht="12.5" x14ac:dyDescent="0.25">
      <c r="A357" s="10"/>
      <c r="B357" s="19" t="s">
        <v>46</v>
      </c>
      <c r="C357" s="5" t="s">
        <v>63</v>
      </c>
      <c r="D357" s="20" t="s">
        <v>26</v>
      </c>
      <c r="E357" s="35"/>
      <c r="F357" s="29" cm="1">
        <f t="array" ref="F357">IF(V357 &lt;&gt; "", V357, IFERROR(_xlfn.SINGLE(INDEX($G$1:G356,SUMPRODUCT(MAX(($W$1:W356=W357)*(ROW($W$1:W356))))))+IF(D357="Fiscal",30,90),""))</f>
        <v>45865</v>
      </c>
      <c r="G357" s="21">
        <v>45845</v>
      </c>
      <c r="H357" s="15">
        <f t="shared" si="165"/>
        <v>45855</v>
      </c>
      <c r="I357" s="15">
        <v>45854</v>
      </c>
      <c r="J357" s="32" t="s">
        <v>178</v>
      </c>
      <c r="K357" s="15">
        <f t="shared" si="166"/>
        <v>45865</v>
      </c>
      <c r="L357" s="15">
        <v>45861</v>
      </c>
      <c r="M357" s="15">
        <f t="shared" si="167"/>
        <v>45870</v>
      </c>
      <c r="N357" s="13">
        <v>45870</v>
      </c>
      <c r="O357" s="2" t="str">
        <f>IFERROR(IF(tblColetas[[#This Row],[Status Coleta]]="Reprovado","Reprovado",IF(ISERROR(SEARCH("Poço",D357)),IF(N357="","Erro",IF(Q357="Reprovado","",WORKDAY(N357,IF(D357="Operacional",10,3),FERIADOS!$A$3:$A$119))),"-")),"-")</f>
        <v>-</v>
      </c>
      <c r="P357" s="21"/>
      <c r="Q357" s="7" t="s">
        <v>37</v>
      </c>
      <c r="R357" s="13"/>
      <c r="S357" s="30"/>
      <c r="T357" s="43"/>
      <c r="W357" t="str">
        <f t="shared" si="164"/>
        <v>CDMPoço LL-48 (P-01)Poço CG</v>
      </c>
      <c r="X3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8" spans="1:24" ht="12.5" x14ac:dyDescent="0.25">
      <c r="A358" s="10"/>
      <c r="B358" s="19" t="s">
        <v>46</v>
      </c>
      <c r="C358" s="5" t="s">
        <v>63</v>
      </c>
      <c r="D358" s="20" t="s">
        <v>29</v>
      </c>
      <c r="E358" s="35"/>
      <c r="F358" s="29" cm="1">
        <f t="array" ref="F358">IF(V358 &lt;&gt; "", V358, IFERROR(_xlfn.SINGLE(INDEX($G$1:G357,SUMPRODUCT(MAX(($W$1:W357=W358)*(ROW($W$1:W357))))))+IF(D358="Fiscal",30,90),""))</f>
        <v>45865</v>
      </c>
      <c r="G358" s="21">
        <v>45845</v>
      </c>
      <c r="H358" s="15">
        <f t="shared" si="165"/>
        <v>45855</v>
      </c>
      <c r="I358" s="15">
        <v>45854</v>
      </c>
      <c r="J358" s="32" t="s">
        <v>178</v>
      </c>
      <c r="K358" s="15">
        <f t="shared" si="166"/>
        <v>45865</v>
      </c>
      <c r="L358" s="15">
        <v>45861</v>
      </c>
      <c r="M358" s="15">
        <f t="shared" si="167"/>
        <v>45870</v>
      </c>
      <c r="N358" s="13">
        <v>45870</v>
      </c>
      <c r="O358" s="2" t="str">
        <f>IFERROR(IF(tblColetas[[#This Row],[Status Coleta]]="Reprovado","Reprovado",IF(ISERROR(SEARCH("Poço",D358)),IF(N358="","Erro",IF(Q358="Reprovado","",WORKDAY(N358,IF(D358="Operacional",10,3),FERIADOS!$A$3:$A$119))),"-")),"-")</f>
        <v>-</v>
      </c>
      <c r="P358" s="21"/>
      <c r="Q358" s="7" t="s">
        <v>37</v>
      </c>
      <c r="R358" s="13"/>
      <c r="S358" s="30"/>
      <c r="T358" s="43"/>
      <c r="W358" t="str">
        <f t="shared" si="164"/>
        <v>CDMPoço LL-48 (P-01)Poço PVT</v>
      </c>
      <c r="X3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59" spans="1:24" ht="12.5" x14ac:dyDescent="0.25">
      <c r="A359" s="10"/>
      <c r="B359" s="19" t="s">
        <v>34</v>
      </c>
      <c r="C359" s="5" t="s">
        <v>71</v>
      </c>
      <c r="D359" s="20" t="s">
        <v>72</v>
      </c>
      <c r="E359" s="35"/>
      <c r="F359" s="29" cm="1">
        <f t="array" ref="F359">IF(V359 &lt;&gt; "", V359, IFERROR(_xlfn.SINGLE(INDEX($G$1:G358,SUMPRODUCT(MAX(($W$1:W358=W359)*(ROW($W$1:W358))))))+IF(D359="Fiscal",30,90),""))</f>
        <v>45824</v>
      </c>
      <c r="G359" s="21">
        <v>45821</v>
      </c>
      <c r="H359" s="15">
        <f t="shared" si="165"/>
        <v>45831</v>
      </c>
      <c r="I359" s="15"/>
      <c r="J359" s="32"/>
      <c r="K359" s="15">
        <f t="shared" si="166"/>
        <v>45841</v>
      </c>
      <c r="L359" s="15"/>
      <c r="M359" s="15">
        <f t="shared" si="167"/>
        <v>45846</v>
      </c>
      <c r="N359" s="13">
        <v>45846</v>
      </c>
      <c r="O359" s="2">
        <f>IFERROR(IF(tblColetas[[#This Row],[Status Coleta]]="Reprovado","Reprovado",IF(ISERROR(SEARCH("Poço",D359)),IF(N359="","Erro",IF(Q359="Reprovado","",WORKDAY(N359,IF(D359="Operacional",10,3),FERIADOS!$A$3:$A$119))),"-")),"-")</f>
        <v>45849</v>
      </c>
      <c r="P359" s="21">
        <v>45849</v>
      </c>
      <c r="Q359" s="7" t="s">
        <v>37</v>
      </c>
      <c r="R359" s="13"/>
      <c r="S359" s="30"/>
      <c r="T359" s="43"/>
      <c r="W359" t="str">
        <f t="shared" si="164"/>
        <v>CDST77-FT-0103 (Fuel Gas)Fiscal</v>
      </c>
      <c r="X3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0" spans="1:24" ht="12.5" x14ac:dyDescent="0.25">
      <c r="A360" s="10"/>
      <c r="B360" s="19" t="s">
        <v>34</v>
      </c>
      <c r="C360" s="5" t="s">
        <v>73</v>
      </c>
      <c r="D360" s="20" t="s">
        <v>72</v>
      </c>
      <c r="E360" s="35"/>
      <c r="F360" s="29" cm="1">
        <f t="array" ref="F360">IF(V360 &lt;&gt; "", V360, IFERROR(_xlfn.SINGLE(INDEX($G$1:G359,SUMPRODUCT(MAX(($W$1:W359=W360)*(ROW($W$1:W359))))))+IF(D360="Fiscal",30,90),""))</f>
        <v>45824</v>
      </c>
      <c r="G360" s="21">
        <v>45821</v>
      </c>
      <c r="H360" s="15">
        <f t="shared" si="165"/>
        <v>45831</v>
      </c>
      <c r="I360" s="15"/>
      <c r="J360" s="32"/>
      <c r="K360" s="15">
        <f t="shared" si="166"/>
        <v>45841</v>
      </c>
      <c r="L360" s="15"/>
      <c r="M360" s="15">
        <f t="shared" si="167"/>
        <v>45846</v>
      </c>
      <c r="N360" s="13">
        <v>45846</v>
      </c>
      <c r="O360" s="2">
        <f>IFERROR(IF(tblColetas[[#This Row],[Status Coleta]]="Reprovado","Reprovado",IF(ISERROR(SEARCH("Poço",D360)),IF(N360="","Erro",IF(Q360="Reprovado","",WORKDAY(N360,IF(D360="Operacional",10,3),FERIADOS!$A$3:$A$119))),"-")),"-")</f>
        <v>45849</v>
      </c>
      <c r="P360" s="21">
        <v>45849</v>
      </c>
      <c r="Q360" s="7" t="s">
        <v>37</v>
      </c>
      <c r="R360" s="13"/>
      <c r="S360" s="30"/>
      <c r="T360" s="43"/>
      <c r="W360" t="str">
        <f t="shared" si="164"/>
        <v>CDST74-AX-6911 (Export Gas)Fiscal</v>
      </c>
      <c r="X3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1" spans="1:24" ht="12.5" x14ac:dyDescent="0.25">
      <c r="A361" s="10"/>
      <c r="B361" s="19" t="s">
        <v>34</v>
      </c>
      <c r="C361" s="5" t="s">
        <v>74</v>
      </c>
      <c r="D361" s="20" t="s">
        <v>72</v>
      </c>
      <c r="E361" s="35"/>
      <c r="F361" s="29" cm="1">
        <f t="array" ref="F361">IF(V361 &lt;&gt; "", V361, IFERROR(_xlfn.SINGLE(INDEX($G$1:G360,SUMPRODUCT(MAX(($W$1:W360=W361)*(ROW($W$1:W360))))))+IF(D361="Fiscal",30,90),""))</f>
        <v>45824</v>
      </c>
      <c r="G361" s="21">
        <v>45821</v>
      </c>
      <c r="H361" s="15">
        <f t="shared" si="165"/>
        <v>45831</v>
      </c>
      <c r="I361" s="15"/>
      <c r="J361" s="32"/>
      <c r="K361" s="15">
        <f t="shared" si="166"/>
        <v>45841</v>
      </c>
      <c r="L361" s="15"/>
      <c r="M361" s="15">
        <f t="shared" si="167"/>
        <v>45846</v>
      </c>
      <c r="N361" s="13">
        <v>45846</v>
      </c>
      <c r="O361" s="2">
        <f>IFERROR(IF(tblColetas[[#This Row],[Status Coleta]]="Reprovado","Reprovado",IF(ISERROR(SEARCH("Poço",D361)),IF(N361="","Erro",IF(Q361="Reprovado","",WORKDAY(N361,IF(D361="Operacional",10,3),FERIADOS!$A$3:$A$119))),"-")),"-")</f>
        <v>45849</v>
      </c>
      <c r="P361" s="21">
        <v>45849</v>
      </c>
      <c r="Q361" s="7" t="s">
        <v>37</v>
      </c>
      <c r="R361" s="13"/>
      <c r="S361" s="30"/>
      <c r="T361" s="43"/>
      <c r="W361" t="str">
        <f t="shared" si="164"/>
        <v>CDST76-FT-0014 (HP Flare)Fiscal</v>
      </c>
      <c r="X3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2" spans="1:24" ht="12.5" x14ac:dyDescent="0.25">
      <c r="A362" s="10"/>
      <c r="B362" s="19" t="s">
        <v>34</v>
      </c>
      <c r="C362" s="5" t="s">
        <v>75</v>
      </c>
      <c r="D362" s="20" t="s">
        <v>72</v>
      </c>
      <c r="E362" s="35"/>
      <c r="F362" s="29" cm="1">
        <f t="array" ref="F362">IF(V362 &lt;&gt; "", V362, IFERROR(_xlfn.SINGLE(INDEX($G$1:G361,SUMPRODUCT(MAX(($W$1:W361=W362)*(ROW($W$1:W361))))))+IF(D362="Fiscal",30,90),""))</f>
        <v>45824</v>
      </c>
      <c r="G362" s="21">
        <v>45821</v>
      </c>
      <c r="H362" s="15">
        <f t="shared" si="165"/>
        <v>45831</v>
      </c>
      <c r="I362" s="15"/>
      <c r="J362" s="32"/>
      <c r="K362" s="15">
        <f t="shared" si="166"/>
        <v>45841</v>
      </c>
      <c r="L362" s="15"/>
      <c r="M362" s="15">
        <f t="shared" si="167"/>
        <v>45846</v>
      </c>
      <c r="N362" s="13">
        <v>45846</v>
      </c>
      <c r="O362" s="2">
        <f>IFERROR(IF(tblColetas[[#This Row],[Status Coleta]]="Reprovado","Reprovado",IF(ISERROR(SEARCH("Poço",D362)),IF(N362="","Erro",IF(Q362="Reprovado","",WORKDAY(N362,IF(D362="Operacional",10,3),FERIADOS!$A$3:$A$119))),"-")),"-")</f>
        <v>45849</v>
      </c>
      <c r="P362" s="21">
        <v>45849</v>
      </c>
      <c r="Q362" s="7" t="s">
        <v>37</v>
      </c>
      <c r="R362" s="13"/>
      <c r="S362" s="30"/>
      <c r="T362" s="43"/>
      <c r="W362" t="str">
        <f t="shared" si="164"/>
        <v>CDST76-FT-0034 (LP Flare)Fiscal</v>
      </c>
      <c r="X3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3" spans="1:24" ht="12.5" x14ac:dyDescent="0.25">
      <c r="A363" s="10"/>
      <c r="B363" s="19" t="s">
        <v>31</v>
      </c>
      <c r="C363" s="5" t="s">
        <v>85</v>
      </c>
      <c r="D363" s="20" t="s">
        <v>26</v>
      </c>
      <c r="E363" s="35"/>
      <c r="F363" s="29" cm="1">
        <f t="array" ref="F363">IF(V363 &lt;&gt; "", V363, IFERROR(_xlfn.SINGLE(INDEX($G$1:G362,SUMPRODUCT(MAX(($W$1:W362=W363)*(ROW($W$1:W362))))))+IF(D363="Fiscal",30,90),""))</f>
        <v>45883</v>
      </c>
      <c r="G363" s="21">
        <v>45872</v>
      </c>
      <c r="H363" s="15">
        <f t="shared" si="165"/>
        <v>45882</v>
      </c>
      <c r="I363" s="15">
        <v>45881</v>
      </c>
      <c r="J363" s="32" t="s">
        <v>94</v>
      </c>
      <c r="K363" s="15">
        <f t="shared" si="166"/>
        <v>45892</v>
      </c>
      <c r="L363" s="15">
        <v>45889</v>
      </c>
      <c r="M363" s="15">
        <f t="shared" si="167"/>
        <v>45897</v>
      </c>
      <c r="N363" s="13">
        <v>45897</v>
      </c>
      <c r="O363" s="2" t="str">
        <f>IFERROR(IF(tblColetas[[#This Row],[Status Coleta]]="Reprovado","Reprovado",IF(ISERROR(SEARCH("Poço",D363)),IF(N363="","Erro",IF(Q363="Reprovado","",WORKDAY(N363,IF(D363="Operacional",10,3),FERIADOS!$A$3:$A$119))),"-")),"-")</f>
        <v>-</v>
      </c>
      <c r="P363" s="21"/>
      <c r="Q363" s="7" t="s">
        <v>37</v>
      </c>
      <c r="R363" s="13"/>
      <c r="S363" s="30"/>
      <c r="T363" s="43"/>
      <c r="W363" t="str">
        <f t="shared" si="164"/>
        <v>CDIPoço SPH-17 (P-9)Poço CG</v>
      </c>
      <c r="X3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4" spans="1:24" ht="12.5" x14ac:dyDescent="0.25">
      <c r="A364" s="10"/>
      <c r="B364" s="19" t="s">
        <v>31</v>
      </c>
      <c r="C364" s="5" t="s">
        <v>85</v>
      </c>
      <c r="D364" s="20" t="s">
        <v>29</v>
      </c>
      <c r="E364" s="35"/>
      <c r="F364" s="29" cm="1">
        <f t="array" ref="F364">IF(V364 &lt;&gt; "", V364, IFERROR(_xlfn.SINGLE(INDEX($G$1:G363,SUMPRODUCT(MAX(($W$1:W363=W364)*(ROW($W$1:W363))))))+IF(D364="Fiscal",30,90),""))</f>
        <v>45883</v>
      </c>
      <c r="G364" s="21">
        <v>45872</v>
      </c>
      <c r="H364" s="15">
        <f t="shared" si="165"/>
        <v>45882</v>
      </c>
      <c r="I364" s="15">
        <v>45881</v>
      </c>
      <c r="J364" s="32" t="s">
        <v>94</v>
      </c>
      <c r="K364" s="15">
        <f t="shared" si="166"/>
        <v>45892</v>
      </c>
      <c r="L364" s="15">
        <v>45889</v>
      </c>
      <c r="M364" s="15">
        <f t="shared" si="167"/>
        <v>45897</v>
      </c>
      <c r="N364" s="13">
        <v>45897</v>
      </c>
      <c r="O364" s="2" t="str">
        <f>IFERROR(IF(tblColetas[[#This Row],[Status Coleta]]="Reprovado","Reprovado",IF(ISERROR(SEARCH("Poço",D364)),IF(N364="","Erro",IF(Q364="Reprovado","",WORKDAY(N364,IF(D364="Operacional",10,3),FERIADOS!$A$3:$A$119))),"-")),"-")</f>
        <v>-</v>
      </c>
      <c r="P364" s="21"/>
      <c r="Q364" s="7" t="s">
        <v>37</v>
      </c>
      <c r="R364" s="13"/>
      <c r="S364" s="30"/>
      <c r="T364" s="43"/>
      <c r="W364" t="str">
        <f t="shared" si="164"/>
        <v>CDIPoço SPH-17 (P-9)Poço PVT</v>
      </c>
      <c r="X3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5" spans="1:24" ht="12.5" x14ac:dyDescent="0.25">
      <c r="A365" s="10"/>
      <c r="B365" s="19" t="s">
        <v>31</v>
      </c>
      <c r="C365" s="5" t="s">
        <v>79</v>
      </c>
      <c r="D365" s="20" t="s">
        <v>26</v>
      </c>
      <c r="E365" s="35"/>
      <c r="F365" s="29" cm="1">
        <f t="array" ref="F365">IF(V365 &lt;&gt; "", V365, IFERROR(_xlfn.SINGLE(INDEX($G$1:G364,SUMPRODUCT(MAX(($W$1:W364=W365)*(ROW($W$1:W364))))))+IF(D365="Fiscal",30,90),""))</f>
        <v>45884</v>
      </c>
      <c r="G365" s="21">
        <v>45873</v>
      </c>
      <c r="H365" s="15">
        <f t="shared" si="165"/>
        <v>45883</v>
      </c>
      <c r="I365" s="15">
        <v>45881</v>
      </c>
      <c r="J365" s="32" t="s">
        <v>94</v>
      </c>
      <c r="K365" s="15">
        <f t="shared" si="166"/>
        <v>45893</v>
      </c>
      <c r="L365" s="15">
        <v>45889</v>
      </c>
      <c r="M365" s="15">
        <f t="shared" si="167"/>
        <v>45898</v>
      </c>
      <c r="N365" s="13">
        <v>45898</v>
      </c>
      <c r="O365" s="2" t="str">
        <f>IFERROR(IF(tblColetas[[#This Row],[Status Coleta]]="Reprovado","Reprovado",IF(ISERROR(SEARCH("Poço",D365)),IF(N365="","Erro",IF(Q365="Reprovado","",WORKDAY(N365,IF(D365="Operacional",10,3),FERIADOS!$A$3:$A$119))),"-")),"-")</f>
        <v>-</v>
      </c>
      <c r="P365" s="21"/>
      <c r="Q365" s="7" t="s">
        <v>37</v>
      </c>
      <c r="R365" s="13"/>
      <c r="S365" s="30"/>
      <c r="T365" s="43"/>
      <c r="W365" t="str">
        <f t="shared" si="164"/>
        <v>CDIPoço SPH-14 (P-6)Poço CG</v>
      </c>
      <c r="X3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6" spans="1:24" ht="12.5" x14ac:dyDescent="0.25">
      <c r="A366" s="10"/>
      <c r="B366" s="19" t="s">
        <v>31</v>
      </c>
      <c r="C366" s="5" t="s">
        <v>79</v>
      </c>
      <c r="D366" s="20" t="s">
        <v>29</v>
      </c>
      <c r="E366" s="35"/>
      <c r="F366" s="29" cm="1">
        <f t="array" ref="F366">IF(V366 &lt;&gt; "", V366, IFERROR(_xlfn.SINGLE(INDEX($G$1:G365,SUMPRODUCT(MAX(($W$1:W365=W366)*(ROW($W$1:W365))))))+IF(D366="Fiscal",30,90),""))</f>
        <v>45884</v>
      </c>
      <c r="G366" s="21">
        <v>45873</v>
      </c>
      <c r="H366" s="15">
        <f t="shared" si="165"/>
        <v>45883</v>
      </c>
      <c r="I366" s="15">
        <v>45881</v>
      </c>
      <c r="J366" s="32" t="s">
        <v>94</v>
      </c>
      <c r="K366" s="15">
        <f t="shared" si="166"/>
        <v>45893</v>
      </c>
      <c r="L366" s="15">
        <v>45889</v>
      </c>
      <c r="M366" s="15">
        <f t="shared" si="167"/>
        <v>45898</v>
      </c>
      <c r="N366" s="13">
        <v>45898</v>
      </c>
      <c r="O366" s="2" t="str">
        <f>IFERROR(IF(tblColetas[[#This Row],[Status Coleta]]="Reprovado","Reprovado",IF(ISERROR(SEARCH("Poço",D366)),IF(N366="","Erro",IF(Q366="Reprovado","",WORKDAY(N366,IF(D366="Operacional",10,3),FERIADOS!$A$3:$A$119))),"-")),"-")</f>
        <v>-</v>
      </c>
      <c r="P366" s="21"/>
      <c r="Q366" s="7" t="s">
        <v>37</v>
      </c>
      <c r="R366" s="13"/>
      <c r="S366" s="30"/>
      <c r="T366" s="43"/>
      <c r="W366" t="str">
        <f t="shared" si="164"/>
        <v>CDIPoço SPH-14 (P-6)Poço PVT</v>
      </c>
      <c r="X3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7" spans="1:24" ht="12.5" x14ac:dyDescent="0.25">
      <c r="A367" s="10"/>
      <c r="B367" s="19" t="s">
        <v>31</v>
      </c>
      <c r="C367" s="5" t="s">
        <v>95</v>
      </c>
      <c r="D367" s="20" t="s">
        <v>26</v>
      </c>
      <c r="E367" s="35"/>
      <c r="F367" s="29" cm="1">
        <f t="array" ref="F367">IF(V367 &lt;&gt; "", V367, IFERROR(_xlfn.SINGLE(INDEX($G$1:G366,SUMPRODUCT(MAX(($W$1:W366=W367)*(ROW($W$1:W366))))))+IF(D367="Fiscal",30,90),""))</f>
        <v>45885</v>
      </c>
      <c r="G367" s="21">
        <v>45874</v>
      </c>
      <c r="H367" s="15">
        <f t="shared" si="165"/>
        <v>45884</v>
      </c>
      <c r="I367" s="15">
        <v>45881</v>
      </c>
      <c r="J367" s="32" t="s">
        <v>94</v>
      </c>
      <c r="K367" s="15">
        <f t="shared" si="166"/>
        <v>45894</v>
      </c>
      <c r="L367" s="15">
        <v>45889</v>
      </c>
      <c r="M367" s="15">
        <f t="shared" si="167"/>
        <v>45899</v>
      </c>
      <c r="N367" s="13">
        <v>45898</v>
      </c>
      <c r="O367" s="2" t="str">
        <f>IFERROR(IF(tblColetas[[#This Row],[Status Coleta]]="Reprovado","Reprovado",IF(ISERROR(SEARCH("Poço",D367)),IF(N367="","Erro",IF(Q367="Reprovado","",WORKDAY(N367,IF(D367="Operacional",10,3),FERIADOS!$A$3:$A$119))),"-")),"-")</f>
        <v>-</v>
      </c>
      <c r="P367" s="21"/>
      <c r="Q367" s="7" t="s">
        <v>37</v>
      </c>
      <c r="R367" s="13"/>
      <c r="S367" s="30"/>
      <c r="T367" s="43"/>
      <c r="W367" t="str">
        <f t="shared" si="164"/>
        <v>CDIPoço SPH-20 (P-5)Poço CG</v>
      </c>
      <c r="X3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8" spans="1:24" ht="12.5" x14ac:dyDescent="0.25">
      <c r="A368" s="10"/>
      <c r="B368" s="19" t="s">
        <v>31</v>
      </c>
      <c r="C368" s="5" t="s">
        <v>95</v>
      </c>
      <c r="D368" s="20" t="s">
        <v>29</v>
      </c>
      <c r="E368" s="35"/>
      <c r="F368" s="29" cm="1">
        <f t="array" ref="F368">IF(V368 &lt;&gt; "", V368, IFERROR(_xlfn.SINGLE(INDEX($G$1:G367,SUMPRODUCT(MAX(($W$1:W367=W368)*(ROW($W$1:W367))))))+IF(D368="Fiscal",30,90),""))</f>
        <v>45885</v>
      </c>
      <c r="G368" s="21">
        <v>45874</v>
      </c>
      <c r="H368" s="15">
        <f t="shared" si="165"/>
        <v>45884</v>
      </c>
      <c r="I368" s="15">
        <v>45881</v>
      </c>
      <c r="J368" s="32" t="s">
        <v>94</v>
      </c>
      <c r="K368" s="15">
        <f t="shared" si="166"/>
        <v>45894</v>
      </c>
      <c r="L368" s="15">
        <v>45889</v>
      </c>
      <c r="M368" s="15">
        <f t="shared" si="167"/>
        <v>45899</v>
      </c>
      <c r="N368" s="13">
        <v>45898</v>
      </c>
      <c r="O368" s="2" t="str">
        <f>IFERROR(IF(tblColetas[[#This Row],[Status Coleta]]="Reprovado","Reprovado",IF(ISERROR(SEARCH("Poço",D368)),IF(N368="","Erro",IF(Q368="Reprovado","",WORKDAY(N368,IF(D368="Operacional",10,3),FERIADOS!$A$3:$A$119))),"-")),"-")</f>
        <v>-</v>
      </c>
      <c r="P368" s="21"/>
      <c r="Q368" s="7" t="s">
        <v>37</v>
      </c>
      <c r="R368" s="13"/>
      <c r="S368" s="30"/>
      <c r="T368" s="43"/>
      <c r="W368" t="str">
        <f t="shared" si="164"/>
        <v>CDIPoço SPH-20 (P-5)Poço PVT</v>
      </c>
      <c r="X3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69" spans="1:24" ht="12.5" x14ac:dyDescent="0.25">
      <c r="A369" s="10"/>
      <c r="B369" s="19" t="s">
        <v>38</v>
      </c>
      <c r="C369" s="5" t="s">
        <v>41</v>
      </c>
      <c r="D369" s="20" t="s">
        <v>26</v>
      </c>
      <c r="E369" s="35"/>
      <c r="F369" s="29" cm="1">
        <f t="array" ref="F369">IF(V369 &lt;&gt; "", V369, IFERROR(_xlfn.SINGLE(INDEX($G$1:G368,SUMPRODUCT(MAX(($W$1:W368=W369)*(ROW($W$1:W368))))))+IF(D369="Fiscal",30,90),""))</f>
        <v>45883</v>
      </c>
      <c r="G369" s="21">
        <v>45867</v>
      </c>
      <c r="H369" s="15">
        <f t="shared" si="165"/>
        <v>45877</v>
      </c>
      <c r="I369" s="15">
        <v>45869</v>
      </c>
      <c r="J369" s="32" t="s">
        <v>185</v>
      </c>
      <c r="K369" s="15">
        <f t="shared" si="166"/>
        <v>45887</v>
      </c>
      <c r="L369" s="15">
        <v>45875</v>
      </c>
      <c r="M369" s="15">
        <f t="shared" si="167"/>
        <v>45892</v>
      </c>
      <c r="N369" s="13">
        <v>45891</v>
      </c>
      <c r="O369" s="2" t="str">
        <f>IFERROR(IF(tblColetas[[#This Row],[Status Coleta]]="Reprovado","Reprovado",IF(ISERROR(SEARCH("Poço",D369)),IF(N369="","Erro",IF(Q369="Reprovado","",WORKDAY(N369,IF(D369="Operacional",10,3),FERIADOS!$A$3:$A$119))),"-")),"-")</f>
        <v>-</v>
      </c>
      <c r="P369" s="21"/>
      <c r="Q369" s="7" t="s">
        <v>37</v>
      </c>
      <c r="R369" s="13"/>
      <c r="S369" s="30"/>
      <c r="T369" s="43"/>
      <c r="W369" t="str">
        <f t="shared" si="164"/>
        <v>CDPPoço LL-15 (P-3)Poço CG</v>
      </c>
      <c r="X3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0" spans="1:24" ht="12.5" x14ac:dyDescent="0.25">
      <c r="A370" s="10"/>
      <c r="B370" s="19" t="s">
        <v>38</v>
      </c>
      <c r="C370" s="5" t="s">
        <v>41</v>
      </c>
      <c r="D370" s="20" t="s">
        <v>29</v>
      </c>
      <c r="E370" s="35"/>
      <c r="F370" s="29" cm="1">
        <f t="array" ref="F370">IF(V370 &lt;&gt; "", V370, IFERROR(_xlfn.SINGLE(INDEX($G$1:G369,SUMPRODUCT(MAX(($W$1:W369=W370)*(ROW($W$1:W369))))))+IF(D370="Fiscal",30,90),""))</f>
        <v>45883</v>
      </c>
      <c r="G370" s="21">
        <v>45867</v>
      </c>
      <c r="H370" s="15">
        <f t="shared" si="165"/>
        <v>45877</v>
      </c>
      <c r="I370" s="15">
        <v>45869</v>
      </c>
      <c r="J370" s="32" t="s">
        <v>185</v>
      </c>
      <c r="K370" s="15">
        <f t="shared" si="166"/>
        <v>45887</v>
      </c>
      <c r="L370" s="15">
        <v>45875</v>
      </c>
      <c r="M370" s="15">
        <f t="shared" si="167"/>
        <v>45892</v>
      </c>
      <c r="N370" s="13">
        <v>45891</v>
      </c>
      <c r="O370" s="2" t="str">
        <f>IFERROR(IF(tblColetas[[#This Row],[Status Coleta]]="Reprovado","Reprovado",IF(ISERROR(SEARCH("Poço",D370)),IF(N370="","Erro",IF(Q370="Reprovado","",WORKDAY(N370,IF(D370="Operacional",10,3),FERIADOS!$A$3:$A$119))),"-")),"-")</f>
        <v>-</v>
      </c>
      <c r="P370" s="21"/>
      <c r="Q370" s="7" t="s">
        <v>37</v>
      </c>
      <c r="R370" s="13"/>
      <c r="S370" s="30"/>
      <c r="T370" s="43"/>
      <c r="W370" t="str">
        <f t="shared" si="164"/>
        <v>CDPPoço LL-15 (P-3)Poço PVT</v>
      </c>
      <c r="X3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1" spans="1:24" ht="12.5" x14ac:dyDescent="0.25">
      <c r="A371" s="10"/>
      <c r="B371" s="19" t="s">
        <v>46</v>
      </c>
      <c r="C371" s="5" t="s">
        <v>116</v>
      </c>
      <c r="D371" s="20" t="s">
        <v>26</v>
      </c>
      <c r="E371" s="35"/>
      <c r="F371" s="29" cm="1">
        <f t="array" ref="F371">IF(V371 &lt;&gt; "", V371, IFERROR(_xlfn.SINGLE(INDEX($G$1:G370,SUMPRODUCT(MAX(($W$1:W370=W371)*(ROW($W$1:W370))))))+IF(D371="Fiscal",30,90),""))</f>
        <v>45883</v>
      </c>
      <c r="G371" s="21">
        <v>45862</v>
      </c>
      <c r="H371" s="15">
        <f t="shared" si="165"/>
        <v>45872</v>
      </c>
      <c r="I371" s="15">
        <v>45870</v>
      </c>
      <c r="J371" s="32" t="s">
        <v>181</v>
      </c>
      <c r="K371" s="15">
        <f t="shared" si="166"/>
        <v>45882</v>
      </c>
      <c r="L371" s="15">
        <v>45875</v>
      </c>
      <c r="M371" s="15">
        <f t="shared" si="167"/>
        <v>45887</v>
      </c>
      <c r="N371" s="13">
        <v>45887</v>
      </c>
      <c r="O371" s="2" t="str">
        <f>IFERROR(IF(tblColetas[[#This Row],[Status Coleta]]="Reprovado","Reprovado",IF(ISERROR(SEARCH("Poço",D371)),IF(N371="","Erro",IF(Q371="Reprovado","",WORKDAY(N371,IF(D371="Operacional",10,3),FERIADOS!$A$3:$A$119))),"-")),"-")</f>
        <v>-</v>
      </c>
      <c r="P371" s="21"/>
      <c r="Q371" s="7" t="s">
        <v>37</v>
      </c>
      <c r="R371" s="13"/>
      <c r="S371" s="30"/>
      <c r="T371" s="43"/>
      <c r="W371" t="str">
        <f t="shared" si="164"/>
        <v>CDMPoço LL-58 (P-03)Poço CG</v>
      </c>
      <c r="X3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2" spans="1:24" ht="12.5" x14ac:dyDescent="0.25">
      <c r="A372" s="10"/>
      <c r="B372" s="19" t="s">
        <v>46</v>
      </c>
      <c r="C372" s="5" t="s">
        <v>116</v>
      </c>
      <c r="D372" s="20" t="s">
        <v>29</v>
      </c>
      <c r="E372" s="35"/>
      <c r="F372" s="29" cm="1">
        <f t="array" ref="F372">IF(V372 &lt;&gt; "", V372, IFERROR(_xlfn.SINGLE(INDEX($G$1:G371,SUMPRODUCT(MAX(($W$1:W371=W372)*(ROW($W$1:W371))))))+IF(D372="Fiscal",30,90),""))</f>
        <v>45883</v>
      </c>
      <c r="G372" s="21">
        <v>45862</v>
      </c>
      <c r="H372" s="15">
        <f t="shared" si="165"/>
        <v>45872</v>
      </c>
      <c r="I372" s="15">
        <v>45870</v>
      </c>
      <c r="J372" s="32" t="s">
        <v>181</v>
      </c>
      <c r="K372" s="15">
        <f t="shared" si="166"/>
        <v>45882</v>
      </c>
      <c r="L372" s="15">
        <v>45875</v>
      </c>
      <c r="M372" s="15">
        <f t="shared" si="167"/>
        <v>45887</v>
      </c>
      <c r="N372" s="13">
        <v>45887</v>
      </c>
      <c r="O372" s="2" t="str">
        <f>IFERROR(IF(tblColetas[[#This Row],[Status Coleta]]="Reprovado","Reprovado",IF(ISERROR(SEARCH("Poço",D372)),IF(N372="","Erro",IF(Q372="Reprovado","",WORKDAY(N372,IF(D372="Operacional",10,3),FERIADOS!$A$3:$A$119))),"-")),"-")</f>
        <v>-</v>
      </c>
      <c r="P372" s="21"/>
      <c r="Q372" s="7" t="s">
        <v>37</v>
      </c>
      <c r="R372" s="13"/>
      <c r="S372" s="30"/>
      <c r="T372" s="43"/>
      <c r="W372" t="str">
        <f t="shared" si="164"/>
        <v>CDMPoço LL-58 (P-03)Poço PVT</v>
      </c>
      <c r="X3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3" spans="1:24" ht="12.5" x14ac:dyDescent="0.25">
      <c r="A373" s="10"/>
      <c r="B373" s="19" t="s">
        <v>38</v>
      </c>
      <c r="C373" s="5" t="s">
        <v>65</v>
      </c>
      <c r="D373" s="20" t="s">
        <v>26</v>
      </c>
      <c r="E373" s="35"/>
      <c r="F373" s="29" cm="1">
        <f t="array" ref="F373">IF(V373 &lt;&gt; "", V373, IFERROR(_xlfn.SINGLE(INDEX($G$1:G372,SUMPRODUCT(MAX(($W$1:W372=W373)*(ROW($W$1:W372))))))+IF(D373="Fiscal",30,90),""))</f>
        <v>45876</v>
      </c>
      <c r="G373" s="21">
        <v>45862</v>
      </c>
      <c r="H373" s="15">
        <f t="shared" si="165"/>
        <v>45872</v>
      </c>
      <c r="I373" s="15">
        <v>45869</v>
      </c>
      <c r="J373" s="32" t="s">
        <v>185</v>
      </c>
      <c r="K373" s="15">
        <f t="shared" si="166"/>
        <v>45882</v>
      </c>
      <c r="L373" s="15">
        <v>45875</v>
      </c>
      <c r="M373" s="15">
        <f t="shared" si="167"/>
        <v>45887</v>
      </c>
      <c r="N373" s="13">
        <v>45887</v>
      </c>
      <c r="O373" s="2" t="str">
        <f>IFERROR(IF(tblColetas[[#This Row],[Status Coleta]]="Reprovado","Reprovado",IF(ISERROR(SEARCH("Poço",D373)),IF(N373="","Erro",IF(Q373="Reprovado","",WORKDAY(N373,IF(D373="Operacional",10,3),FERIADOS!$A$3:$A$119))),"-")),"-")</f>
        <v>-</v>
      </c>
      <c r="P373" s="21"/>
      <c r="Q373" s="7" t="s">
        <v>37</v>
      </c>
      <c r="R373" s="13"/>
      <c r="S373" s="30"/>
      <c r="T373" s="43"/>
      <c r="W373" t="str">
        <f t="shared" si="164"/>
        <v>CDPPoço LL-22 (P-8)Poço CG</v>
      </c>
      <c r="X3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4" spans="1:24" ht="12.5" x14ac:dyDescent="0.25">
      <c r="A374" s="10"/>
      <c r="B374" s="19" t="s">
        <v>38</v>
      </c>
      <c r="C374" s="5" t="s">
        <v>65</v>
      </c>
      <c r="D374" s="20" t="s">
        <v>29</v>
      </c>
      <c r="E374" s="35"/>
      <c r="F374" s="29" cm="1">
        <f t="array" ref="F374">IF(V374 &lt;&gt; "", V374, IFERROR(_xlfn.SINGLE(INDEX($G$1:G373,SUMPRODUCT(MAX(($W$1:W373=W374)*(ROW($W$1:W373))))))+IF(D374="Fiscal",30,90),""))</f>
        <v>45876</v>
      </c>
      <c r="G374" s="21">
        <v>45862</v>
      </c>
      <c r="H374" s="15">
        <f t="shared" si="165"/>
        <v>45872</v>
      </c>
      <c r="I374" s="15">
        <v>45869</v>
      </c>
      <c r="J374" s="32" t="s">
        <v>185</v>
      </c>
      <c r="K374" s="15">
        <f t="shared" si="166"/>
        <v>45882</v>
      </c>
      <c r="L374" s="15">
        <v>45875</v>
      </c>
      <c r="M374" s="15">
        <f t="shared" si="167"/>
        <v>45887</v>
      </c>
      <c r="N374" s="13">
        <v>45887</v>
      </c>
      <c r="O374" s="2" t="str">
        <f>IFERROR(IF(tblColetas[[#This Row],[Status Coleta]]="Reprovado","Reprovado",IF(ISERROR(SEARCH("Poço",D374)),IF(N374="","Erro",IF(Q374="Reprovado","",WORKDAY(N374,IF(D374="Operacional",10,3),FERIADOS!$A$3:$A$119))),"-")),"-")</f>
        <v>-</v>
      </c>
      <c r="P374" s="21"/>
      <c r="Q374" s="7" t="s">
        <v>37</v>
      </c>
      <c r="R374" s="13"/>
      <c r="S374" s="30"/>
      <c r="T374" s="43"/>
      <c r="W374" t="str">
        <f t="shared" si="164"/>
        <v>CDPPoço LL-22 (P-8)Poço PVT</v>
      </c>
      <c r="X3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5" spans="1:24" ht="12.5" x14ac:dyDescent="0.25">
      <c r="A375" s="10"/>
      <c r="B375" s="19" t="s">
        <v>145</v>
      </c>
      <c r="C375" s="5" t="s">
        <v>146</v>
      </c>
      <c r="D375" s="20" t="s">
        <v>72</v>
      </c>
      <c r="E375" s="35"/>
      <c r="F375" s="29" cm="1">
        <f t="array" ref="F375">IF(V375 &lt;&gt; "", V375, IFERROR(_xlfn.SINGLE(INDEX($G$1:G374,SUMPRODUCT(MAX(($W$1:W374=W375)*(ROW($W$1:W374))))))+IF(D375="Fiscal",30,90),""))</f>
        <v>45822</v>
      </c>
      <c r="G375" s="21">
        <v>45820</v>
      </c>
      <c r="H375" s="15">
        <f t="shared" si="165"/>
        <v>45830</v>
      </c>
      <c r="I375" s="15"/>
      <c r="J375" s="32"/>
      <c r="K375" s="15">
        <f t="shared" si="166"/>
        <v>45840</v>
      </c>
      <c r="L375" s="15"/>
      <c r="M375" s="15">
        <f t="shared" si="167"/>
        <v>45845</v>
      </c>
      <c r="N375" s="13">
        <v>45845</v>
      </c>
      <c r="O375" s="2">
        <f>IFERROR(IF(tblColetas[[#This Row],[Status Coleta]]="Reprovado","Reprovado",IF(ISERROR(SEARCH("Poço",D375)),IF(N375="","Erro",IF(Q375="Reprovado","",WORKDAY(N375,IF(D375="Operacional",10,3),FERIADOS!$A$3:$A$119))),"-")),"-")</f>
        <v>45848</v>
      </c>
      <c r="P375" s="21">
        <v>45847</v>
      </c>
      <c r="Q375" s="7" t="s">
        <v>37</v>
      </c>
      <c r="R375" s="13"/>
      <c r="S375" s="30"/>
      <c r="T375" s="43"/>
      <c r="W375" t="str">
        <f t="shared" si="164"/>
        <v>ATD777-AP-1403 (Fuel Gas to Flare Stack)Fiscal</v>
      </c>
      <c r="X3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6" spans="1:24" ht="12.5" x14ac:dyDescent="0.25">
      <c r="A376" s="10"/>
      <c r="B376" s="19" t="s">
        <v>145</v>
      </c>
      <c r="C376" s="5" t="s">
        <v>147</v>
      </c>
      <c r="D376" s="20" t="s">
        <v>72</v>
      </c>
      <c r="E376" s="35"/>
      <c r="F376" s="29" cm="1">
        <f t="array" ref="F376">IF(V376 &lt;&gt; "", V376, IFERROR(_xlfn.SINGLE(INDEX($G$1:G375,SUMPRODUCT(MAX(($W$1:W375=W376)*(ROW($W$1:W375))))))+IF(D376="Fiscal",30,90),""))</f>
        <v>45822</v>
      </c>
      <c r="G376" s="21">
        <v>45820</v>
      </c>
      <c r="H376" s="15">
        <f t="shared" si="165"/>
        <v>45830</v>
      </c>
      <c r="I376" s="15"/>
      <c r="J376" s="32"/>
      <c r="K376" s="15">
        <f t="shared" si="166"/>
        <v>45840</v>
      </c>
      <c r="L376" s="15"/>
      <c r="M376" s="15">
        <f t="shared" si="167"/>
        <v>45845</v>
      </c>
      <c r="N376" s="13">
        <v>45845</v>
      </c>
      <c r="O376" s="2">
        <f>IFERROR(IF(tblColetas[[#This Row],[Status Coleta]]="Reprovado","Reprovado",IF(ISERROR(SEARCH("Poço",D376)),IF(N376="","Erro",IF(Q376="Reprovado","",WORKDAY(N376,IF(D376="Operacional",10,3),FERIADOS!$A$3:$A$119))),"-")),"-")</f>
        <v>45848</v>
      </c>
      <c r="P376" s="21">
        <v>45847</v>
      </c>
      <c r="Q376" s="7" t="s">
        <v>37</v>
      </c>
      <c r="R376" s="13"/>
      <c r="S376" s="30"/>
      <c r="T376" s="43"/>
      <c r="W376" t="str">
        <f t="shared" si="164"/>
        <v>ATD777-AP-1506 (Fuel Gas)Fiscal</v>
      </c>
      <c r="X3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7" spans="1:24" ht="12.5" x14ac:dyDescent="0.25">
      <c r="A377" s="10"/>
      <c r="B377" s="19" t="s">
        <v>145</v>
      </c>
      <c r="C377" s="5" t="s">
        <v>148</v>
      </c>
      <c r="D377" s="20" t="s">
        <v>72</v>
      </c>
      <c r="E377" s="35"/>
      <c r="F377" s="29" cm="1">
        <f t="array" ref="F377">IF(V377 &lt;&gt; "", V377, IFERROR(_xlfn.SINGLE(INDEX($G$1:G376,SUMPRODUCT(MAX(($W$1:W376=W377)*(ROW($W$1:W376))))))+IF(D377="Fiscal",30,90),""))</f>
        <v>45822</v>
      </c>
      <c r="G377" s="21">
        <v>45820</v>
      </c>
      <c r="H377" s="15">
        <f t="shared" si="165"/>
        <v>45830</v>
      </c>
      <c r="I377" s="15"/>
      <c r="J377" s="32"/>
      <c r="K377" s="15">
        <f t="shared" si="166"/>
        <v>45840</v>
      </c>
      <c r="L377" s="15"/>
      <c r="M377" s="15">
        <f t="shared" si="167"/>
        <v>45845</v>
      </c>
      <c r="N377" s="13">
        <v>45840</v>
      </c>
      <c r="O377" s="2">
        <f>IFERROR(IF(tblColetas[[#This Row],[Status Coleta]]="Reprovado","Reprovado",IF(ISERROR(SEARCH("Poço",D377)),IF(N377="","Erro",IF(Q377="Reprovado","",WORKDAY(N377,IF(D377="Operacional",10,3),FERIADOS!$A$3:$A$119))),"-")),"-")</f>
        <v>45845</v>
      </c>
      <c r="P377" s="21">
        <v>45841</v>
      </c>
      <c r="Q377" s="7" t="s">
        <v>37</v>
      </c>
      <c r="R377" s="13"/>
      <c r="S377" s="30"/>
      <c r="T377" s="43"/>
      <c r="W377" t="str">
        <f t="shared" si="164"/>
        <v>ATD776-AP-0018-2 (HP Flare)Fiscal</v>
      </c>
      <c r="X3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8" spans="1:24" ht="12.5" x14ac:dyDescent="0.25">
      <c r="A378" s="10"/>
      <c r="B378" s="19" t="s">
        <v>145</v>
      </c>
      <c r="C378" s="5" t="s">
        <v>149</v>
      </c>
      <c r="D378" s="20" t="s">
        <v>72</v>
      </c>
      <c r="E378" s="35"/>
      <c r="F378" s="29" cm="1">
        <f t="array" ref="F378">IF(V378 &lt;&gt; "", V378, IFERROR(_xlfn.SINGLE(INDEX($G$1:G377,SUMPRODUCT(MAX(($W$1:W377=W378)*(ROW($W$1:W377))))))+IF(D378="Fiscal",30,90),""))</f>
        <v>45822</v>
      </c>
      <c r="G378" s="21">
        <v>45820</v>
      </c>
      <c r="H378" s="15">
        <f t="shared" si="165"/>
        <v>45830</v>
      </c>
      <c r="I378" s="15"/>
      <c r="J378" s="32"/>
      <c r="K378" s="15">
        <f t="shared" si="166"/>
        <v>45840</v>
      </c>
      <c r="L378" s="15"/>
      <c r="M378" s="15">
        <f t="shared" si="167"/>
        <v>45845</v>
      </c>
      <c r="N378" s="13">
        <v>45845</v>
      </c>
      <c r="O378" s="2">
        <f>IFERROR(IF(tblColetas[[#This Row],[Status Coleta]]="Reprovado","Reprovado",IF(ISERROR(SEARCH("Poço",D378)),IF(N378="","Erro",IF(Q378="Reprovado","",WORKDAY(N378,IF(D378="Operacional",10,3),FERIADOS!$A$3:$A$119))),"-")),"-")</f>
        <v>45848</v>
      </c>
      <c r="P378" s="21">
        <v>45847</v>
      </c>
      <c r="Q378" s="7" t="s">
        <v>37</v>
      </c>
      <c r="R378" s="13"/>
      <c r="S378" s="30"/>
      <c r="T378" s="43"/>
      <c r="W378" t="str">
        <f t="shared" si="164"/>
        <v>ATD776-AP-0036-2 (LP Flare)Fiscal</v>
      </c>
      <c r="X3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79" spans="1:24" ht="12.5" x14ac:dyDescent="0.25">
      <c r="A379" s="10"/>
      <c r="B379" s="19" t="s">
        <v>145</v>
      </c>
      <c r="C379" s="5" t="s">
        <v>151</v>
      </c>
      <c r="D379" s="20" t="s">
        <v>72</v>
      </c>
      <c r="E379" s="35"/>
      <c r="F379" s="29" cm="1">
        <f t="array" ref="F379">IF(V379 &lt;&gt; "", V379, IFERROR(_xlfn.SINGLE(INDEX($G$1:G378,SUMPRODUCT(MAX(($W$1:W378=W379)*(ROW($W$1:W378))))))+IF(D379="Fiscal",30,90),""))</f>
        <v>45822</v>
      </c>
      <c r="G379" s="21">
        <v>45820</v>
      </c>
      <c r="H379" s="15">
        <f t="shared" si="165"/>
        <v>45830</v>
      </c>
      <c r="I379" s="15"/>
      <c r="J379" s="32"/>
      <c r="K379" s="15">
        <f t="shared" si="166"/>
        <v>45840</v>
      </c>
      <c r="L379" s="15"/>
      <c r="M379" s="15">
        <f t="shared" si="167"/>
        <v>45845</v>
      </c>
      <c r="N379" s="13">
        <v>45845</v>
      </c>
      <c r="O379" s="2">
        <f>IFERROR(IF(tblColetas[[#This Row],[Status Coleta]]="Reprovado","Reprovado",IF(ISERROR(SEARCH("Poço",D379)),IF(N379="","Erro",IF(Q379="Reprovado","",WORKDAY(N379,IF(D379="Operacional",10,3),FERIADOS!$A$3:$A$119))),"-")),"-")</f>
        <v>45848</v>
      </c>
      <c r="P379" s="21">
        <v>45847</v>
      </c>
      <c r="Q379" s="7" t="s">
        <v>37</v>
      </c>
      <c r="R379" s="13"/>
      <c r="S379" s="30"/>
      <c r="T379" s="43"/>
      <c r="W379" t="str">
        <f t="shared" si="164"/>
        <v>ATD776-AP-7001 (Flare Assist)Fiscal</v>
      </c>
      <c r="X3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0" spans="1:24" ht="12.5" x14ac:dyDescent="0.25">
      <c r="A380" s="10"/>
      <c r="B380" s="19" t="s">
        <v>31</v>
      </c>
      <c r="C380" s="5" t="s">
        <v>122</v>
      </c>
      <c r="D380" s="20" t="s">
        <v>72</v>
      </c>
      <c r="E380" s="35"/>
      <c r="F380" s="29" cm="1">
        <f t="array" ref="F380">IF(V380 &lt;&gt; "", V380, IFERROR(_xlfn.SINGLE(INDEX($G$1:G379,SUMPRODUCT(MAX(($W$1:W379=W380)*(ROW($W$1:W379))))))+IF(D380="Fiscal",30,90),""))</f>
        <v>45820</v>
      </c>
      <c r="G380" s="21">
        <v>45817</v>
      </c>
      <c r="H380" s="15">
        <f t="shared" si="165"/>
        <v>45827</v>
      </c>
      <c r="I380" s="15"/>
      <c r="J380" s="32"/>
      <c r="K380" s="15">
        <f t="shared" si="166"/>
        <v>45837</v>
      </c>
      <c r="L380" s="15"/>
      <c r="M380" s="15">
        <f t="shared" si="167"/>
        <v>45842</v>
      </c>
      <c r="N380" s="13">
        <v>45842</v>
      </c>
      <c r="O380" s="2">
        <f>IFERROR(IF(tblColetas[[#This Row],[Status Coleta]]="Reprovado","Reprovado",IF(ISERROR(SEARCH("Poço",D380)),IF(N380="","Erro",IF(Q380="Reprovado","",WORKDAY(N380,IF(D380="Operacional",10,3),FERIADOS!$A$3:$A$119))),"-")),"-")</f>
        <v>45847</v>
      </c>
      <c r="P380" s="21">
        <v>45845</v>
      </c>
      <c r="Q380" s="7" t="s">
        <v>37</v>
      </c>
      <c r="R380" s="13"/>
      <c r="S380" s="30"/>
      <c r="T380" s="43"/>
      <c r="W380" t="str">
        <f t="shared" si="164"/>
        <v>CDIT77-FT-6911 (Export gas)Fiscal</v>
      </c>
      <c r="X3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1" spans="1:24" ht="12.5" x14ac:dyDescent="0.25">
      <c r="A381" s="10"/>
      <c r="B381" s="19" t="s">
        <v>31</v>
      </c>
      <c r="C381" s="5" t="s">
        <v>71</v>
      </c>
      <c r="D381" s="20" t="s">
        <v>72</v>
      </c>
      <c r="E381" s="35"/>
      <c r="F381" s="29" cm="1">
        <f t="array" ref="F381">IF(V381 &lt;&gt; "", V381, IFERROR(_xlfn.SINGLE(INDEX($G$1:G380,SUMPRODUCT(MAX(($W$1:W380=W381)*(ROW($W$1:W380))))))+IF(D381="Fiscal",30,90),""))</f>
        <v>45820</v>
      </c>
      <c r="G381" s="21">
        <v>45817</v>
      </c>
      <c r="H381" s="15">
        <f t="shared" si="165"/>
        <v>45827</v>
      </c>
      <c r="I381" s="15"/>
      <c r="J381" s="32"/>
      <c r="K381" s="15">
        <f t="shared" si="166"/>
        <v>45837</v>
      </c>
      <c r="L381" s="15"/>
      <c r="M381" s="15">
        <f t="shared" si="167"/>
        <v>45842</v>
      </c>
      <c r="N381" s="13">
        <v>45842</v>
      </c>
      <c r="O381" s="2">
        <f>IFERROR(IF(tblColetas[[#This Row],[Status Coleta]]="Reprovado","Reprovado",IF(ISERROR(SEARCH("Poço",D381)),IF(N381="","Erro",IF(Q381="Reprovado","",WORKDAY(N381,IF(D381="Operacional",10,3),FERIADOS!$A$3:$A$119))),"-")),"-")</f>
        <v>45847</v>
      </c>
      <c r="P381" s="21">
        <v>45845</v>
      </c>
      <c r="Q381" s="7" t="s">
        <v>37</v>
      </c>
      <c r="R381" s="13"/>
      <c r="S381" s="30"/>
      <c r="T381" s="43"/>
      <c r="W381" t="str">
        <f t="shared" si="164"/>
        <v>CDIT77-FT-0103 (Fuel Gas)Fiscal</v>
      </c>
      <c r="X3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2" spans="1:24" ht="12.5" x14ac:dyDescent="0.25">
      <c r="A382" s="10"/>
      <c r="B382" s="19" t="s">
        <v>31</v>
      </c>
      <c r="C382" s="5" t="s">
        <v>74</v>
      </c>
      <c r="D382" s="20" t="s">
        <v>72</v>
      </c>
      <c r="E382" s="35"/>
      <c r="F382" s="29" cm="1">
        <f t="array" ref="F382">IF(V382 &lt;&gt; "", V382, IFERROR(_xlfn.SINGLE(INDEX($G$1:G381,SUMPRODUCT(MAX(($W$1:W381=W382)*(ROW($W$1:W381))))))+IF(D382="Fiscal",30,90),""))</f>
        <v>45820</v>
      </c>
      <c r="G382" s="21">
        <v>45817</v>
      </c>
      <c r="H382" s="15">
        <f t="shared" si="165"/>
        <v>45827</v>
      </c>
      <c r="I382" s="15"/>
      <c r="J382" s="32"/>
      <c r="K382" s="15">
        <f t="shared" si="166"/>
        <v>45837</v>
      </c>
      <c r="L382" s="15"/>
      <c r="M382" s="15">
        <f t="shared" si="167"/>
        <v>45842</v>
      </c>
      <c r="N382" s="13">
        <v>45842</v>
      </c>
      <c r="O382" s="2">
        <f>IFERROR(IF(tblColetas[[#This Row],[Status Coleta]]="Reprovado","Reprovado",IF(ISERROR(SEARCH("Poço",D382)),IF(N382="","Erro",IF(Q382="Reprovado","",WORKDAY(N382,IF(D382="Operacional",10,3),FERIADOS!$A$3:$A$119))),"-")),"-")</f>
        <v>45847</v>
      </c>
      <c r="P382" s="21">
        <v>45845</v>
      </c>
      <c r="Q382" s="7" t="s">
        <v>37</v>
      </c>
      <c r="R382" s="13"/>
      <c r="S382" s="30"/>
      <c r="T382" s="43"/>
      <c r="W382" t="str">
        <f t="shared" si="164"/>
        <v>CDIT76-FT-0014 (HP Flare)Fiscal</v>
      </c>
      <c r="X3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3" spans="1:24" ht="12.5" x14ac:dyDescent="0.25">
      <c r="A383" s="10"/>
      <c r="B383" s="19" t="s">
        <v>31</v>
      </c>
      <c r="C383" s="5" t="s">
        <v>75</v>
      </c>
      <c r="D383" s="20" t="s">
        <v>72</v>
      </c>
      <c r="E383" s="35"/>
      <c r="F383" s="29" cm="1">
        <f t="array" ref="F383">IF(V383 &lt;&gt; "", V383, IFERROR(_xlfn.SINGLE(INDEX($G$1:G382,SUMPRODUCT(MAX(($W$1:W382=W383)*(ROW($W$1:W382))))))+IF(D383="Fiscal",30,90),""))</f>
        <v>45820</v>
      </c>
      <c r="G383" s="21">
        <v>45817</v>
      </c>
      <c r="H383" s="15">
        <f t="shared" si="165"/>
        <v>45827</v>
      </c>
      <c r="I383" s="15"/>
      <c r="J383" s="32"/>
      <c r="K383" s="15">
        <f t="shared" si="166"/>
        <v>45837</v>
      </c>
      <c r="L383" s="15"/>
      <c r="M383" s="15">
        <f t="shared" si="167"/>
        <v>45842</v>
      </c>
      <c r="N383" s="13">
        <v>45842</v>
      </c>
      <c r="O383" s="2">
        <f>IFERROR(IF(tblColetas[[#This Row],[Status Coleta]]="Reprovado","Reprovado",IF(ISERROR(SEARCH("Poço",D383)),IF(N383="","Erro",IF(Q383="Reprovado","",WORKDAY(N383,IF(D383="Operacional",10,3),FERIADOS!$A$3:$A$119))),"-")),"-")</f>
        <v>45847</v>
      </c>
      <c r="P383" s="21">
        <v>45845</v>
      </c>
      <c r="Q383" s="7" t="s">
        <v>37</v>
      </c>
      <c r="R383" s="13"/>
      <c r="S383" s="30"/>
      <c r="T383" s="43"/>
      <c r="W383" t="str">
        <f t="shared" si="164"/>
        <v>CDIT76-FT-0034 (LP Flare)Fiscal</v>
      </c>
      <c r="X3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4" spans="1:24" ht="12.5" x14ac:dyDescent="0.25">
      <c r="A384" s="10"/>
      <c r="B384" s="19" t="s">
        <v>31</v>
      </c>
      <c r="C384" s="5" t="s">
        <v>69</v>
      </c>
      <c r="D384" s="20" t="s">
        <v>70</v>
      </c>
      <c r="E384" s="35"/>
      <c r="F384" s="29" cm="1">
        <f t="array" ref="F384">IF(V384 &lt;&gt; "", V384, IFERROR(_xlfn.SINGLE(INDEX($G$1:G383,SUMPRODUCT(MAX(($W$1:W383=W384)*(ROW($W$1:W383))))))+IF(D384="Fiscal",30,90),""))</f>
        <v>45880</v>
      </c>
      <c r="G384" s="21">
        <v>45874</v>
      </c>
      <c r="H384" s="15">
        <f t="shared" si="165"/>
        <v>45884</v>
      </c>
      <c r="I384" s="15"/>
      <c r="J384" s="32"/>
      <c r="K384" s="15">
        <f t="shared" si="166"/>
        <v>45894</v>
      </c>
      <c r="L384" s="15"/>
      <c r="M384" s="15">
        <f t="shared" si="167"/>
        <v>45899</v>
      </c>
      <c r="N384" s="13">
        <v>45898</v>
      </c>
      <c r="O384" s="2">
        <f>IFERROR(IF(tblColetas[[#This Row],[Status Coleta]]="Reprovado","Reprovado",IF(ISERROR(SEARCH("Poço",D384)),IF(N384="","Erro",IF(Q384="Reprovado","",WORKDAY(N384,IF(D384="Operacional",10,3),FERIADOS!$A$3:$A$119))),"-")),"-")</f>
        <v>45903</v>
      </c>
      <c r="P384" s="21">
        <v>45902</v>
      </c>
      <c r="Q384" s="7" t="s">
        <v>37</v>
      </c>
      <c r="R384" s="13"/>
      <c r="S384" s="30"/>
      <c r="T384" s="43"/>
      <c r="W384" t="str">
        <f t="shared" si="164"/>
        <v>CDIT73-AP-0001 (Gas Lift)Gas Lift</v>
      </c>
      <c r="X3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5" spans="1:24" ht="12.5" x14ac:dyDescent="0.25">
      <c r="A385" s="10"/>
      <c r="B385" s="19" t="s">
        <v>38</v>
      </c>
      <c r="C385" s="5" t="s">
        <v>96</v>
      </c>
      <c r="D385" s="20" t="s">
        <v>26</v>
      </c>
      <c r="E385" s="35"/>
      <c r="F385" s="29" cm="1">
        <f t="array" ref="F385">IF(V385 &lt;&gt; "", V385, IFERROR(_xlfn.SINGLE(INDEX($G$1:G384,SUMPRODUCT(MAX(($W$1:W384=W385)*(ROW($W$1:W384))))))+IF(D385="Fiscal",30,90),""))</f>
        <v>45881</v>
      </c>
      <c r="G385" s="21">
        <v>45866</v>
      </c>
      <c r="H385" s="15">
        <f t="shared" si="165"/>
        <v>45876</v>
      </c>
      <c r="I385" s="15">
        <v>45869</v>
      </c>
      <c r="J385" s="32" t="s">
        <v>185</v>
      </c>
      <c r="K385" s="15">
        <f t="shared" si="166"/>
        <v>45886</v>
      </c>
      <c r="L385" s="15">
        <v>45875</v>
      </c>
      <c r="M385" s="15">
        <f t="shared" si="167"/>
        <v>45891</v>
      </c>
      <c r="N385" s="13">
        <v>45891</v>
      </c>
      <c r="O385" s="2" t="str">
        <f>IFERROR(IF(tblColetas[[#This Row],[Status Coleta]]="Reprovado","Reprovado",IF(ISERROR(SEARCH("Poço",D385)),IF(N385="","Erro",IF(Q385="Reprovado","",WORKDAY(N385,IF(D385="Operacional",10,3),FERIADOS!$A$3:$A$119))),"-")),"-")</f>
        <v>-</v>
      </c>
      <c r="P385" s="21"/>
      <c r="Q385" s="7" t="s">
        <v>37</v>
      </c>
      <c r="R385" s="13"/>
      <c r="S385" s="30"/>
      <c r="T385" s="43"/>
      <c r="W385" t="str">
        <f t="shared" si="164"/>
        <v>CDPPoço TUP-120 (P-7)Poço CG</v>
      </c>
      <c r="X3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6" spans="1:24" ht="12.5" x14ac:dyDescent="0.25">
      <c r="A386" s="10"/>
      <c r="B386" s="19" t="s">
        <v>38</v>
      </c>
      <c r="C386" s="5" t="s">
        <v>96</v>
      </c>
      <c r="D386" s="20" t="s">
        <v>29</v>
      </c>
      <c r="E386" s="35"/>
      <c r="F386" s="29" cm="1">
        <f t="array" ref="F386">IF(V386 &lt;&gt; "", V386, IFERROR(_xlfn.SINGLE(INDEX($G$1:G385,SUMPRODUCT(MAX(($W$1:W385=W386)*(ROW($W$1:W385))))))+IF(D386="Fiscal",30,90),""))</f>
        <v>45881</v>
      </c>
      <c r="G386" s="21">
        <v>45866</v>
      </c>
      <c r="H386" s="15">
        <f t="shared" si="165"/>
        <v>45876</v>
      </c>
      <c r="I386" s="15">
        <v>45869</v>
      </c>
      <c r="J386" s="32" t="s">
        <v>185</v>
      </c>
      <c r="K386" s="15">
        <f t="shared" si="166"/>
        <v>45886</v>
      </c>
      <c r="L386" s="15">
        <v>45875</v>
      </c>
      <c r="M386" s="15">
        <f t="shared" si="167"/>
        <v>45891</v>
      </c>
      <c r="N386" s="13">
        <v>45891</v>
      </c>
      <c r="O386" s="2" t="str">
        <f>IFERROR(IF(tblColetas[[#This Row],[Status Coleta]]="Reprovado","Reprovado",IF(ISERROR(SEARCH("Poço",D386)),IF(N386="","Erro",IF(Q386="Reprovado","",WORKDAY(N386,IF(D386="Operacional",10,3),FERIADOS!$A$3:$A$119))),"-")),"-")</f>
        <v>Reprovado</v>
      </c>
      <c r="P386" s="21"/>
      <c r="Q386" s="7" t="s">
        <v>81</v>
      </c>
      <c r="R386" s="13"/>
      <c r="S386" s="30" t="s">
        <v>127</v>
      </c>
      <c r="T386" s="43"/>
      <c r="W386" t="str">
        <f t="shared" si="164"/>
        <v>CDPPoço TUP-120 (P-7)Poço PVT</v>
      </c>
      <c r="X3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7" spans="1:24" ht="12.5" x14ac:dyDescent="0.25">
      <c r="A387" s="10"/>
      <c r="B387" s="19" t="s">
        <v>38</v>
      </c>
      <c r="C387" s="5" t="s">
        <v>50</v>
      </c>
      <c r="D387" s="20" t="s">
        <v>29</v>
      </c>
      <c r="E387" s="35"/>
      <c r="F387" s="29" cm="1">
        <f t="array" ref="F387">IF(V387 &lt;&gt; "", V387, IFERROR(_xlfn.SINGLE(INDEX($G$1:G386,SUMPRODUCT(MAX(($W$1:W386=W387)*(ROW($W$1:W386))))))+IF(D387="Fiscal",30,90),""))</f>
        <v>45887</v>
      </c>
      <c r="G387" s="21">
        <v>45874</v>
      </c>
      <c r="H387" s="15">
        <f t="shared" ref="H387:H390" si="168">IF(G387="","Erro", G387+10)</f>
        <v>45884</v>
      </c>
      <c r="I387" s="15">
        <v>45877</v>
      </c>
      <c r="J387" s="32" t="s">
        <v>186</v>
      </c>
      <c r="K387" s="15">
        <f t="shared" ref="K387:K390" si="169">IF(G387="","Erro",G387+20)</f>
        <v>45894</v>
      </c>
      <c r="L387" s="15">
        <v>45889</v>
      </c>
      <c r="M387" s="15">
        <f t="shared" ref="M387:M390" si="170">IF(G387="","Erro",G387+IF(D387="Operacional",45,25))</f>
        <v>45899</v>
      </c>
      <c r="N387" s="13">
        <v>45898</v>
      </c>
      <c r="O387" s="2" t="str">
        <f>IFERROR(IF(tblColetas[[#This Row],[Status Coleta]]="Reprovado","Reprovado",IF(ISERROR(SEARCH("Poço",D387)),IF(N387="","Erro",IF(Q387="Reprovado","",WORKDAY(N387,IF(D387="Operacional",10,3),FERIADOS!$A$3:$A$119))),"-")),"-")</f>
        <v>-</v>
      </c>
      <c r="P387" s="21"/>
      <c r="Q387" s="7" t="s">
        <v>37</v>
      </c>
      <c r="R387" s="13"/>
      <c r="S387" s="30"/>
      <c r="T387" s="43"/>
      <c r="W387" t="str">
        <f t="shared" si="164"/>
        <v>CDPPoço LL-28 (P-1)Poço PVT</v>
      </c>
      <c r="X3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8" spans="1:24" ht="12.5" x14ac:dyDescent="0.25">
      <c r="A388" s="10"/>
      <c r="B388" s="19" t="s">
        <v>38</v>
      </c>
      <c r="C388" s="5" t="s">
        <v>50</v>
      </c>
      <c r="D388" s="20" t="s">
        <v>26</v>
      </c>
      <c r="E388" s="35"/>
      <c r="F388" s="29" cm="1">
        <f t="array" ref="F388">IF(V388 &lt;&gt; "", V388, IFERROR(_xlfn.SINGLE(INDEX($G$1:G387,SUMPRODUCT(MAX(($W$1:W387=W388)*(ROW($W$1:W387))))))+IF(D388="Fiscal",30,90),""))</f>
        <v>45887</v>
      </c>
      <c r="G388" s="21">
        <v>45874</v>
      </c>
      <c r="H388" s="15">
        <f t="shared" si="168"/>
        <v>45884</v>
      </c>
      <c r="I388" s="15">
        <v>45877</v>
      </c>
      <c r="J388" s="32" t="s">
        <v>186</v>
      </c>
      <c r="K388" s="15">
        <f t="shared" si="169"/>
        <v>45894</v>
      </c>
      <c r="L388" s="15">
        <v>45889</v>
      </c>
      <c r="M388" s="15">
        <f t="shared" si="170"/>
        <v>45899</v>
      </c>
      <c r="N388" s="13">
        <v>45898</v>
      </c>
      <c r="O388" s="2" t="str">
        <f>IFERROR(IF(tblColetas[[#This Row],[Status Coleta]]="Reprovado","Reprovado",IF(ISERROR(SEARCH("Poço",D388)),IF(N388="","Erro",IF(Q388="Reprovado","",WORKDAY(N388,IF(D388="Operacional",10,3),FERIADOS!$A$3:$A$119))),"-")),"-")</f>
        <v>-</v>
      </c>
      <c r="P388" s="21"/>
      <c r="Q388" s="7" t="s">
        <v>37</v>
      </c>
      <c r="R388" s="13"/>
      <c r="S388" s="30"/>
      <c r="T388" s="43"/>
      <c r="W388" t="str">
        <f t="shared" si="164"/>
        <v>CDPPoço LL-28 (P-1)Poço CG</v>
      </c>
      <c r="X3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89" spans="1:24" ht="12.5" x14ac:dyDescent="0.25">
      <c r="A389" s="10"/>
      <c r="B389" s="19" t="s">
        <v>24</v>
      </c>
      <c r="C389" s="5" t="s">
        <v>76</v>
      </c>
      <c r="D389" s="20" t="s">
        <v>72</v>
      </c>
      <c r="E389" s="35"/>
      <c r="F389" s="29" cm="1">
        <f t="array" ref="F389">IF(V389 &lt;&gt; "", V389, IFERROR(_xlfn.SINGLE(INDEX($G$1:G388,SUMPRODUCT(MAX(($W$1:W388=W389)*(ROW($W$1:W388))))))+IF(D389="Fiscal",30,90),""))</f>
        <v>45828</v>
      </c>
      <c r="G389" s="21">
        <v>45825</v>
      </c>
      <c r="H389" s="15">
        <f t="shared" si="168"/>
        <v>45835</v>
      </c>
      <c r="I389" s="15">
        <v>45831</v>
      </c>
      <c r="J389" s="32" t="s">
        <v>187</v>
      </c>
      <c r="K389" s="15">
        <f t="shared" si="169"/>
        <v>45845</v>
      </c>
      <c r="L389" s="15">
        <v>45845</v>
      </c>
      <c r="M389" s="15">
        <f t="shared" si="170"/>
        <v>45850</v>
      </c>
      <c r="N389" s="13">
        <v>45849</v>
      </c>
      <c r="O389" s="2" t="str">
        <f>IFERROR(IF(tblColetas[[#This Row],[Status Coleta]]="Reprovado","Reprovado",IF(ISERROR(SEARCH("Poço",D389)),IF(N389="","Erro",IF(Q389="Reprovado","",WORKDAY(N389,IF(D389="Operacional",10,3),FERIADOS!$A$3:$A$119))),"-")),"-")</f>
        <v>Reprovado</v>
      </c>
      <c r="P389" s="21"/>
      <c r="Q389" s="7" t="s">
        <v>81</v>
      </c>
      <c r="R389" s="13"/>
      <c r="S389" s="33" t="s">
        <v>162</v>
      </c>
      <c r="T389" s="43"/>
      <c r="W389" t="str">
        <f t="shared" si="164"/>
        <v>CDAM74-FT-005 (Export gas)Fiscal</v>
      </c>
      <c r="X3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0" spans="1:24" ht="12.5" x14ac:dyDescent="0.25">
      <c r="A390" s="10"/>
      <c r="B390" s="19" t="s">
        <v>24</v>
      </c>
      <c r="C390" s="5" t="s">
        <v>78</v>
      </c>
      <c r="D390" s="20" t="s">
        <v>72</v>
      </c>
      <c r="E390" s="35"/>
      <c r="F390" s="29" cm="1">
        <f t="array" ref="F390">IF(V390 &lt;&gt; "", V390, IFERROR(_xlfn.SINGLE(INDEX($G$1:G389,SUMPRODUCT(MAX(($W$1:W389=W390)*(ROW($W$1:W389))))))+IF(D390="Fiscal",30,90),""))</f>
        <v>45828</v>
      </c>
      <c r="G390" s="21">
        <v>45825</v>
      </c>
      <c r="H390" s="15">
        <f t="shared" si="168"/>
        <v>45835</v>
      </c>
      <c r="I390" s="15">
        <v>45831</v>
      </c>
      <c r="J390" s="32" t="s">
        <v>187</v>
      </c>
      <c r="K390" s="15">
        <f t="shared" si="169"/>
        <v>45845</v>
      </c>
      <c r="L390" s="15">
        <v>45845</v>
      </c>
      <c r="M390" s="15">
        <f t="shared" si="170"/>
        <v>45850</v>
      </c>
      <c r="N390" s="13">
        <v>45849</v>
      </c>
      <c r="O390" s="2">
        <f>IFERROR(IF(tblColetas[[#This Row],[Status Coleta]]="Reprovado","Reprovado",IF(ISERROR(SEARCH("Poço",D390)),IF(N390="","Erro",IF(Q390="Reprovado","",WORKDAY(N390,IF(D390="Operacional",10,3),FERIADOS!$A$3:$A$119))),"-")),"-")</f>
        <v>45854</v>
      </c>
      <c r="P390" s="21">
        <v>45853</v>
      </c>
      <c r="Q390" s="7" t="s">
        <v>37</v>
      </c>
      <c r="R390" s="13"/>
      <c r="S390" s="30"/>
      <c r="T390" s="43"/>
      <c r="W390" t="str">
        <f t="shared" si="164"/>
        <v>CDAT77-FT-001 (Fuel Gas)Fiscal</v>
      </c>
      <c r="X3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1" spans="1:24" ht="12.5" x14ac:dyDescent="0.25">
      <c r="A391" s="10"/>
      <c r="B391" s="19" t="s">
        <v>38</v>
      </c>
      <c r="C391" s="5" t="s">
        <v>39</v>
      </c>
      <c r="D391" s="20" t="s">
        <v>26</v>
      </c>
      <c r="E391" s="35"/>
      <c r="F391" s="29" cm="1">
        <f t="array" ref="F391">IF(V391 &lt;&gt; "", V391, IFERROR(_xlfn.SINGLE(INDEX($G$1:G390,SUMPRODUCT(MAX(($W$1:W390=W391)*(ROW($W$1:W390))))))+IF(D391="Fiscal",30,90),""))</f>
        <v>45889</v>
      </c>
      <c r="G391" s="21">
        <v>45879</v>
      </c>
      <c r="H391" s="15">
        <f t="shared" ref="H391:H396" si="171">IF(G391="","Erro", G391+10)</f>
        <v>45889</v>
      </c>
      <c r="I391" s="15">
        <v>45886</v>
      </c>
      <c r="J391" s="32" t="s">
        <v>128</v>
      </c>
      <c r="K391" s="15">
        <f t="shared" ref="K391:K396" si="172">IF(G391="","Erro",G391+20)</f>
        <v>45899</v>
      </c>
      <c r="L391" s="15">
        <v>45897</v>
      </c>
      <c r="M391" s="15">
        <f t="shared" ref="M391:M396" si="173">IF(G391="","Erro",G391+IF(D391="Operacional",45,25))</f>
        <v>45904</v>
      </c>
      <c r="N391" s="13">
        <v>45904</v>
      </c>
      <c r="O391" s="2" t="str">
        <f>IFERROR(IF(tblColetas[[#This Row],[Status Coleta]]="Reprovado","Reprovado",IF(ISERROR(SEARCH("Poço",D391)),IF(N391="","Erro",IF(Q391="Reprovado","",WORKDAY(N391,IF(D391="Operacional",10,3),FERIADOS!$A$3:$A$119))),"-")),"-")</f>
        <v>-</v>
      </c>
      <c r="P391" s="21"/>
      <c r="Q391" s="7"/>
      <c r="R391" s="13"/>
      <c r="S391" s="30"/>
      <c r="T391" s="43"/>
      <c r="W391" t="str">
        <f t="shared" si="164"/>
        <v>CDPPoço LL-119 (P-02)Poço CG</v>
      </c>
      <c r="X3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2" spans="1:24" ht="12.5" x14ac:dyDescent="0.25">
      <c r="A392" s="10"/>
      <c r="B392" s="19" t="s">
        <v>38</v>
      </c>
      <c r="C392" s="5" t="s">
        <v>39</v>
      </c>
      <c r="D392" s="20" t="s">
        <v>29</v>
      </c>
      <c r="E392" s="35"/>
      <c r="F392" s="29" cm="1">
        <f t="array" ref="F392">IF(V392 &lt;&gt; "", V392, IFERROR(_xlfn.SINGLE(INDEX($G$1:G391,SUMPRODUCT(MAX(($W$1:W391=W392)*(ROW($W$1:W391))))))+IF(D392="Fiscal",30,90),""))</f>
        <v>45889</v>
      </c>
      <c r="G392" s="21">
        <v>45879</v>
      </c>
      <c r="H392" s="15">
        <f t="shared" si="171"/>
        <v>45889</v>
      </c>
      <c r="I392" s="15">
        <v>45886</v>
      </c>
      <c r="J392" s="32" t="s">
        <v>128</v>
      </c>
      <c r="K392" s="15">
        <f t="shared" si="172"/>
        <v>45899</v>
      </c>
      <c r="L392" s="15">
        <v>45897</v>
      </c>
      <c r="M392" s="15">
        <f t="shared" si="173"/>
        <v>45904</v>
      </c>
      <c r="N392" s="13">
        <v>45904</v>
      </c>
      <c r="O392" s="2" t="str">
        <f>IFERROR(IF(tblColetas[[#This Row],[Status Coleta]]="Reprovado","Reprovado",IF(ISERROR(SEARCH("Poço",D392)),IF(N392="","Erro",IF(Q392="Reprovado","",WORKDAY(N392,IF(D392="Operacional",10,3),FERIADOS!$A$3:$A$119))),"-")),"-")</f>
        <v>-</v>
      </c>
      <c r="P392" s="21"/>
      <c r="Q392" s="7"/>
      <c r="R392" s="13"/>
      <c r="S392" s="30"/>
      <c r="T392" s="43"/>
      <c r="W392" t="str">
        <f t="shared" si="164"/>
        <v>CDPPoço LL-119 (P-02)Poço PVT</v>
      </c>
      <c r="X3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3" spans="1:24" ht="12.5" x14ac:dyDescent="0.25">
      <c r="A393" s="10"/>
      <c r="B393" s="19" t="s">
        <v>46</v>
      </c>
      <c r="C393" s="5" t="s">
        <v>55</v>
      </c>
      <c r="D393" s="20" t="s">
        <v>26</v>
      </c>
      <c r="E393" s="35"/>
      <c r="F393" s="29" cm="1">
        <f t="array" ref="F393">IF(V393 &lt;&gt; "", V393, IFERROR(_xlfn.SINGLE(INDEX($G$1:G392,SUMPRODUCT(MAX(($W$1:W392=W393)*(ROW($W$1:W392))))))+IF(D393="Fiscal",30,90),""))</f>
        <v>45889</v>
      </c>
      <c r="G393" s="21">
        <v>45855</v>
      </c>
      <c r="H393" s="15">
        <f t="shared" si="171"/>
        <v>45865</v>
      </c>
      <c r="I393" s="15">
        <v>45870</v>
      </c>
      <c r="J393" s="32" t="s">
        <v>181</v>
      </c>
      <c r="K393" s="15">
        <f t="shared" si="172"/>
        <v>45875</v>
      </c>
      <c r="L393" s="15">
        <v>45875</v>
      </c>
      <c r="M393" s="15">
        <f t="shared" si="173"/>
        <v>45880</v>
      </c>
      <c r="N393" s="13">
        <v>45880</v>
      </c>
      <c r="O393" s="2" t="str">
        <f>IFERROR(IF(tblColetas[[#This Row],[Status Coleta]]="Reprovado","Reprovado",IF(ISERROR(SEARCH("Poço",D393)),IF(N393="","Erro",IF(Q393="Reprovado","",WORKDAY(N393,IF(D393="Operacional",10,3),FERIADOS!$A$3:$A$119))),"-")),"-")</f>
        <v>-</v>
      </c>
      <c r="P393" s="21"/>
      <c r="Q393" s="7" t="s">
        <v>37</v>
      </c>
      <c r="R393" s="13"/>
      <c r="S393" s="30"/>
      <c r="T393" s="43"/>
      <c r="W393" t="str">
        <f t="shared" si="164"/>
        <v>CDMPoço TUP-128 (P-06)Poço CG</v>
      </c>
      <c r="X3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4" spans="1:24" ht="12.5" x14ac:dyDescent="0.25">
      <c r="A394" s="10"/>
      <c r="B394" s="19" t="s">
        <v>46</v>
      </c>
      <c r="C394" s="5" t="s">
        <v>55</v>
      </c>
      <c r="D394" s="20" t="s">
        <v>29</v>
      </c>
      <c r="E394" s="35"/>
      <c r="F394" s="29" cm="1">
        <f t="array" ref="F394">IF(V394 &lt;&gt; "", V394, IFERROR(_xlfn.SINGLE(INDEX($G$1:G393,SUMPRODUCT(MAX(($W$1:W393=W394)*(ROW($W$1:W393))))))+IF(D394="Fiscal",30,90),""))</f>
        <v>45889</v>
      </c>
      <c r="G394" s="21">
        <v>45855</v>
      </c>
      <c r="H394" s="15">
        <f t="shared" si="171"/>
        <v>45865</v>
      </c>
      <c r="I394" s="15">
        <v>45870</v>
      </c>
      <c r="J394" s="32" t="s">
        <v>181</v>
      </c>
      <c r="K394" s="15">
        <f t="shared" si="172"/>
        <v>45875</v>
      </c>
      <c r="L394" s="15">
        <v>45875</v>
      </c>
      <c r="M394" s="15">
        <f t="shared" si="173"/>
        <v>45880</v>
      </c>
      <c r="N394" s="13">
        <v>45880</v>
      </c>
      <c r="O394" s="2" t="str">
        <f>IFERROR(IF(tblColetas[[#This Row],[Status Coleta]]="Reprovado","Reprovado",IF(ISERROR(SEARCH("Poço",D394)),IF(N394="","Erro",IF(Q394="Reprovado","",WORKDAY(N394,IF(D394="Operacional",10,3),FERIADOS!$A$3:$A$119))),"-")),"-")</f>
        <v>-</v>
      </c>
      <c r="P394" s="21"/>
      <c r="Q394" s="7" t="s">
        <v>37</v>
      </c>
      <c r="R394" s="13"/>
      <c r="S394" s="30"/>
      <c r="T394" s="43"/>
      <c r="W394" t="str">
        <f t="shared" si="164"/>
        <v>CDMPoço TUP-128 (P-06)Poço PVT</v>
      </c>
      <c r="X3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5" spans="1:24" ht="12.5" x14ac:dyDescent="0.25">
      <c r="A395" s="10"/>
      <c r="B395" s="19" t="s">
        <v>34</v>
      </c>
      <c r="C395" s="5" t="s">
        <v>91</v>
      </c>
      <c r="D395" s="20" t="s">
        <v>26</v>
      </c>
      <c r="E395" s="35"/>
      <c r="F395" s="29" cm="1">
        <f t="array" ref="F395">IF(V395 &lt;&gt; "", V395, IFERROR(_xlfn.SINGLE(INDEX($G$1:G394,SUMPRODUCT(MAX(($W$1:W394=W395)*(ROW($W$1:W394))))))+IF(D395="Fiscal",30,90),""))</f>
        <v>45891</v>
      </c>
      <c r="G395" s="21">
        <v>45881</v>
      </c>
      <c r="H395" s="15">
        <f t="shared" si="171"/>
        <v>45891</v>
      </c>
      <c r="I395" s="15">
        <v>45889</v>
      </c>
      <c r="J395" s="32" t="s">
        <v>188</v>
      </c>
      <c r="K395" s="15">
        <f t="shared" si="172"/>
        <v>45901</v>
      </c>
      <c r="L395" s="15">
        <v>45894</v>
      </c>
      <c r="M395" s="15">
        <f t="shared" si="173"/>
        <v>45906</v>
      </c>
      <c r="N395" s="13">
        <v>45905</v>
      </c>
      <c r="O395" s="2" t="str">
        <f>IFERROR(IF(tblColetas[[#This Row],[Status Coleta]]="Reprovado","Reprovado",IF(ISERROR(SEARCH("Poço",D395)),IF(N395="","Erro",IF(Q395="Reprovado","",WORKDAY(N395,IF(D395="Operacional",10,3),FERIADOS!$A$3:$A$119))),"-")),"-")</f>
        <v>-</v>
      </c>
      <c r="P395" s="21"/>
      <c r="Q395" s="7" t="s">
        <v>37</v>
      </c>
      <c r="R395" s="13"/>
      <c r="S395" s="30"/>
      <c r="T395" s="43"/>
      <c r="W395" t="str">
        <f t="shared" si="164"/>
        <v>CDSPoço LL-80 (P-08)Poço CG</v>
      </c>
      <c r="X3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6" spans="1:24" ht="12.5" x14ac:dyDescent="0.25">
      <c r="A396" s="10"/>
      <c r="B396" s="19" t="s">
        <v>34</v>
      </c>
      <c r="C396" s="5" t="s">
        <v>91</v>
      </c>
      <c r="D396" s="20" t="s">
        <v>29</v>
      </c>
      <c r="E396" s="35"/>
      <c r="F396" s="29" cm="1">
        <f t="array" ref="F396">IF(V396 &lt;&gt; "", V396, IFERROR(_xlfn.SINGLE(INDEX($G$1:G395,SUMPRODUCT(MAX(($W$1:W395=W396)*(ROW($W$1:W395))))))+IF(D396="Fiscal",30,90),""))</f>
        <v>45891</v>
      </c>
      <c r="G396" s="21">
        <v>45881</v>
      </c>
      <c r="H396" s="15">
        <f t="shared" si="171"/>
        <v>45891</v>
      </c>
      <c r="I396" s="15">
        <v>45889</v>
      </c>
      <c r="J396" s="32" t="s">
        <v>188</v>
      </c>
      <c r="K396" s="15">
        <f t="shared" si="172"/>
        <v>45901</v>
      </c>
      <c r="L396" s="15">
        <v>45894</v>
      </c>
      <c r="M396" s="15">
        <f t="shared" si="173"/>
        <v>45906</v>
      </c>
      <c r="N396" s="13">
        <v>45905</v>
      </c>
      <c r="O396" s="2" t="str">
        <f>IFERROR(IF(tblColetas[[#This Row],[Status Coleta]]="Reprovado","Reprovado",IF(ISERROR(SEARCH("Poço",D396)),IF(N396="","Erro",IF(Q396="Reprovado","",WORKDAY(N396,IF(D396="Operacional",10,3),FERIADOS!$A$3:$A$119))),"-")),"-")</f>
        <v>-</v>
      </c>
      <c r="P396" s="21"/>
      <c r="Q396" s="7" t="s">
        <v>37</v>
      </c>
      <c r="R396" s="13"/>
      <c r="S396" s="30"/>
      <c r="T396" s="43"/>
      <c r="W396" t="str">
        <f t="shared" si="164"/>
        <v>CDSPoço LL-80 (P-08)Poço PVT</v>
      </c>
      <c r="X3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7" spans="1:24" ht="12.5" x14ac:dyDescent="0.25">
      <c r="A397" s="10"/>
      <c r="B397" s="17" t="s">
        <v>145</v>
      </c>
      <c r="C397" s="6" t="s">
        <v>189</v>
      </c>
      <c r="D397" s="18" t="s">
        <v>26</v>
      </c>
      <c r="E397" s="35"/>
      <c r="F397" s="25" t="str" cm="1">
        <f t="array" ref="F397">IF(V397 &lt;&gt; "", V397, IFERROR(_xlfn.SINGLE(INDEX($G$1:G396,SUMPRODUCT(MAX(($W$1:W396=W397)*(ROW($W$1:W396))))))+IF(D397="Fiscal",30,90),""))</f>
        <v/>
      </c>
      <c r="G397" s="16">
        <v>45798</v>
      </c>
      <c r="H397" s="15">
        <f t="shared" ref="H397:H402" si="174">IF(G397="","Erro", G397+10)</f>
        <v>45808</v>
      </c>
      <c r="I397" s="15">
        <v>45808</v>
      </c>
      <c r="J397" s="32" t="s">
        <v>64</v>
      </c>
      <c r="K397" s="15">
        <f t="shared" ref="K397:K402" si="175">IF(G397="","Erro",G397+20)</f>
        <v>45818</v>
      </c>
      <c r="L397" s="15">
        <v>45819</v>
      </c>
      <c r="M397" s="14">
        <f t="shared" ref="M397:M402" si="176">IF(G397="","Erro",G397+IF(D397="Operacional",45,25))</f>
        <v>45823</v>
      </c>
      <c r="N397" s="12">
        <v>45821</v>
      </c>
      <c r="O397" s="1" t="str">
        <f>IFERROR(IF(tblColetas[[#This Row],[Status Coleta]]="Reprovado","Reprovado",IF(ISERROR(SEARCH("Poço",D397)),IF(N397="","Erro",IF(Q397="Reprovado","",WORKDAY(N397,IF(D397="Operacional",10,3),FERIADOS!$A$3:$A$119))),"-")),"-")</f>
        <v>-</v>
      </c>
      <c r="P397" s="16"/>
      <c r="Q397" s="7" t="s">
        <v>37</v>
      </c>
      <c r="R397" s="12"/>
      <c r="S397" s="27"/>
      <c r="T397" s="42"/>
      <c r="W397" t="str">
        <f t="shared" si="164"/>
        <v>ATDPoço 7-BUZ-70D-RJS (P-1)Poço CG</v>
      </c>
      <c r="X3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8" spans="1:24" ht="12.5" x14ac:dyDescent="0.25">
      <c r="A398" s="10"/>
      <c r="B398" s="17" t="s">
        <v>145</v>
      </c>
      <c r="C398" s="6" t="s">
        <v>189</v>
      </c>
      <c r="D398" s="18" t="s">
        <v>29</v>
      </c>
      <c r="E398" s="35"/>
      <c r="F398" s="25" t="str" cm="1">
        <f t="array" ref="F398">IF(V398 &lt;&gt; "", V398, IFERROR(_xlfn.SINGLE(INDEX($G$1:G397,SUMPRODUCT(MAX(($W$1:W397=W398)*(ROW($W$1:W397))))))+IF(D398="Fiscal",30,90),""))</f>
        <v/>
      </c>
      <c r="G398" s="16">
        <v>45798</v>
      </c>
      <c r="H398" s="15">
        <f t="shared" si="174"/>
        <v>45808</v>
      </c>
      <c r="I398" s="15">
        <v>45808</v>
      </c>
      <c r="J398" s="32" t="s">
        <v>64</v>
      </c>
      <c r="K398" s="15">
        <f t="shared" si="175"/>
        <v>45818</v>
      </c>
      <c r="L398" s="15">
        <v>45819</v>
      </c>
      <c r="M398" s="14">
        <f t="shared" si="176"/>
        <v>45823</v>
      </c>
      <c r="N398" s="12">
        <v>45821</v>
      </c>
      <c r="O398" s="1" t="str">
        <f>IFERROR(IF(tblColetas[[#This Row],[Status Coleta]]="Reprovado","Reprovado",IF(ISERROR(SEARCH("Poço",D398)),IF(N398="","Erro",IF(Q398="Reprovado","",WORKDAY(N398,IF(D398="Operacional",10,3),FERIADOS!$A$3:$A$119))),"-")),"-")</f>
        <v>-</v>
      </c>
      <c r="P398" s="16"/>
      <c r="Q398" s="7" t="s">
        <v>37</v>
      </c>
      <c r="R398" s="12"/>
      <c r="S398" s="27"/>
      <c r="T398" s="42"/>
      <c r="W398" t="str">
        <f t="shared" si="164"/>
        <v>ATDPoço 7-BUZ-70D-RJS (P-1)Poço PVT</v>
      </c>
      <c r="X3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399" spans="1:24" ht="12.5" x14ac:dyDescent="0.25">
      <c r="A399" s="10"/>
      <c r="B399" s="19" t="s">
        <v>145</v>
      </c>
      <c r="C399" s="5" t="s">
        <v>189</v>
      </c>
      <c r="D399" s="20" t="s">
        <v>26</v>
      </c>
      <c r="E399" s="35"/>
      <c r="F399" s="29" cm="1">
        <f t="array" ref="F399">IF(V399 &lt;&gt; "", V399, IFERROR(_xlfn.SINGLE(INDEX($G$1:G398,SUMPRODUCT(MAX(($W$1:W398=W399)*(ROW($W$1:W398))))))+IF(D399="Fiscal",30,90),""))</f>
        <v>45888</v>
      </c>
      <c r="G399" s="21">
        <v>45881</v>
      </c>
      <c r="H399" s="15">
        <f t="shared" si="174"/>
        <v>45891</v>
      </c>
      <c r="I399" s="15">
        <v>45889</v>
      </c>
      <c r="J399" s="32" t="s">
        <v>185</v>
      </c>
      <c r="K399" s="15">
        <f t="shared" si="175"/>
        <v>45901</v>
      </c>
      <c r="L399" s="15">
        <v>45894</v>
      </c>
      <c r="M399" s="15">
        <f t="shared" si="176"/>
        <v>45906</v>
      </c>
      <c r="N399" s="13">
        <v>45905</v>
      </c>
      <c r="O399" s="2" t="str">
        <f>IFERROR(IF(tblColetas[[#This Row],[Status Coleta]]="Reprovado","Reprovado",IF(ISERROR(SEARCH("Poço",D399)),IF(N399="","Erro",IF(Q399="Reprovado","",WORKDAY(N399,IF(D399="Operacional",10,3),FERIADOS!$A$3:$A$119))),"-")),"-")</f>
        <v>-</v>
      </c>
      <c r="P399" s="21"/>
      <c r="Q399" s="7" t="s">
        <v>37</v>
      </c>
      <c r="R399" s="13"/>
      <c r="S399" s="30"/>
      <c r="T399" s="43"/>
      <c r="W399" t="str">
        <f t="shared" si="164"/>
        <v>ATDPoço 7-BUZ-70D-RJS (P-1)Poço CG</v>
      </c>
      <c r="X3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0" spans="1:24" ht="12.5" x14ac:dyDescent="0.25">
      <c r="A400" s="10"/>
      <c r="B400" s="19" t="s">
        <v>145</v>
      </c>
      <c r="C400" s="5" t="s">
        <v>189</v>
      </c>
      <c r="D400" s="20" t="s">
        <v>29</v>
      </c>
      <c r="E400" s="35"/>
      <c r="F400" s="29" cm="1">
        <f t="array" ref="F400">IF(V400 &lt;&gt; "", V400, IFERROR(_xlfn.SINGLE(INDEX($G$1:G399,SUMPRODUCT(MAX(($W$1:W399=W400)*(ROW($W$1:W399))))))+IF(D400="Fiscal",30,90),""))</f>
        <v>45888</v>
      </c>
      <c r="G400" s="21">
        <v>45881</v>
      </c>
      <c r="H400" s="15">
        <f t="shared" si="174"/>
        <v>45891</v>
      </c>
      <c r="I400" s="15">
        <v>45889</v>
      </c>
      <c r="J400" s="32" t="s">
        <v>185</v>
      </c>
      <c r="K400" s="15">
        <f t="shared" si="175"/>
        <v>45901</v>
      </c>
      <c r="L400" s="15">
        <v>45894</v>
      </c>
      <c r="M400" s="15">
        <f t="shared" si="176"/>
        <v>45906</v>
      </c>
      <c r="N400" s="13">
        <v>45905</v>
      </c>
      <c r="O400" s="2" t="str">
        <f>IFERROR(IF(tblColetas[[#This Row],[Status Coleta]]="Reprovado","Reprovado",IF(ISERROR(SEARCH("Poço",D400)),IF(N400="","Erro",IF(Q400="Reprovado","",WORKDAY(N400,IF(D400="Operacional",10,3),FERIADOS!$A$3:$A$119))),"-")),"-")</f>
        <v>-</v>
      </c>
      <c r="P400" s="21"/>
      <c r="Q400" s="7" t="s">
        <v>37</v>
      </c>
      <c r="R400" s="13"/>
      <c r="S400" s="30"/>
      <c r="T400" s="43"/>
      <c r="W400" t="str">
        <f t="shared" si="164"/>
        <v>ATDPoço 7-BUZ-70D-RJS (P-1)Poço PVT</v>
      </c>
      <c r="X4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1" spans="1:24" ht="12.5" x14ac:dyDescent="0.25">
      <c r="A401" s="10"/>
      <c r="B401" s="19" t="s">
        <v>24</v>
      </c>
      <c r="C401" s="5" t="s">
        <v>102</v>
      </c>
      <c r="D401" s="20" t="s">
        <v>26</v>
      </c>
      <c r="E401" s="35"/>
      <c r="F401" s="29" cm="1">
        <f t="array" ref="F401">IF(V401 &lt;&gt; "", V401, IFERROR(_xlfn.SINGLE(INDEX($G$1:G400,SUMPRODUCT(MAX(($W$1:W400=W401)*(ROW($W$1:W400))))))+IF(D401="Fiscal",30,90),""))</f>
        <v>45894</v>
      </c>
      <c r="G401" s="21">
        <v>45850</v>
      </c>
      <c r="H401" s="15">
        <f t="shared" si="174"/>
        <v>45860</v>
      </c>
      <c r="I401" s="15">
        <v>45854</v>
      </c>
      <c r="J401" s="32" t="s">
        <v>141</v>
      </c>
      <c r="K401" s="15">
        <f t="shared" si="175"/>
        <v>45870</v>
      </c>
      <c r="L401" s="15">
        <v>45862</v>
      </c>
      <c r="M401" s="15">
        <f t="shared" si="176"/>
        <v>45875</v>
      </c>
      <c r="N401" s="13">
        <v>45875</v>
      </c>
      <c r="O401" s="2" t="str">
        <f>IFERROR(IF(tblColetas[[#This Row],[Status Coleta]]="Reprovado","Reprovado",IF(ISERROR(SEARCH("Poço",D401)),IF(N401="","Erro",IF(Q401="Reprovado","",WORKDAY(N401,IF(D401="Operacional",10,3),FERIADOS!$A$3:$A$119))),"-")),"-")</f>
        <v>-</v>
      </c>
      <c r="P401" s="21"/>
      <c r="Q401" s="7" t="s">
        <v>37</v>
      </c>
      <c r="R401" s="13"/>
      <c r="S401" s="30"/>
      <c r="T401" s="43"/>
      <c r="W401" t="str">
        <f t="shared" si="164"/>
        <v>CDAPoço BAZ-09Poço CG</v>
      </c>
      <c r="X4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2" spans="1:24" ht="12.5" x14ac:dyDescent="0.25">
      <c r="A402" s="10"/>
      <c r="B402" s="19" t="s">
        <v>24</v>
      </c>
      <c r="C402" s="5" t="s">
        <v>102</v>
      </c>
      <c r="D402" s="20" t="s">
        <v>29</v>
      </c>
      <c r="E402" s="35"/>
      <c r="F402" s="29" cm="1">
        <f t="array" ref="F402">IF(V402 &lt;&gt; "", V402, IFERROR(_xlfn.SINGLE(INDEX($G$1:G401,SUMPRODUCT(MAX(($W$1:W401=W402)*(ROW($W$1:W401))))))+IF(D402="Fiscal",30,90),""))</f>
        <v>45894</v>
      </c>
      <c r="G402" s="21">
        <v>45850</v>
      </c>
      <c r="H402" s="15">
        <f t="shared" si="174"/>
        <v>45860</v>
      </c>
      <c r="I402" s="15">
        <v>45854</v>
      </c>
      <c r="J402" s="32" t="s">
        <v>141</v>
      </c>
      <c r="K402" s="15">
        <f t="shared" si="175"/>
        <v>45870</v>
      </c>
      <c r="L402" s="15">
        <v>45862</v>
      </c>
      <c r="M402" s="15">
        <f t="shared" si="176"/>
        <v>45875</v>
      </c>
      <c r="N402" s="13">
        <v>45875</v>
      </c>
      <c r="O402" s="2" t="str">
        <f>IFERROR(IF(tblColetas[[#This Row],[Status Coleta]]="Reprovado","Reprovado",IF(ISERROR(SEARCH("Poço",D402)),IF(N402="","Erro",IF(Q402="Reprovado","",WORKDAY(N402,IF(D402="Operacional",10,3),FERIADOS!$A$3:$A$119))),"-")),"-")</f>
        <v>Reprovado</v>
      </c>
      <c r="P402" s="21"/>
      <c r="Q402" s="7" t="s">
        <v>81</v>
      </c>
      <c r="R402" s="13"/>
      <c r="S402" s="33" t="s">
        <v>190</v>
      </c>
      <c r="T402" s="43"/>
      <c r="W402" t="str">
        <f t="shared" si="164"/>
        <v>CDAPoço BAZ-09Poço PVT</v>
      </c>
      <c r="X4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3" spans="1:24" ht="12.5" x14ac:dyDescent="0.25">
      <c r="A403" s="10"/>
      <c r="B403" s="19" t="s">
        <v>52</v>
      </c>
      <c r="C403" s="5" t="s">
        <v>112</v>
      </c>
      <c r="D403" s="20" t="s">
        <v>72</v>
      </c>
      <c r="E403" s="35"/>
      <c r="F403" s="29" cm="1">
        <f t="array" ref="F403">IF(V403 &lt;&gt; "", V403, IFERROR(_xlfn.SINGLE(INDEX($G$1:G402,SUMPRODUCT(MAX(($W$1:W402=W403)*(ROW($W$1:W402))))))+IF(D403="Fiscal",30,90),""))</f>
        <v>45835</v>
      </c>
      <c r="G403" s="21">
        <v>45833</v>
      </c>
      <c r="H403" s="15">
        <f t="shared" ref="H403:H408" si="177">IF(G403="","Erro", G403+10)</f>
        <v>45843</v>
      </c>
      <c r="I403" s="15"/>
      <c r="J403" s="32"/>
      <c r="K403" s="15">
        <f t="shared" ref="K403:K408" si="178">IF(G403="","Erro",G403+20)</f>
        <v>45853</v>
      </c>
      <c r="L403" s="15"/>
      <c r="M403" s="15">
        <f t="shared" ref="M403:M408" si="179">IF(G403="","Erro",G403+IF(D403="Operacional",45,25))</f>
        <v>45858</v>
      </c>
      <c r="N403" s="13">
        <v>45856</v>
      </c>
      <c r="O403" s="2">
        <f>IFERROR(IF(tblColetas[[#This Row],[Status Coleta]]="Reprovado","Reprovado",IF(ISERROR(SEARCH("Poço",D403)),IF(N403="","Erro",IF(Q403="Reprovado","",WORKDAY(N403,IF(D403="Operacional",10,3),FERIADOS!$A$3:$A$119))),"-")),"-")</f>
        <v>45861</v>
      </c>
      <c r="P403" s="21">
        <v>45860</v>
      </c>
      <c r="Q403" s="7" t="s">
        <v>37</v>
      </c>
      <c r="R403" s="13"/>
      <c r="S403" s="30"/>
      <c r="T403" s="43"/>
      <c r="W403" t="str">
        <f t="shared" si="164"/>
        <v>SEP776-AP-0006 (HP Flare)Fiscal</v>
      </c>
      <c r="X4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4" spans="1:24" ht="12.5" x14ac:dyDescent="0.25">
      <c r="A404" s="10"/>
      <c r="B404" s="19" t="s">
        <v>52</v>
      </c>
      <c r="C404" s="5" t="s">
        <v>113</v>
      </c>
      <c r="D404" s="20" t="s">
        <v>72</v>
      </c>
      <c r="E404" s="35"/>
      <c r="F404" s="29" cm="1">
        <f t="array" ref="F404">IF(V404 &lt;&gt; "", V404, IFERROR(_xlfn.SINGLE(INDEX($G$1:G403,SUMPRODUCT(MAX(($W$1:W403=W404)*(ROW($W$1:W403))))))+IF(D404="Fiscal",30,90),""))</f>
        <v>45835</v>
      </c>
      <c r="G404" s="21">
        <v>45833</v>
      </c>
      <c r="H404" s="15">
        <f t="shared" si="177"/>
        <v>45843</v>
      </c>
      <c r="I404" s="15"/>
      <c r="J404" s="32"/>
      <c r="K404" s="15">
        <f t="shared" si="178"/>
        <v>45853</v>
      </c>
      <c r="L404" s="15"/>
      <c r="M404" s="15">
        <f t="shared" si="179"/>
        <v>45858</v>
      </c>
      <c r="N404" s="13">
        <v>45856</v>
      </c>
      <c r="O404" s="2" t="str">
        <f>IFERROR(IF(tblColetas[[#This Row],[Status Coleta]]="Reprovado","Reprovado",IF(ISERROR(SEARCH("Poço",D404)),IF(N404="","Erro",IF(Q404="Reprovado","",WORKDAY(N404,IF(D404="Operacional",10,3),FERIADOS!$A$3:$A$119))),"-")),"-")</f>
        <v>Reprovado</v>
      </c>
      <c r="P404" s="21"/>
      <c r="Q404" s="7" t="s">
        <v>81</v>
      </c>
      <c r="R404" s="13"/>
      <c r="S404" s="33" t="s">
        <v>135</v>
      </c>
      <c r="T404" s="43"/>
      <c r="W404" t="str">
        <f t="shared" si="164"/>
        <v>SEP776-AP-0030 (LP Flare)Fiscal</v>
      </c>
      <c r="X4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5" spans="1:24" ht="12.5" x14ac:dyDescent="0.25">
      <c r="A405" s="10"/>
      <c r="B405" s="19" t="s">
        <v>52</v>
      </c>
      <c r="C405" s="5" t="s">
        <v>114</v>
      </c>
      <c r="D405" s="20" t="s">
        <v>72</v>
      </c>
      <c r="E405" s="35"/>
      <c r="F405" s="29" cm="1">
        <f t="array" ref="F405">IF(V405 &lt;&gt; "", V405, IFERROR(_xlfn.SINGLE(INDEX($G$1:G404,SUMPRODUCT(MAX(($W$1:W404=W405)*(ROW($W$1:W404))))))+IF(D405="Fiscal",30,90),""))</f>
        <v>45835</v>
      </c>
      <c r="G405" s="21">
        <v>45833</v>
      </c>
      <c r="H405" s="15">
        <f t="shared" si="177"/>
        <v>45843</v>
      </c>
      <c r="I405" s="15"/>
      <c r="J405" s="32"/>
      <c r="K405" s="15">
        <f t="shared" si="178"/>
        <v>45853</v>
      </c>
      <c r="L405" s="15"/>
      <c r="M405" s="15">
        <f t="shared" si="179"/>
        <v>45858</v>
      </c>
      <c r="N405" s="13">
        <v>45856</v>
      </c>
      <c r="O405" s="2">
        <f>IFERROR(IF(tblColetas[[#This Row],[Status Coleta]]="Reprovado","Reprovado",IF(ISERROR(SEARCH("Poço",D405)),IF(N405="","Erro",IF(Q405="Reprovado","",WORKDAY(N405,IF(D405="Operacional",10,3),FERIADOS!$A$3:$A$119))),"-")),"-")</f>
        <v>45861</v>
      </c>
      <c r="P405" s="21">
        <v>45860</v>
      </c>
      <c r="Q405" s="7" t="s">
        <v>37</v>
      </c>
      <c r="R405" s="13"/>
      <c r="S405" s="30"/>
      <c r="T405" s="43"/>
      <c r="W405" t="str">
        <f t="shared" si="164"/>
        <v>SEP777-AP-1104 (Fuel Gas)Fiscal</v>
      </c>
      <c r="X4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6" spans="1:24" ht="12.5" x14ac:dyDescent="0.25">
      <c r="A406" s="10"/>
      <c r="B406" s="19" t="s">
        <v>52</v>
      </c>
      <c r="C406" s="5" t="s">
        <v>115</v>
      </c>
      <c r="D406" s="20" t="s">
        <v>72</v>
      </c>
      <c r="E406" s="35"/>
      <c r="F406" s="29" cm="1">
        <f t="array" ref="F406">IF(V406 &lt;&gt; "", V406, IFERROR(_xlfn.SINGLE(INDEX($G$1:G405,SUMPRODUCT(MAX(($W$1:W405=W406)*(ROW($W$1:W405))))))+IF(D406="Fiscal",30,90),""))</f>
        <v>45835</v>
      </c>
      <c r="G406" s="21">
        <v>45833</v>
      </c>
      <c r="H406" s="15">
        <f t="shared" si="177"/>
        <v>45843</v>
      </c>
      <c r="I406" s="15"/>
      <c r="J406" s="32"/>
      <c r="K406" s="15">
        <f t="shared" si="178"/>
        <v>45853</v>
      </c>
      <c r="L406" s="15"/>
      <c r="M406" s="15">
        <f t="shared" si="179"/>
        <v>45858</v>
      </c>
      <c r="N406" s="13">
        <v>45856</v>
      </c>
      <c r="O406" s="2">
        <f>IFERROR(IF(tblColetas[[#This Row],[Status Coleta]]="Reprovado","Reprovado",IF(ISERROR(SEARCH("Poço",D406)),IF(N406="","Erro",IF(Q406="Reprovado","",WORKDAY(N406,IF(D406="Operacional",10,3),FERIADOS!$A$3:$A$119))),"-")),"-")</f>
        <v>45861</v>
      </c>
      <c r="P406" s="21">
        <v>45860</v>
      </c>
      <c r="Q406" s="7" t="s">
        <v>37</v>
      </c>
      <c r="R406" s="13"/>
      <c r="S406" s="30"/>
      <c r="T406" s="43"/>
      <c r="W406" t="str">
        <f t="shared" si="164"/>
        <v>SEP771-AP-0221 (Flare Assist)Fiscal</v>
      </c>
      <c r="X4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7" spans="1:24" ht="12.5" x14ac:dyDescent="0.25">
      <c r="A407" s="10"/>
      <c r="B407" s="19" t="s">
        <v>34</v>
      </c>
      <c r="C407" s="5" t="s">
        <v>89</v>
      </c>
      <c r="D407" s="20" t="s">
        <v>26</v>
      </c>
      <c r="E407" s="35"/>
      <c r="F407" s="29" cm="1">
        <f t="array" ref="F407">IF(V407 &lt;&gt; "", V407, IFERROR(_xlfn.SINGLE(INDEX($G$1:G406,SUMPRODUCT(MAX(($W$1:W406=W407)*(ROW($W$1:W406))))))+IF(D407="Fiscal",30,90),""))</f>
        <v>45896</v>
      </c>
      <c r="G407" s="21">
        <v>45870</v>
      </c>
      <c r="H407" s="15">
        <f t="shared" si="177"/>
        <v>45880</v>
      </c>
      <c r="I407" s="15">
        <v>45877</v>
      </c>
      <c r="J407" s="32" t="s">
        <v>191</v>
      </c>
      <c r="K407" s="15">
        <f t="shared" si="178"/>
        <v>45890</v>
      </c>
      <c r="L407" s="15">
        <v>45888</v>
      </c>
      <c r="M407" s="15">
        <f t="shared" si="179"/>
        <v>45895</v>
      </c>
      <c r="N407" s="13">
        <v>45895</v>
      </c>
      <c r="O407" s="2" t="str">
        <f>IFERROR(IF(tblColetas[[#This Row],[Status Coleta]]="Reprovado","Reprovado",IF(ISERROR(SEARCH("Poço",D407)),IF(N407="","Erro",IF(Q407="Reprovado","",WORKDAY(N407,IF(D407="Operacional",10,3),FERIADOS!$A$3:$A$119))),"-")),"-")</f>
        <v>-</v>
      </c>
      <c r="P407" s="21"/>
      <c r="Q407" s="7" t="s">
        <v>37</v>
      </c>
      <c r="R407" s="13"/>
      <c r="S407" s="30"/>
      <c r="T407" s="43"/>
      <c r="W407" t="str">
        <f t="shared" si="164"/>
        <v>CDSPoço LL-46 (P-01)Poço CG</v>
      </c>
      <c r="X4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8" spans="1:24" ht="12.5" x14ac:dyDescent="0.25">
      <c r="A408" s="10"/>
      <c r="B408" s="19" t="s">
        <v>34</v>
      </c>
      <c r="C408" s="5" t="s">
        <v>89</v>
      </c>
      <c r="D408" s="20" t="s">
        <v>29</v>
      </c>
      <c r="E408" s="35"/>
      <c r="F408" s="29" cm="1">
        <f t="array" ref="F408">IF(V408 &lt;&gt; "", V408, IFERROR(_xlfn.SINGLE(INDEX($G$1:G407,SUMPRODUCT(MAX(($W$1:W407=W408)*(ROW($W$1:W407))))))+IF(D408="Fiscal",30,90),""))</f>
        <v>45896</v>
      </c>
      <c r="G408" s="21">
        <v>45870</v>
      </c>
      <c r="H408" s="15">
        <f t="shared" si="177"/>
        <v>45880</v>
      </c>
      <c r="I408" s="15">
        <v>45877</v>
      </c>
      <c r="J408" s="32" t="s">
        <v>191</v>
      </c>
      <c r="K408" s="15">
        <f t="shared" si="178"/>
        <v>45890</v>
      </c>
      <c r="L408" s="15">
        <v>45888</v>
      </c>
      <c r="M408" s="15">
        <f t="shared" si="179"/>
        <v>45895</v>
      </c>
      <c r="N408" s="13">
        <v>45895</v>
      </c>
      <c r="O408" s="2" t="str">
        <f>IFERROR(IF(tblColetas[[#This Row],[Status Coleta]]="Reprovado","Reprovado",IF(ISERROR(SEARCH("Poço",D408)),IF(N408="","Erro",IF(Q408="Reprovado","",WORKDAY(N408,IF(D408="Operacional",10,3),FERIADOS!$A$3:$A$119))),"-")),"-")</f>
        <v>-</v>
      </c>
      <c r="P408" s="21"/>
      <c r="Q408" s="7" t="s">
        <v>37</v>
      </c>
      <c r="R408" s="13"/>
      <c r="S408" s="30"/>
      <c r="T408" s="43"/>
      <c r="W408" t="str">
        <f t="shared" si="164"/>
        <v>CDSPoço LL-46 (P-01)Poço PVT</v>
      </c>
      <c r="X4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09" spans="1:24" ht="12.5" x14ac:dyDescent="0.25">
      <c r="A409" s="10"/>
      <c r="B409" s="19" t="s">
        <v>52</v>
      </c>
      <c r="C409" s="5" t="s">
        <v>83</v>
      </c>
      <c r="D409" s="20" t="s">
        <v>26</v>
      </c>
      <c r="E409" s="35"/>
      <c r="F409" s="29" cm="1">
        <f t="array" ref="F409">IF(V409 &lt;&gt; "", V409, IFERROR(_xlfn.SINGLE(INDEX($G$1:G408,SUMPRODUCT(MAX(($W$1:W408=W409)*(ROW($W$1:W408))))))+IF(D409="Fiscal",30,90),""))</f>
        <v>45899</v>
      </c>
      <c r="G409" s="21">
        <v>45877</v>
      </c>
      <c r="H409" s="15">
        <f t="shared" ref="H409:H414" si="180">IF(G409="","Erro", G409+10)</f>
        <v>45887</v>
      </c>
      <c r="I409" s="15">
        <v>45879</v>
      </c>
      <c r="J409" s="32" t="s">
        <v>137</v>
      </c>
      <c r="K409" s="15">
        <f t="shared" ref="K409:K414" si="181">IF(G409="","Erro",G409+20)</f>
        <v>45897</v>
      </c>
      <c r="L409" s="15">
        <v>45888</v>
      </c>
      <c r="M409" s="15">
        <f t="shared" ref="M409:M414" si="182">IF(G409="","Erro",G409+IF(D409="Operacional",45,25))</f>
        <v>45902</v>
      </c>
      <c r="N409" s="13">
        <v>45902</v>
      </c>
      <c r="O409" s="2" t="str">
        <f>IFERROR(IF(tblColetas[[#This Row],[Status Coleta]]="Reprovado","Reprovado",IF(ISERROR(SEARCH("Poço",D409)),IF(N409="","Erro",IF(Q409="Reprovado","",WORKDAY(N409,IF(D409="Operacional",10,3),FERIADOS!$A$3:$A$119))),"-")),"-")</f>
        <v>-</v>
      </c>
      <c r="P409" s="21"/>
      <c r="Q409" s="7" t="s">
        <v>37</v>
      </c>
      <c r="R409" s="13"/>
      <c r="S409" s="30"/>
      <c r="T409" s="43"/>
      <c r="W409" t="str">
        <f t="shared" si="164"/>
        <v>SEPPoço MRO-16 P-2Poço CG</v>
      </c>
      <c r="X4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0" spans="1:24" ht="12.5" x14ac:dyDescent="0.25">
      <c r="A410" s="10"/>
      <c r="B410" s="19" t="s">
        <v>52</v>
      </c>
      <c r="C410" s="5" t="s">
        <v>83</v>
      </c>
      <c r="D410" s="20" t="s">
        <v>29</v>
      </c>
      <c r="E410" s="35"/>
      <c r="F410" s="29" cm="1">
        <f t="array" ref="F410">IF(V410 &lt;&gt; "", V410, IFERROR(_xlfn.SINGLE(INDEX($G$1:G409,SUMPRODUCT(MAX(($W$1:W409=W410)*(ROW($W$1:W409))))))+IF(D410="Fiscal",30,90),""))</f>
        <v>45899</v>
      </c>
      <c r="G410" s="21">
        <v>45877</v>
      </c>
      <c r="H410" s="15">
        <f t="shared" si="180"/>
        <v>45887</v>
      </c>
      <c r="I410" s="15">
        <v>45879</v>
      </c>
      <c r="J410" s="32" t="s">
        <v>137</v>
      </c>
      <c r="K410" s="15">
        <f t="shared" si="181"/>
        <v>45897</v>
      </c>
      <c r="L410" s="15">
        <v>45888</v>
      </c>
      <c r="M410" s="15">
        <f t="shared" si="182"/>
        <v>45902</v>
      </c>
      <c r="N410" s="13">
        <v>45902</v>
      </c>
      <c r="O410" s="2" t="str">
        <f>IFERROR(IF(tblColetas[[#This Row],[Status Coleta]]="Reprovado","Reprovado",IF(ISERROR(SEARCH("Poço",D410)),IF(N410="","Erro",IF(Q410="Reprovado","",WORKDAY(N410,IF(D410="Operacional",10,3),FERIADOS!$A$3:$A$119))),"-")),"-")</f>
        <v>-</v>
      </c>
      <c r="P410" s="21"/>
      <c r="Q410" s="7" t="s">
        <v>37</v>
      </c>
      <c r="R410" s="13"/>
      <c r="S410" s="30"/>
      <c r="T410" s="43"/>
      <c r="W410" t="str">
        <f t="shared" si="164"/>
        <v>SEPPoço MRO-16 P-2Poço PVT</v>
      </c>
      <c r="X4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1" spans="1:24" ht="12.5" x14ac:dyDescent="0.25">
      <c r="A411" s="10"/>
      <c r="B411" s="10" t="s">
        <v>192</v>
      </c>
      <c r="C411" s="6" t="s">
        <v>112</v>
      </c>
      <c r="D411" s="11" t="s">
        <v>72</v>
      </c>
      <c r="E411" s="36"/>
      <c r="F411" s="25" t="str" cm="1">
        <f t="array" ref="F411">IF(V411 &lt;&gt; "", V411, IFERROR(_xlfn.SINGLE(INDEX($G$1:G410,SUMPRODUCT(MAX(($W$1:W410=W411)*(ROW($W$1:W410))))))+IF(D411="Fiscal",30,90),""))</f>
        <v/>
      </c>
      <c r="G411" s="16">
        <v>45805</v>
      </c>
      <c r="H411" s="15">
        <f t="shared" si="180"/>
        <v>45815</v>
      </c>
      <c r="I411" s="15"/>
      <c r="J411" s="32"/>
      <c r="K411" s="15">
        <f t="shared" si="181"/>
        <v>45825</v>
      </c>
      <c r="L411" s="15"/>
      <c r="M411" s="14">
        <f t="shared" si="182"/>
        <v>45830</v>
      </c>
      <c r="N411" s="12">
        <v>45828</v>
      </c>
      <c r="O411" s="1">
        <f>IFERROR(IF(tblColetas[[#This Row],[Status Coleta]]="Reprovado","Reprovado",IF(ISERROR(SEARCH("Poço",D411)),IF(N411="","Erro",IF(Q411="Reprovado","",WORKDAY(N411,IF(D411="Operacional",10,3),FERIADOS!$A$3:$A$119))),"-")),"-")</f>
        <v>45833</v>
      </c>
      <c r="P411" s="12">
        <v>45833</v>
      </c>
      <c r="Q411" s="7" t="s">
        <v>37</v>
      </c>
      <c r="R411" s="12"/>
      <c r="S411" s="27"/>
      <c r="T411" s="42"/>
      <c r="W411" t="str">
        <f t="shared" si="164"/>
        <v>ADG776-AP-0006 (HP Flare)Fiscal</v>
      </c>
      <c r="X4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2" spans="1:24" ht="12.5" x14ac:dyDescent="0.25">
      <c r="A412" s="10"/>
      <c r="B412" s="10" t="s">
        <v>192</v>
      </c>
      <c r="C412" s="6" t="s">
        <v>193</v>
      </c>
      <c r="D412" s="11" t="s">
        <v>72</v>
      </c>
      <c r="E412" s="36"/>
      <c r="F412" s="25" t="str" cm="1">
        <f t="array" ref="F412">IF(V412 &lt;&gt; "", V412, IFERROR(_xlfn.SINGLE(INDEX($G$1:G411,SUMPRODUCT(MAX(($W$1:W411=W412)*(ROW($W$1:W411))))))+IF(D412="Fiscal",30,90),""))</f>
        <v/>
      </c>
      <c r="G412" s="16">
        <v>45805</v>
      </c>
      <c r="H412" s="15">
        <f t="shared" si="180"/>
        <v>45815</v>
      </c>
      <c r="I412" s="15"/>
      <c r="J412" s="32"/>
      <c r="K412" s="15">
        <f t="shared" si="181"/>
        <v>45825</v>
      </c>
      <c r="L412" s="15"/>
      <c r="M412" s="14">
        <f t="shared" si="182"/>
        <v>45830</v>
      </c>
      <c r="N412" s="12">
        <v>45828</v>
      </c>
      <c r="O412" s="1">
        <f>IFERROR(IF(tblColetas[[#This Row],[Status Coleta]]="Reprovado","Reprovado",IF(ISERROR(SEARCH("Poço",D412)),IF(N412="","Erro",IF(Q412="Reprovado","",WORKDAY(N412,IF(D412="Operacional",10,3),FERIADOS!$A$3:$A$119))),"-")),"-")</f>
        <v>45833</v>
      </c>
      <c r="P412" s="12">
        <v>45833</v>
      </c>
      <c r="Q412" s="7" t="s">
        <v>37</v>
      </c>
      <c r="R412" s="12"/>
      <c r="S412" s="27"/>
      <c r="T412" s="42"/>
      <c r="W412" t="str">
        <f t="shared" si="164"/>
        <v>ADG776-AP-0026 (LP Flare)Fiscal</v>
      </c>
      <c r="X4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3" spans="1:24" ht="12.5" x14ac:dyDescent="0.25">
      <c r="A413" s="10"/>
      <c r="B413" s="10" t="s">
        <v>192</v>
      </c>
      <c r="C413" s="6" t="s">
        <v>194</v>
      </c>
      <c r="D413" s="11" t="s">
        <v>72</v>
      </c>
      <c r="E413" s="36"/>
      <c r="F413" s="25" t="str" cm="1">
        <f t="array" ref="F413">IF(V413 &lt;&gt; "", V413, IFERROR(_xlfn.SINGLE(INDEX($G$1:G412,SUMPRODUCT(MAX(($W$1:W412=W413)*(ROW($W$1:W412))))))+IF(D413="Fiscal",30,90),""))</f>
        <v/>
      </c>
      <c r="G413" s="16">
        <v>45826</v>
      </c>
      <c r="H413" s="15">
        <f t="shared" si="180"/>
        <v>45836</v>
      </c>
      <c r="I413" s="15"/>
      <c r="J413" s="32"/>
      <c r="K413" s="15">
        <f t="shared" si="181"/>
        <v>45846</v>
      </c>
      <c r="L413" s="15"/>
      <c r="M413" s="14">
        <f t="shared" si="182"/>
        <v>45851</v>
      </c>
      <c r="N413" s="12">
        <v>45849</v>
      </c>
      <c r="O413" s="1">
        <f>IFERROR(IF(tblColetas[[#This Row],[Status Coleta]]="Reprovado","Reprovado",IF(ISERROR(SEARCH("Poço",D413)),IF(N413="","Erro",IF(Q413="Reprovado","",WORKDAY(N413,IF(D413="Operacional",10,3),FERIADOS!$A$3:$A$119))),"-")),"-")</f>
        <v>45854</v>
      </c>
      <c r="P413" s="12">
        <v>45854</v>
      </c>
      <c r="Q413" s="7" t="s">
        <v>37</v>
      </c>
      <c r="R413" s="12"/>
      <c r="S413" s="27"/>
      <c r="T413" s="42"/>
      <c r="W413" t="str">
        <f t="shared" si="164"/>
        <v>ADG777-AP-1212 (Fuel Gas)Fiscal</v>
      </c>
      <c r="X4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4" spans="1:24" ht="12.5" x14ac:dyDescent="0.25">
      <c r="A414" s="10"/>
      <c r="B414" s="10" t="s">
        <v>192</v>
      </c>
      <c r="C414" s="6" t="s">
        <v>195</v>
      </c>
      <c r="D414" s="11" t="s">
        <v>72</v>
      </c>
      <c r="E414" s="36"/>
      <c r="F414" s="25" t="str" cm="1">
        <f t="array" ref="F414">IF(V414 &lt;&gt; "", V414, IFERROR(_xlfn.SINGLE(INDEX($G$1:G413,SUMPRODUCT(MAX(($W$1:W413=W414)*(ROW($W$1:W413))))))+IF(D414="Fiscal",30,90),""))</f>
        <v/>
      </c>
      <c r="G414" s="16">
        <v>45826</v>
      </c>
      <c r="H414" s="15">
        <f t="shared" si="180"/>
        <v>45836</v>
      </c>
      <c r="I414" s="15"/>
      <c r="J414" s="32"/>
      <c r="K414" s="15">
        <f t="shared" si="181"/>
        <v>45846</v>
      </c>
      <c r="L414" s="15"/>
      <c r="M414" s="14">
        <f t="shared" si="182"/>
        <v>45851</v>
      </c>
      <c r="N414" s="12">
        <v>45849</v>
      </c>
      <c r="O414" s="1" t="str">
        <f>IFERROR(IF(tblColetas[[#This Row],[Status Coleta]]="Reprovado","Reprovado",IF(ISERROR(SEARCH("Poço",D414)),IF(N414="","Erro",IF(Q414="Reprovado","",WORKDAY(N414,IF(D414="Operacional",10,3),FERIADOS!$A$3:$A$119))),"-")),"-")</f>
        <v>Reprovado</v>
      </c>
      <c r="P414" s="12"/>
      <c r="Q414" s="7" t="s">
        <v>81</v>
      </c>
      <c r="R414" s="12"/>
      <c r="S414" s="28" t="s">
        <v>135</v>
      </c>
      <c r="T414" s="42"/>
      <c r="W414" t="str">
        <f t="shared" si="164"/>
        <v>ADG771-AP-0225 (Flare Assist)Fiscal</v>
      </c>
      <c r="X4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5" spans="1:24" ht="12.5" x14ac:dyDescent="0.25">
      <c r="A415" s="10"/>
      <c r="B415" s="8" t="s">
        <v>192</v>
      </c>
      <c r="C415" s="5" t="s">
        <v>112</v>
      </c>
      <c r="D415" s="9" t="s">
        <v>72</v>
      </c>
      <c r="E415" s="36"/>
      <c r="F415" s="29" cm="1">
        <f t="array" ref="F415">IF(V415 &lt;&gt; "", V415, IFERROR(_xlfn.SINGLE(INDEX($G$1:G414,SUMPRODUCT(MAX(($W$1:W414=W415)*(ROW($W$1:W414))))))+IF(D415="Fiscal",30,90),""))</f>
        <v>45835</v>
      </c>
      <c r="G415" s="13">
        <v>45832</v>
      </c>
      <c r="H415" s="15">
        <f t="shared" ref="H415:H424" si="183">IF(G415="","Erro", G415+10)</f>
        <v>45842</v>
      </c>
      <c r="I415" s="15"/>
      <c r="J415" s="32"/>
      <c r="K415" s="15">
        <f t="shared" ref="K415:K424" si="184">IF(G415="","Erro",G415+20)</f>
        <v>45852</v>
      </c>
      <c r="L415" s="15"/>
      <c r="M415" s="15">
        <f t="shared" ref="M415:M424" si="185">IF(G415="","Erro",G415+IF(D415="Operacional",45,25))</f>
        <v>45857</v>
      </c>
      <c r="N415" s="13">
        <v>45857</v>
      </c>
      <c r="O415" s="2">
        <f>IFERROR(IF(tblColetas[[#This Row],[Status Coleta]]="Reprovado","Reprovado",IF(ISERROR(SEARCH("Poço",D415)),IF(N415="","Erro",IF(Q415="Reprovado","",WORKDAY(N415,IF(D415="Operacional",10,3),FERIADOS!$A$3:$A$119))),"-")),"-")</f>
        <v>45861</v>
      </c>
      <c r="P415" s="13">
        <v>45861</v>
      </c>
      <c r="Q415" s="7" t="s">
        <v>37</v>
      </c>
      <c r="R415" s="13"/>
      <c r="S415" s="30"/>
      <c r="T415" s="43"/>
      <c r="W415" t="str">
        <f t="shared" si="164"/>
        <v>ADG776-AP-0006 (HP Flare)Fiscal</v>
      </c>
      <c r="X4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6" spans="1:24" ht="12.5" x14ac:dyDescent="0.25">
      <c r="A416" s="10"/>
      <c r="B416" s="8" t="s">
        <v>192</v>
      </c>
      <c r="C416" s="5" t="s">
        <v>193</v>
      </c>
      <c r="D416" s="9" t="s">
        <v>72</v>
      </c>
      <c r="E416" s="36"/>
      <c r="F416" s="29" cm="1">
        <f t="array" ref="F416">IF(V416 &lt;&gt; "", V416, IFERROR(_xlfn.SINGLE(INDEX($G$1:G415,SUMPRODUCT(MAX(($W$1:W415=W416)*(ROW($W$1:W415))))))+IF(D416="Fiscal",30,90),""))</f>
        <v>45835</v>
      </c>
      <c r="G416" s="13">
        <v>45832</v>
      </c>
      <c r="H416" s="15">
        <f t="shared" si="183"/>
        <v>45842</v>
      </c>
      <c r="I416" s="15"/>
      <c r="J416" s="32"/>
      <c r="K416" s="15">
        <f t="shared" si="184"/>
        <v>45852</v>
      </c>
      <c r="L416" s="15"/>
      <c r="M416" s="15">
        <f t="shared" si="185"/>
        <v>45857</v>
      </c>
      <c r="N416" s="13">
        <v>45857</v>
      </c>
      <c r="O416" s="2">
        <f>IFERROR(IF(tblColetas[[#This Row],[Status Coleta]]="Reprovado","Reprovado",IF(ISERROR(SEARCH("Poço",D416)),IF(N416="","Erro",IF(Q416="Reprovado","",WORKDAY(N416,IF(D416="Operacional",10,3),FERIADOS!$A$3:$A$119))),"-")),"-")</f>
        <v>45861</v>
      </c>
      <c r="P416" s="13">
        <v>45861</v>
      </c>
      <c r="Q416" s="7" t="s">
        <v>37</v>
      </c>
      <c r="R416" s="13"/>
      <c r="S416" s="30"/>
      <c r="T416" s="43"/>
      <c r="W416" t="str">
        <f t="shared" ref="W416:W479" si="186">B416&amp;C416&amp;D416</f>
        <v>ADG776-AP-0026 (LP Flare)Fiscal</v>
      </c>
      <c r="X4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7" spans="1:24" ht="12.5" x14ac:dyDescent="0.25">
      <c r="A417" s="10"/>
      <c r="B417" s="8" t="s">
        <v>46</v>
      </c>
      <c r="C417" s="5" t="s">
        <v>74</v>
      </c>
      <c r="D417" s="9" t="s">
        <v>72</v>
      </c>
      <c r="E417" s="36"/>
      <c r="F417" s="29" cm="1">
        <f t="array" ref="F417">IF(V417 &lt;&gt; "", V417, IFERROR(_xlfn.SINGLE(INDEX($G$1:G416,SUMPRODUCT(MAX(($W$1:W416=W417)*(ROW($W$1:W416))))))+IF(D417="Fiscal",30,90),""))</f>
        <v>45839</v>
      </c>
      <c r="G417" s="13">
        <v>45838</v>
      </c>
      <c r="H417" s="15">
        <f t="shared" si="183"/>
        <v>45848</v>
      </c>
      <c r="I417" s="15"/>
      <c r="J417" s="32"/>
      <c r="K417" s="15">
        <f t="shared" si="184"/>
        <v>45858</v>
      </c>
      <c r="L417" s="15"/>
      <c r="M417" s="15">
        <f t="shared" si="185"/>
        <v>45863</v>
      </c>
      <c r="N417" s="13">
        <v>45863</v>
      </c>
      <c r="O417" s="2">
        <f>IFERROR(IF(tblColetas[[#This Row],[Status Coleta]]="Reprovado","Reprovado",IF(ISERROR(SEARCH("Poço",D417)),IF(N417="","Erro",IF(Q417="Reprovado","",WORKDAY(N417,IF(D417="Operacional",10,3),FERIADOS!$A$3:$A$119))),"-")),"-")</f>
        <v>45868</v>
      </c>
      <c r="P417" s="13">
        <v>45867</v>
      </c>
      <c r="Q417" s="7" t="s">
        <v>37</v>
      </c>
      <c r="R417" s="13"/>
      <c r="S417" s="30"/>
      <c r="T417" s="43"/>
      <c r="W417" t="str">
        <f t="shared" si="186"/>
        <v>CDMT76-FT-0014 (HP Flare)Fiscal</v>
      </c>
      <c r="X4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8" spans="1:24" ht="12.5" x14ac:dyDescent="0.25">
      <c r="A418" s="10"/>
      <c r="B418" s="8" t="s">
        <v>46</v>
      </c>
      <c r="C418" s="5" t="s">
        <v>75</v>
      </c>
      <c r="D418" s="9" t="s">
        <v>72</v>
      </c>
      <c r="E418" s="36"/>
      <c r="F418" s="29" cm="1">
        <f t="array" ref="F418">IF(V418 &lt;&gt; "", V418, IFERROR(_xlfn.SINGLE(INDEX($G$1:G417,SUMPRODUCT(MAX(($W$1:W417=W418)*(ROW($W$1:W417))))))+IF(D418="Fiscal",30,90),""))</f>
        <v>45839</v>
      </c>
      <c r="G418" s="13">
        <v>45838</v>
      </c>
      <c r="H418" s="15">
        <f t="shared" si="183"/>
        <v>45848</v>
      </c>
      <c r="I418" s="15"/>
      <c r="J418" s="32"/>
      <c r="K418" s="15">
        <f t="shared" si="184"/>
        <v>45858</v>
      </c>
      <c r="L418" s="15"/>
      <c r="M418" s="15">
        <f t="shared" si="185"/>
        <v>45863</v>
      </c>
      <c r="N418" s="13">
        <v>45863</v>
      </c>
      <c r="O418" s="2">
        <f>IFERROR(IF(tblColetas[[#This Row],[Status Coleta]]="Reprovado","Reprovado",IF(ISERROR(SEARCH("Poço",D418)),IF(N418="","Erro",IF(Q418="Reprovado","",WORKDAY(N418,IF(D418="Operacional",10,3),FERIADOS!$A$3:$A$119))),"-")),"-")</f>
        <v>45868</v>
      </c>
      <c r="P418" s="13">
        <v>45867</v>
      </c>
      <c r="Q418" s="7" t="s">
        <v>37</v>
      </c>
      <c r="R418" s="13"/>
      <c r="S418" s="30"/>
      <c r="T418" s="43"/>
      <c r="W418" t="str">
        <f t="shared" si="186"/>
        <v>CDMT76-FT-0034 (LP Flare)Fiscal</v>
      </c>
      <c r="X4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19" spans="1:24" ht="12.5" x14ac:dyDescent="0.25">
      <c r="A419" s="10"/>
      <c r="B419" s="8" t="s">
        <v>46</v>
      </c>
      <c r="C419" s="5" t="s">
        <v>71</v>
      </c>
      <c r="D419" s="9" t="s">
        <v>72</v>
      </c>
      <c r="E419" s="36"/>
      <c r="F419" s="29" cm="1">
        <f t="array" ref="F419">IF(V419 &lt;&gt; "", V419, IFERROR(_xlfn.SINGLE(INDEX($G$1:G418,SUMPRODUCT(MAX(($W$1:W418=W419)*(ROW($W$1:W418))))))+IF(D419="Fiscal",30,90),""))</f>
        <v>45839</v>
      </c>
      <c r="G419" s="13">
        <v>45838</v>
      </c>
      <c r="H419" s="15">
        <f t="shared" si="183"/>
        <v>45848</v>
      </c>
      <c r="I419" s="15"/>
      <c r="J419" s="32"/>
      <c r="K419" s="15">
        <f t="shared" si="184"/>
        <v>45858</v>
      </c>
      <c r="L419" s="15"/>
      <c r="M419" s="15">
        <f t="shared" si="185"/>
        <v>45863</v>
      </c>
      <c r="N419" s="13">
        <v>45863</v>
      </c>
      <c r="O419" s="2">
        <f>IFERROR(IF(tblColetas[[#This Row],[Status Coleta]]="Reprovado","Reprovado",IF(ISERROR(SEARCH("Poço",D419)),IF(N419="","Erro",IF(Q419="Reprovado","",WORKDAY(N419,IF(D419="Operacional",10,3),FERIADOS!$A$3:$A$119))),"-")),"-")</f>
        <v>45868</v>
      </c>
      <c r="P419" s="13">
        <v>45867</v>
      </c>
      <c r="Q419" s="7" t="s">
        <v>37</v>
      </c>
      <c r="R419" s="13"/>
      <c r="S419" s="30"/>
      <c r="T419" s="43"/>
      <c r="W419" t="str">
        <f t="shared" si="186"/>
        <v>CDMT77-FT-0103 (Fuel Gas)Fiscal</v>
      </c>
      <c r="X4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0" spans="1:24" ht="12.5" x14ac:dyDescent="0.25">
      <c r="A420" s="10"/>
      <c r="B420" s="8" t="s">
        <v>46</v>
      </c>
      <c r="C420" s="5" t="s">
        <v>125</v>
      </c>
      <c r="D420" s="9" t="s">
        <v>72</v>
      </c>
      <c r="E420" s="36"/>
      <c r="F420" s="29" cm="1">
        <f t="array" ref="F420">IF(V420 &lt;&gt; "", V420, IFERROR(_xlfn.SINGLE(INDEX($G$1:G419,SUMPRODUCT(MAX(($W$1:W419=W420)*(ROW($W$1:W419))))))+IF(D420="Fiscal",30,90),""))</f>
        <v>45839</v>
      </c>
      <c r="G420" s="13">
        <v>45838</v>
      </c>
      <c r="H420" s="15">
        <f t="shared" si="183"/>
        <v>45848</v>
      </c>
      <c r="I420" s="15"/>
      <c r="J420" s="32"/>
      <c r="K420" s="15">
        <f t="shared" si="184"/>
        <v>45858</v>
      </c>
      <c r="L420" s="15"/>
      <c r="M420" s="15">
        <f t="shared" si="185"/>
        <v>45863</v>
      </c>
      <c r="N420" s="13">
        <v>45863</v>
      </c>
      <c r="O420" s="2">
        <f>IFERROR(IF(tblColetas[[#This Row],[Status Coleta]]="Reprovado","Reprovado",IF(ISERROR(SEARCH("Poço",D420)),IF(N420="","Erro",IF(Q420="Reprovado","",WORKDAY(N420,IF(D420="Operacional",10,3),FERIADOS!$A$3:$A$119))),"-")),"-")</f>
        <v>45868</v>
      </c>
      <c r="P420" s="13">
        <v>45867</v>
      </c>
      <c r="Q420" s="7" t="s">
        <v>37</v>
      </c>
      <c r="R420" s="13"/>
      <c r="S420" s="30"/>
      <c r="T420" s="43"/>
      <c r="W420" t="str">
        <f t="shared" si="186"/>
        <v>CDMT74-FT-6901 (Export Gas)Fiscal</v>
      </c>
      <c r="X4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1" spans="1:24" ht="12.5" x14ac:dyDescent="0.25">
      <c r="A421" s="10"/>
      <c r="B421" s="10" t="s">
        <v>192</v>
      </c>
      <c r="C421" s="6" t="s">
        <v>196</v>
      </c>
      <c r="D421" s="11" t="s">
        <v>26</v>
      </c>
      <c r="E421" s="36"/>
      <c r="F421" s="25" t="str" cm="1">
        <f t="array" ref="F421">IF(V421 &lt;&gt; "", V421, IFERROR(_xlfn.SINGLE(INDEX($G$1:G420,SUMPRODUCT(MAX(($W$1:W420=W421)*(ROW($W$1:W420))))))+IF(D421="Fiscal",30,90),""))</f>
        <v/>
      </c>
      <c r="G421" s="12">
        <v>45806</v>
      </c>
      <c r="H421" s="15">
        <f t="shared" si="183"/>
        <v>45816</v>
      </c>
      <c r="I421" s="15">
        <v>45812</v>
      </c>
      <c r="J421" s="32" t="s">
        <v>126</v>
      </c>
      <c r="K421" s="15">
        <f t="shared" si="184"/>
        <v>45826</v>
      </c>
      <c r="L421" s="15">
        <v>45819</v>
      </c>
      <c r="M421" s="14">
        <f t="shared" si="185"/>
        <v>45831</v>
      </c>
      <c r="N421" s="12">
        <v>45825</v>
      </c>
      <c r="O421" s="1" t="str">
        <f>IFERROR(IF(tblColetas[[#This Row],[Status Coleta]]="Reprovado","Reprovado",IF(ISERROR(SEARCH("Poço",D421)),IF(N421="","Erro",IF(Q421="Reprovado","",WORKDAY(N421,IF(D421="Operacional",10,3),FERIADOS!$A$3:$A$119))),"-")),"-")</f>
        <v>-</v>
      </c>
      <c r="P421" s="12"/>
      <c r="Q421" s="7" t="s">
        <v>37</v>
      </c>
      <c r="R421" s="12"/>
      <c r="S421" s="27"/>
      <c r="T421" s="42"/>
      <c r="W421" t="str">
        <f t="shared" si="186"/>
        <v>ADGPoço MRO-24 (P-06)Poço CG</v>
      </c>
      <c r="X4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2" spans="1:24" ht="12.5" x14ac:dyDescent="0.25">
      <c r="A422" s="10"/>
      <c r="B422" s="10" t="s">
        <v>192</v>
      </c>
      <c r="C422" s="6" t="s">
        <v>196</v>
      </c>
      <c r="D422" s="11" t="s">
        <v>29</v>
      </c>
      <c r="E422" s="36"/>
      <c r="F422" s="25" t="str" cm="1">
        <f t="array" ref="F422">IF(V422 &lt;&gt; "", V422, IFERROR(_xlfn.SINGLE(INDEX($G$1:G421,SUMPRODUCT(MAX(($W$1:W421=W422)*(ROW($W$1:W421))))))+IF(D422="Fiscal",30,90),""))</f>
        <v/>
      </c>
      <c r="G422" s="12">
        <v>45806</v>
      </c>
      <c r="H422" s="15">
        <f t="shared" si="183"/>
        <v>45816</v>
      </c>
      <c r="I422" s="15">
        <v>45812</v>
      </c>
      <c r="J422" s="32" t="s">
        <v>126</v>
      </c>
      <c r="K422" s="15">
        <f t="shared" si="184"/>
        <v>45826</v>
      </c>
      <c r="L422" s="15">
        <v>45819</v>
      </c>
      <c r="M422" s="14">
        <f t="shared" si="185"/>
        <v>45831</v>
      </c>
      <c r="N422" s="12">
        <v>45821</v>
      </c>
      <c r="O422" s="1" t="str">
        <f>IFERROR(IF(tblColetas[[#This Row],[Status Coleta]]="Reprovado","Reprovado",IF(ISERROR(SEARCH("Poço",D422)),IF(N422="","Erro",IF(Q422="Reprovado","",WORKDAY(N422,IF(D422="Operacional",10,3),FERIADOS!$A$3:$A$119))),"-")),"-")</f>
        <v>-</v>
      </c>
      <c r="P422" s="12"/>
      <c r="Q422" s="7" t="s">
        <v>37</v>
      </c>
      <c r="R422" s="12"/>
      <c r="S422" s="27"/>
      <c r="T422" s="42"/>
      <c r="W422" t="str">
        <f t="shared" si="186"/>
        <v>ADGPoço MRO-24 (P-06)Poço PVT</v>
      </c>
      <c r="X4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3" spans="1:24" ht="12.5" x14ac:dyDescent="0.25">
      <c r="A423" s="10"/>
      <c r="B423" s="8" t="s">
        <v>192</v>
      </c>
      <c r="C423" s="5" t="s">
        <v>196</v>
      </c>
      <c r="D423" s="9" t="s">
        <v>26</v>
      </c>
      <c r="E423" s="36"/>
      <c r="F423" s="29" cm="1">
        <f t="array" ref="F423">IF(V423 &lt;&gt; "", V423, IFERROR(_xlfn.SINGLE(INDEX($G$1:G422,SUMPRODUCT(MAX(($W$1:W422=W423)*(ROW($W$1:W422))))))+IF(D423="Fiscal",30,90),""))</f>
        <v>45896</v>
      </c>
      <c r="G423" s="13">
        <v>45864</v>
      </c>
      <c r="H423" s="15">
        <f t="shared" si="183"/>
        <v>45874</v>
      </c>
      <c r="I423" s="32">
        <v>45873</v>
      </c>
      <c r="J423" s="32" t="s">
        <v>137</v>
      </c>
      <c r="K423" s="15">
        <f t="shared" si="184"/>
        <v>45884</v>
      </c>
      <c r="L423" s="32">
        <v>45882</v>
      </c>
      <c r="M423" s="15">
        <f t="shared" si="185"/>
        <v>45889</v>
      </c>
      <c r="N423" s="13">
        <v>45884</v>
      </c>
      <c r="O423" s="2" t="str">
        <f>IFERROR(IF(tblColetas[[#This Row],[Status Coleta]]="Reprovado","Reprovado",IF(ISERROR(SEARCH("Poço",D423)),IF(N423="","Erro",IF(Q423="Reprovado","",WORKDAY(N423,IF(D423="Operacional",10,3),FERIADOS!$A$3:$A$119))),"-")),"-")</f>
        <v>-</v>
      </c>
      <c r="P423" s="13"/>
      <c r="Q423" s="7" t="s">
        <v>37</v>
      </c>
      <c r="R423" s="13"/>
      <c r="S423" s="30"/>
      <c r="T423" s="43"/>
      <c r="W423" t="str">
        <f t="shared" si="186"/>
        <v>ADGPoço MRO-24 (P-06)Poço CG</v>
      </c>
      <c r="X4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4" spans="1:24" ht="12.5" x14ac:dyDescent="0.25">
      <c r="A424" s="10"/>
      <c r="B424" s="8" t="s">
        <v>192</v>
      </c>
      <c r="C424" s="5" t="s">
        <v>196</v>
      </c>
      <c r="D424" s="9" t="s">
        <v>29</v>
      </c>
      <c r="E424" s="36"/>
      <c r="F424" s="29" cm="1">
        <f t="array" ref="F424">IF(V424 &lt;&gt; "", V424, IFERROR(_xlfn.SINGLE(INDEX($G$1:G423,SUMPRODUCT(MAX(($W$1:W423=W424)*(ROW($W$1:W423))))))+IF(D424="Fiscal",30,90),""))</f>
        <v>45896</v>
      </c>
      <c r="G424" s="13">
        <v>45864</v>
      </c>
      <c r="H424" s="15">
        <f t="shared" si="183"/>
        <v>45874</v>
      </c>
      <c r="I424" s="15">
        <v>45873</v>
      </c>
      <c r="J424" s="32" t="s">
        <v>137</v>
      </c>
      <c r="K424" s="15">
        <f t="shared" si="184"/>
        <v>45884</v>
      </c>
      <c r="L424" s="15">
        <v>45882</v>
      </c>
      <c r="M424" s="15">
        <f t="shared" si="185"/>
        <v>45889</v>
      </c>
      <c r="N424" s="13">
        <v>45884</v>
      </c>
      <c r="O424" s="2" t="str">
        <f>IFERROR(IF(tblColetas[[#This Row],[Status Coleta]]="Reprovado","Reprovado",IF(ISERROR(SEARCH("Poço",D424)),IF(N424="","Erro",IF(Q424="Reprovado","",WORKDAY(N424,IF(D424="Operacional",10,3),FERIADOS!$A$3:$A$119))),"-")),"-")</f>
        <v>-</v>
      </c>
      <c r="P424" s="13"/>
      <c r="Q424" s="7" t="s">
        <v>37</v>
      </c>
      <c r="R424" s="13"/>
      <c r="S424" s="30"/>
      <c r="T424" s="43"/>
      <c r="W424" t="str">
        <f t="shared" si="186"/>
        <v>ADGPoço MRO-24 (P-06)Poço PVT</v>
      </c>
      <c r="X4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5" spans="1:24" ht="12.5" x14ac:dyDescent="0.25">
      <c r="A425" s="10"/>
      <c r="B425" s="19" t="s">
        <v>38</v>
      </c>
      <c r="C425" s="5" t="s">
        <v>74</v>
      </c>
      <c r="D425" s="20" t="s">
        <v>72</v>
      </c>
      <c r="E425" s="35"/>
      <c r="F425" s="29" cm="1">
        <f t="array" ref="F425">IF(V425 &lt;&gt; "", V425, IFERROR(_xlfn.SINGLE(INDEX($G$1:G424,SUMPRODUCT(MAX(($W$1:W424=W425)*(ROW($W$1:W424))))))+IF(D425="Fiscal",30,90),""))</f>
        <v>45842</v>
      </c>
      <c r="G425" s="21">
        <v>45838</v>
      </c>
      <c r="H425" s="15">
        <f t="shared" ref="H425:H430" si="187">IF(G425="","Erro", G425+10)</f>
        <v>45848</v>
      </c>
      <c r="I425" s="15"/>
      <c r="J425" s="32"/>
      <c r="K425" s="15">
        <f t="shared" ref="K425:K430" si="188">IF(G425="","Erro",G425+20)</f>
        <v>45858</v>
      </c>
      <c r="L425" s="15"/>
      <c r="M425" s="15">
        <f t="shared" ref="M425:M430" si="189">IF(G425="","Erro",G425+IF(D425="Operacional",45,25))</f>
        <v>45863</v>
      </c>
      <c r="N425" s="13">
        <v>45863</v>
      </c>
      <c r="O425" s="2">
        <f>IFERROR(IF(tblColetas[[#This Row],[Status Coleta]]="Reprovado","Reprovado",IF(ISERROR(SEARCH("Poço",D425)),IF(N425="","Erro",IF(Q425="Reprovado","",WORKDAY(N425,IF(D425="Operacional",10,3),FERIADOS!$A$3:$A$119))),"-")),"-")</f>
        <v>45868</v>
      </c>
      <c r="P425" s="21">
        <v>45867</v>
      </c>
      <c r="Q425" s="7" t="s">
        <v>37</v>
      </c>
      <c r="R425" s="13"/>
      <c r="S425" s="30"/>
      <c r="T425" s="43"/>
      <c r="W425" t="str">
        <f t="shared" si="186"/>
        <v>CDPT76-FT-0014 (HP Flare)Fiscal</v>
      </c>
      <c r="X4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6" spans="1:24" ht="12.5" x14ac:dyDescent="0.25">
      <c r="A426" s="10"/>
      <c r="B426" s="19" t="s">
        <v>38</v>
      </c>
      <c r="C426" s="5" t="s">
        <v>75</v>
      </c>
      <c r="D426" s="20" t="s">
        <v>72</v>
      </c>
      <c r="E426" s="35"/>
      <c r="F426" s="29" cm="1">
        <f t="array" ref="F426">IF(V426 &lt;&gt; "", V426, IFERROR(_xlfn.SINGLE(INDEX($G$1:G425,SUMPRODUCT(MAX(($W$1:W425=W426)*(ROW($W$1:W425))))))+IF(D426="Fiscal",30,90),""))</f>
        <v>45842</v>
      </c>
      <c r="G426" s="21">
        <v>45838</v>
      </c>
      <c r="H426" s="15">
        <f t="shared" si="187"/>
        <v>45848</v>
      </c>
      <c r="I426" s="15"/>
      <c r="J426" s="32"/>
      <c r="K426" s="15">
        <f t="shared" si="188"/>
        <v>45858</v>
      </c>
      <c r="L426" s="15"/>
      <c r="M426" s="15">
        <f t="shared" si="189"/>
        <v>45863</v>
      </c>
      <c r="N426" s="13">
        <v>45863</v>
      </c>
      <c r="O426" s="2">
        <f>IFERROR(IF(tblColetas[[#This Row],[Status Coleta]]="Reprovado","Reprovado",IF(ISERROR(SEARCH("Poço",D426)),IF(N426="","Erro",IF(Q426="Reprovado","",WORKDAY(N426,IF(D426="Operacional",10,3),FERIADOS!$A$3:$A$119))),"-")),"-")</f>
        <v>45868</v>
      </c>
      <c r="P426" s="21">
        <v>45867</v>
      </c>
      <c r="Q426" s="7" t="s">
        <v>37</v>
      </c>
      <c r="R426" s="13"/>
      <c r="S426" s="30"/>
      <c r="T426" s="43"/>
      <c r="W426" t="str">
        <f t="shared" si="186"/>
        <v>CDPT76-FT-0034 (LP Flare)Fiscal</v>
      </c>
      <c r="X4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7" spans="1:24" ht="12.5" x14ac:dyDescent="0.25">
      <c r="A427" s="10"/>
      <c r="B427" s="19" t="s">
        <v>38</v>
      </c>
      <c r="C427" s="5" t="s">
        <v>71</v>
      </c>
      <c r="D427" s="20" t="s">
        <v>72</v>
      </c>
      <c r="E427" s="35"/>
      <c r="F427" s="29" cm="1">
        <f t="array" ref="F427">IF(V427 &lt;&gt; "", V427, IFERROR(_xlfn.SINGLE(INDEX($G$1:G426,SUMPRODUCT(MAX(($W$1:W426=W427)*(ROW($W$1:W426))))))+IF(D427="Fiscal",30,90),""))</f>
        <v>45842</v>
      </c>
      <c r="G427" s="21">
        <v>45838</v>
      </c>
      <c r="H427" s="15">
        <f t="shared" si="187"/>
        <v>45848</v>
      </c>
      <c r="I427" s="15"/>
      <c r="J427" s="32"/>
      <c r="K427" s="15">
        <f t="shared" si="188"/>
        <v>45858</v>
      </c>
      <c r="L427" s="15"/>
      <c r="M427" s="15">
        <f t="shared" si="189"/>
        <v>45863</v>
      </c>
      <c r="N427" s="13">
        <v>45863</v>
      </c>
      <c r="O427" s="2">
        <f>IFERROR(IF(tblColetas[[#This Row],[Status Coleta]]="Reprovado","Reprovado",IF(ISERROR(SEARCH("Poço",D427)),IF(N427="","Erro",IF(Q427="Reprovado","",WORKDAY(N427,IF(D427="Operacional",10,3),FERIADOS!$A$3:$A$119))),"-")),"-")</f>
        <v>45868</v>
      </c>
      <c r="P427" s="21">
        <v>45867</v>
      </c>
      <c r="Q427" s="7" t="s">
        <v>37</v>
      </c>
      <c r="R427" s="13"/>
      <c r="S427" s="30"/>
      <c r="T427" s="43"/>
      <c r="W427" t="str">
        <f t="shared" si="186"/>
        <v>CDPT77-FT-0103 (Fuel Gas)Fiscal</v>
      </c>
      <c r="X4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8" spans="1:24" ht="12.5" x14ac:dyDescent="0.25">
      <c r="A428" s="10"/>
      <c r="B428" s="19" t="s">
        <v>38</v>
      </c>
      <c r="C428" s="5" t="s">
        <v>98</v>
      </c>
      <c r="D428" s="20" t="s">
        <v>72</v>
      </c>
      <c r="E428" s="35"/>
      <c r="F428" s="29" cm="1">
        <f t="array" ref="F428">IF(V428 &lt;&gt; "", V428, IFERROR(_xlfn.SINGLE(INDEX($G$1:G427,SUMPRODUCT(MAX(($W$1:W427=W428)*(ROW($W$1:W427))))))+IF(D428="Fiscal",30,90),""))</f>
        <v>45842</v>
      </c>
      <c r="G428" s="21">
        <v>45838</v>
      </c>
      <c r="H428" s="15">
        <f t="shared" si="187"/>
        <v>45848</v>
      </c>
      <c r="I428" s="15"/>
      <c r="J428" s="32"/>
      <c r="K428" s="15">
        <f t="shared" si="188"/>
        <v>45858</v>
      </c>
      <c r="L428" s="15"/>
      <c r="M428" s="15">
        <f t="shared" si="189"/>
        <v>45863</v>
      </c>
      <c r="N428" s="13">
        <v>45863</v>
      </c>
      <c r="O428" s="2" t="str">
        <f>IFERROR(IF(tblColetas[[#This Row],[Status Coleta]]="Reprovado","Reprovado",IF(ISERROR(SEARCH("Poço",D428)),IF(N428="","Erro",IF(Q428="Reprovado","",WORKDAY(N428,IF(D428="Operacional",10,3),FERIADOS!$A$3:$A$119))),"-")),"-")</f>
        <v>Reprovado</v>
      </c>
      <c r="P428" s="21"/>
      <c r="Q428" s="7" t="s">
        <v>81</v>
      </c>
      <c r="R428" s="13"/>
      <c r="S428" s="33" t="s">
        <v>127</v>
      </c>
      <c r="T428" s="43"/>
      <c r="W428" t="str">
        <f t="shared" si="186"/>
        <v>CDPT74-FT-6701 (Export Gas)Fiscal</v>
      </c>
      <c r="X4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29" spans="1:24" ht="12.5" x14ac:dyDescent="0.25">
      <c r="A429" s="10"/>
      <c r="B429" s="19" t="s">
        <v>38</v>
      </c>
      <c r="C429" s="5" t="s">
        <v>99</v>
      </c>
      <c r="D429" s="20" t="s">
        <v>70</v>
      </c>
      <c r="E429" s="35"/>
      <c r="F429" s="29" cm="1">
        <f t="array" ref="F429">IF(V429 &lt;&gt; "", V429, IFERROR(_xlfn.SINGLE(INDEX($G$1:G428,SUMPRODUCT(MAX(($W$1:W428=W429)*(ROW($W$1:W428))))))+IF(D429="Fiscal",30,90),""))</f>
        <v>45902</v>
      </c>
      <c r="G429" s="21">
        <v>45895</v>
      </c>
      <c r="H429" s="15">
        <f t="shared" si="187"/>
        <v>45905</v>
      </c>
      <c r="I429" s="15"/>
      <c r="J429" s="32"/>
      <c r="K429" s="15">
        <f t="shared" si="188"/>
        <v>45915</v>
      </c>
      <c r="L429" s="15"/>
      <c r="M429" s="15">
        <f t="shared" si="189"/>
        <v>45920</v>
      </c>
      <c r="N429" s="13">
        <v>45919</v>
      </c>
      <c r="O429" s="2" t="str">
        <f>IFERROR(IF(tblColetas[[#This Row],[Status Coleta]]="Reprovado","Reprovado",IF(ISERROR(SEARCH("Poço",D429)),IF(N429="","Erro",IF(Q429="Reprovado","",WORKDAY(N429,IF(D429="Operacional",10,3),FERIADOS!$A$3:$A$119))),"-")),"-")</f>
        <v>Reprovado</v>
      </c>
      <c r="P429" s="21"/>
      <c r="Q429" s="7" t="s">
        <v>81</v>
      </c>
      <c r="R429" s="13"/>
      <c r="S429" s="33" t="s">
        <v>127</v>
      </c>
      <c r="T429" s="43"/>
      <c r="W429" t="str">
        <f t="shared" si="186"/>
        <v>CDPT73-AP-0016 (Gas Lift)Gas Lift</v>
      </c>
      <c r="X4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0" spans="1:24" ht="12.5" x14ac:dyDescent="0.25">
      <c r="A430" s="10"/>
      <c r="B430" s="19" t="s">
        <v>46</v>
      </c>
      <c r="C430" s="5" t="s">
        <v>69</v>
      </c>
      <c r="D430" s="20" t="s">
        <v>70</v>
      </c>
      <c r="E430" s="35"/>
      <c r="F430" s="29" cm="1">
        <f t="array" ref="F430">IF(V430 &lt;&gt; "", V430, IFERROR(_xlfn.SINGLE(INDEX($G$1:G429,SUMPRODUCT(MAX(($W$1:W429=W430)*(ROW($W$1:W429))))))+IF(D430="Fiscal",30,90),""))</f>
        <v>45899</v>
      </c>
      <c r="G430" s="21">
        <v>45894</v>
      </c>
      <c r="H430" s="15">
        <f t="shared" si="187"/>
        <v>45904</v>
      </c>
      <c r="I430" s="15"/>
      <c r="J430" s="32"/>
      <c r="K430" s="15">
        <f t="shared" si="188"/>
        <v>45914</v>
      </c>
      <c r="L430" s="15"/>
      <c r="M430" s="15">
        <f t="shared" si="189"/>
        <v>45919</v>
      </c>
      <c r="N430" s="13">
        <v>45919</v>
      </c>
      <c r="O430" s="2">
        <f>IFERROR(IF(tblColetas[[#This Row],[Status Coleta]]="Reprovado","Reprovado",IF(ISERROR(SEARCH("Poço",D430)),IF(N430="","Erro",IF(Q430="Reprovado","",WORKDAY(N430,IF(D430="Operacional",10,3),FERIADOS!$A$3:$A$119))),"-")),"-")</f>
        <v>45924</v>
      </c>
      <c r="P430" s="21">
        <v>45924</v>
      </c>
      <c r="Q430" s="7" t="s">
        <v>37</v>
      </c>
      <c r="R430" s="13"/>
      <c r="S430" s="30"/>
      <c r="T430" s="43"/>
      <c r="W430" t="str">
        <f t="shared" si="186"/>
        <v>CDMT73-AP-0001 (Gas Lift)Gas Lift</v>
      </c>
      <c r="X4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1" spans="1:24" ht="12.5" x14ac:dyDescent="0.25">
      <c r="A431" s="10"/>
      <c r="B431" s="19" t="s">
        <v>52</v>
      </c>
      <c r="C431" s="5" t="s">
        <v>104</v>
      </c>
      <c r="D431" s="20" t="s">
        <v>26</v>
      </c>
      <c r="E431" s="35"/>
      <c r="F431" s="29" cm="1">
        <f t="array" ref="F431">IF(V431 &lt;&gt; "", V431, IFERROR(_xlfn.SINGLE(INDEX($G$1:G430,SUMPRODUCT(MAX(($W$1:W430=W431)*(ROW($W$1:W430))))))+IF(D431="Fiscal",30,90),""))</f>
        <v>45903</v>
      </c>
      <c r="G431" s="21">
        <v>45898</v>
      </c>
      <c r="H431" s="15">
        <f t="shared" ref="H431:H434" si="190">IF(G431="","Erro", G431+10)</f>
        <v>45908</v>
      </c>
      <c r="I431" s="15">
        <v>45910</v>
      </c>
      <c r="J431" s="32" t="s">
        <v>118</v>
      </c>
      <c r="K431" s="15">
        <f t="shared" ref="K431:K434" si="191">IF(G431="","Erro",G431+20)</f>
        <v>45918</v>
      </c>
      <c r="L431" s="15">
        <v>45916</v>
      </c>
      <c r="M431" s="15">
        <f t="shared" ref="M431:M434" si="192">IF(G431="","Erro",G431+IF(D431="Operacional",45,25))</f>
        <v>45923</v>
      </c>
      <c r="N431" s="13">
        <v>45923</v>
      </c>
      <c r="O431" s="2" t="str">
        <f>IFERROR(IF(tblColetas[[#This Row],[Status Coleta]]="Reprovado","Reprovado",IF(ISERROR(SEARCH("Poço",D431)),IF(N431="","Erro",IF(Q431="Reprovado","",WORKDAY(N431,IF(D431="Operacional",10,3),FERIADOS!$A$3:$A$119))),"-")),"-")</f>
        <v>-</v>
      </c>
      <c r="P431" s="21"/>
      <c r="Q431" s="7" t="s">
        <v>37</v>
      </c>
      <c r="R431" s="13"/>
      <c r="S431" s="30"/>
      <c r="T431" s="43"/>
      <c r="W431" t="str">
        <f t="shared" si="186"/>
        <v>SEPPoço MRO-17 P-3Poço CG</v>
      </c>
      <c r="X4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2" spans="1:24" ht="12.5" x14ac:dyDescent="0.25">
      <c r="A432" s="10"/>
      <c r="B432" s="19" t="s">
        <v>52</v>
      </c>
      <c r="C432" s="5" t="s">
        <v>104</v>
      </c>
      <c r="D432" s="20" t="s">
        <v>29</v>
      </c>
      <c r="E432" s="35"/>
      <c r="F432" s="29" cm="1">
        <f t="array" ref="F432">IF(V432 &lt;&gt; "", V432, IFERROR(_xlfn.SINGLE(INDEX($G$1:G431,SUMPRODUCT(MAX(($W$1:W431=W432)*(ROW($W$1:W431))))))+IF(D432="Fiscal",30,90),""))</f>
        <v>45903</v>
      </c>
      <c r="G432" s="21">
        <v>45898</v>
      </c>
      <c r="H432" s="15">
        <f t="shared" si="190"/>
        <v>45908</v>
      </c>
      <c r="I432" s="15">
        <v>45910</v>
      </c>
      <c r="J432" s="32" t="s">
        <v>118</v>
      </c>
      <c r="K432" s="15">
        <f t="shared" si="191"/>
        <v>45918</v>
      </c>
      <c r="L432" s="15">
        <v>45916</v>
      </c>
      <c r="M432" s="15">
        <f t="shared" si="192"/>
        <v>45923</v>
      </c>
      <c r="N432" s="13">
        <v>45923</v>
      </c>
      <c r="O432" s="2" t="str">
        <f>IFERROR(IF(tblColetas[[#This Row],[Status Coleta]]="Reprovado","Reprovado",IF(ISERROR(SEARCH("Poço",D432)),IF(N432="","Erro",IF(Q432="Reprovado","",WORKDAY(N432,IF(D432="Operacional",10,3),FERIADOS!$A$3:$A$119))),"-")),"-")</f>
        <v>-</v>
      </c>
      <c r="P432" s="21"/>
      <c r="Q432" s="7" t="s">
        <v>37</v>
      </c>
      <c r="R432" s="13"/>
      <c r="S432" s="30"/>
      <c r="T432" s="43"/>
      <c r="W432" t="str">
        <f t="shared" si="186"/>
        <v>SEPPoço MRO-17 P-3Poço PVT</v>
      </c>
      <c r="X4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3" spans="1:24" ht="12.5" x14ac:dyDescent="0.25">
      <c r="A433" s="10"/>
      <c r="B433" s="8" t="s">
        <v>145</v>
      </c>
      <c r="C433" s="5" t="s">
        <v>166</v>
      </c>
      <c r="D433" s="9" t="s">
        <v>26</v>
      </c>
      <c r="E433" s="36"/>
      <c r="F433" s="29" cm="1">
        <f t="array" ref="F433">IF(V433 &lt;&gt; "", V433, IFERROR(_xlfn.SINGLE(INDEX($G$1:G432,SUMPRODUCT(MAX(($W$1:W432=W433)*(ROW($W$1:W432))))))+IF(D433="Fiscal",30,90),""))</f>
        <v>45905</v>
      </c>
      <c r="G433" s="13">
        <v>45859</v>
      </c>
      <c r="H433" s="15">
        <f t="shared" si="190"/>
        <v>45869</v>
      </c>
      <c r="I433" s="15">
        <v>45859</v>
      </c>
      <c r="J433" s="32" t="s">
        <v>197</v>
      </c>
      <c r="K433" s="15">
        <f t="shared" si="191"/>
        <v>45879</v>
      </c>
      <c r="L433" s="15">
        <v>45868</v>
      </c>
      <c r="M433" s="15">
        <f t="shared" si="192"/>
        <v>45884</v>
      </c>
      <c r="N433" s="13">
        <v>45884</v>
      </c>
      <c r="O433" s="2" t="str">
        <f>IFERROR(IF(tblColetas[[#This Row],[Status Coleta]]="Reprovado","Reprovado",IF(ISERROR(SEARCH("Poço",D433)),IF(N433="","Erro",IF(Q433="Reprovado","",WORKDAY(N433,IF(D433="Operacional",10,3),FERIADOS!$A$3:$A$119))),"-")),"-")</f>
        <v>-</v>
      </c>
      <c r="P433" s="13"/>
      <c r="Q433" s="7" t="s">
        <v>37</v>
      </c>
      <c r="R433" s="13"/>
      <c r="S433" s="30"/>
      <c r="T433" s="43"/>
      <c r="W433" t="str">
        <f t="shared" si="186"/>
        <v>ATDPoço 7-BUZ-74D-RJS (P-5)Poço CG</v>
      </c>
      <c r="X4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4" spans="1:24" ht="12.5" x14ac:dyDescent="0.25">
      <c r="A434" s="10"/>
      <c r="B434" s="8" t="s">
        <v>145</v>
      </c>
      <c r="C434" s="5" t="s">
        <v>166</v>
      </c>
      <c r="D434" s="9" t="s">
        <v>29</v>
      </c>
      <c r="E434" s="36"/>
      <c r="F434" s="29" cm="1">
        <f t="array" ref="F434">IF(V434 &lt;&gt; "", V434, IFERROR(_xlfn.SINGLE(INDEX($G$1:G433,SUMPRODUCT(MAX(($W$1:W433=W434)*(ROW($W$1:W433))))))+IF(D434="Fiscal",30,90),""))</f>
        <v>45905</v>
      </c>
      <c r="G434" s="13">
        <v>45859</v>
      </c>
      <c r="H434" s="15">
        <f t="shared" si="190"/>
        <v>45869</v>
      </c>
      <c r="I434" s="15">
        <v>45859</v>
      </c>
      <c r="J434" s="32" t="s">
        <v>197</v>
      </c>
      <c r="K434" s="15">
        <f t="shared" si="191"/>
        <v>45879</v>
      </c>
      <c r="L434" s="15">
        <v>45868</v>
      </c>
      <c r="M434" s="15">
        <f t="shared" si="192"/>
        <v>45884</v>
      </c>
      <c r="N434" s="13">
        <v>45884</v>
      </c>
      <c r="O434" s="2" t="str">
        <f>IFERROR(IF(tblColetas[[#This Row],[Status Coleta]]="Reprovado","Reprovado",IF(ISERROR(SEARCH("Poço",D434)),IF(N434="","Erro",IF(Q434="Reprovado","",WORKDAY(N434,IF(D434="Operacional",10,3),FERIADOS!$A$3:$A$119))),"-")),"-")</f>
        <v>-</v>
      </c>
      <c r="P434" s="13"/>
      <c r="Q434" s="7" t="s">
        <v>37</v>
      </c>
      <c r="R434" s="13"/>
      <c r="S434" s="30"/>
      <c r="T434" s="43"/>
      <c r="W434" t="str">
        <f t="shared" si="186"/>
        <v>ATDPoço 7-BUZ-74D-RJS (P-5)Poço PVT</v>
      </c>
      <c r="X4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5" spans="1:24" ht="12.5" x14ac:dyDescent="0.25">
      <c r="A435" s="10"/>
      <c r="B435" s="19" t="s">
        <v>34</v>
      </c>
      <c r="C435" s="5" t="s">
        <v>35</v>
      </c>
      <c r="D435" s="20" t="s">
        <v>26</v>
      </c>
      <c r="E435" s="35"/>
      <c r="F435" s="29" cm="1">
        <f t="array" ref="F435">IF(V435 &lt;&gt; "", V435, IFERROR(_xlfn.SINGLE(INDEX($G$1:G434,SUMPRODUCT(MAX(($W$1:W434=W435)*(ROW($W$1:W434))))))+IF(D435="Fiscal",30,90),""))</f>
        <v>45908</v>
      </c>
      <c r="G435" s="21">
        <v>45888</v>
      </c>
      <c r="H435" s="15">
        <f t="shared" ref="H435:H440" si="193">IF(G435="","Erro", G435+10)</f>
        <v>45898</v>
      </c>
      <c r="I435" s="15">
        <v>45893</v>
      </c>
      <c r="J435" s="32" t="s">
        <v>188</v>
      </c>
      <c r="K435" s="15">
        <f t="shared" ref="K435:K440" si="194">IF(G435="","Erro",G435+20)</f>
        <v>45908</v>
      </c>
      <c r="L435" s="15">
        <v>45898</v>
      </c>
      <c r="M435" s="15">
        <f t="shared" ref="M435:M440" si="195">IF(G435="","Erro",G435+IF(D435="Operacional",45,25))</f>
        <v>45913</v>
      </c>
      <c r="N435" s="13">
        <v>45912</v>
      </c>
      <c r="O435" s="2" t="str">
        <f>IFERROR(IF(tblColetas[[#This Row],[Status Coleta]]="Reprovado","Reprovado",IF(ISERROR(SEARCH("Poço",D435)),IF(N435="","Erro",IF(Q435="Reprovado","",WORKDAY(N435,IF(D435="Operacional",10,3),FERIADOS!$A$3:$A$119))),"-")),"-")</f>
        <v>-</v>
      </c>
      <c r="P435" s="21"/>
      <c r="Q435" s="7" t="s">
        <v>37</v>
      </c>
      <c r="R435" s="13"/>
      <c r="S435" s="30"/>
      <c r="T435" s="43"/>
      <c r="W435" t="str">
        <f t="shared" si="186"/>
        <v>CDSPoço LL-07 (P-03)Poço CG</v>
      </c>
      <c r="X4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6" spans="1:24" ht="12.5" x14ac:dyDescent="0.25">
      <c r="A436" s="10"/>
      <c r="B436" s="19" t="s">
        <v>34</v>
      </c>
      <c r="C436" s="5" t="s">
        <v>35</v>
      </c>
      <c r="D436" s="20" t="s">
        <v>29</v>
      </c>
      <c r="E436" s="35"/>
      <c r="F436" s="29" cm="1">
        <f t="array" ref="F436">IF(V436 &lt;&gt; "", V436, IFERROR(_xlfn.SINGLE(INDEX($G$1:G435,SUMPRODUCT(MAX(($W$1:W435=W436)*(ROW($W$1:W435))))))+IF(D436="Fiscal",30,90),""))</f>
        <v>45908</v>
      </c>
      <c r="G436" s="21">
        <v>45888</v>
      </c>
      <c r="H436" s="15">
        <f t="shared" si="193"/>
        <v>45898</v>
      </c>
      <c r="I436" s="15">
        <v>45893</v>
      </c>
      <c r="J436" s="32" t="s">
        <v>188</v>
      </c>
      <c r="K436" s="15">
        <f t="shared" si="194"/>
        <v>45908</v>
      </c>
      <c r="L436" s="15">
        <v>45898</v>
      </c>
      <c r="M436" s="15">
        <f t="shared" si="195"/>
        <v>45913</v>
      </c>
      <c r="N436" s="13">
        <v>45912</v>
      </c>
      <c r="O436" s="2" t="str">
        <f>IFERROR(IF(tblColetas[[#This Row],[Status Coleta]]="Reprovado","Reprovado",IF(ISERROR(SEARCH("Poço",D436)),IF(N436="","Erro",IF(Q436="Reprovado","",WORKDAY(N436,IF(D436="Operacional",10,3),FERIADOS!$A$3:$A$119))),"-")),"-")</f>
        <v>-</v>
      </c>
      <c r="P436" s="21"/>
      <c r="Q436" s="7" t="s">
        <v>37</v>
      </c>
      <c r="R436" s="13"/>
      <c r="S436" s="30"/>
      <c r="T436" s="43"/>
      <c r="W436" t="str">
        <f t="shared" si="186"/>
        <v>CDSPoço LL-07 (P-03)Poço PVT</v>
      </c>
      <c r="X4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7" spans="1:24" ht="12.5" x14ac:dyDescent="0.25">
      <c r="A437" s="10"/>
      <c r="B437" s="8" t="s">
        <v>52</v>
      </c>
      <c r="C437" s="5" t="s">
        <v>111</v>
      </c>
      <c r="D437" s="9" t="s">
        <v>26</v>
      </c>
      <c r="E437" s="36"/>
      <c r="F437" s="29" cm="1">
        <f t="array" ref="F437">IF(V437 &lt;&gt; "", V437, IFERROR(_xlfn.SINGLE(INDEX($G$1:G436,SUMPRODUCT(MAX(($W$1:W436=W437)*(ROW($W$1:W436))))))+IF(D437="Fiscal",30,90),""))</f>
        <v>45905</v>
      </c>
      <c r="G437" s="13">
        <v>45857</v>
      </c>
      <c r="H437" s="15">
        <f t="shared" si="193"/>
        <v>45867</v>
      </c>
      <c r="I437" s="15">
        <v>45862</v>
      </c>
      <c r="J437" s="32" t="s">
        <v>198</v>
      </c>
      <c r="K437" s="15">
        <f t="shared" si="194"/>
        <v>45877</v>
      </c>
      <c r="L437" s="15">
        <v>45868</v>
      </c>
      <c r="M437" s="15">
        <f t="shared" si="195"/>
        <v>45882</v>
      </c>
      <c r="N437" s="13">
        <v>45882</v>
      </c>
      <c r="O437" s="2" t="str">
        <f>IFERROR(IF(tblColetas[[#This Row],[Status Coleta]]="Reprovado","Reprovado",IF(ISERROR(SEARCH("Poço",D437)),IF(N437="","Erro",IF(Q437="Reprovado","",WORKDAY(N437,IF(D437="Operacional",10,3),FERIADOS!$A$3:$A$119))),"-")),"-")</f>
        <v>-</v>
      </c>
      <c r="P437" s="13"/>
      <c r="Q437" s="7" t="s">
        <v>37</v>
      </c>
      <c r="R437" s="13"/>
      <c r="S437" s="30"/>
      <c r="T437" s="43"/>
      <c r="W437" t="str">
        <f t="shared" si="186"/>
        <v>SEPPoço 3-RJS-739A P-6Poço CG</v>
      </c>
      <c r="X4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8" spans="1:24" ht="12.5" x14ac:dyDescent="0.25">
      <c r="A438" s="10"/>
      <c r="B438" s="8" t="s">
        <v>52</v>
      </c>
      <c r="C438" s="5" t="s">
        <v>111</v>
      </c>
      <c r="D438" s="9" t="s">
        <v>29</v>
      </c>
      <c r="E438" s="36"/>
      <c r="F438" s="29" cm="1">
        <f t="array" ref="F438">IF(V438 &lt;&gt; "", V438, IFERROR(_xlfn.SINGLE(INDEX($G$1:G437,SUMPRODUCT(MAX(($W$1:W437=W438)*(ROW($W$1:W437))))))+IF(D438="Fiscal",30,90),""))</f>
        <v>45905</v>
      </c>
      <c r="G438" s="13">
        <v>45857</v>
      </c>
      <c r="H438" s="15">
        <f t="shared" si="193"/>
        <v>45867</v>
      </c>
      <c r="I438" s="15">
        <v>45862</v>
      </c>
      <c r="J438" s="32" t="s">
        <v>198</v>
      </c>
      <c r="K438" s="15">
        <f t="shared" si="194"/>
        <v>45877</v>
      </c>
      <c r="L438" s="15">
        <v>45868</v>
      </c>
      <c r="M438" s="15">
        <f t="shared" si="195"/>
        <v>45882</v>
      </c>
      <c r="N438" s="13">
        <v>45882</v>
      </c>
      <c r="O438" s="2" t="str">
        <f>IFERROR(IF(tblColetas[[#This Row],[Status Coleta]]="Reprovado","Reprovado",IF(ISERROR(SEARCH("Poço",D438)),IF(N438="","Erro",IF(Q438="Reprovado","",WORKDAY(N438,IF(D438="Operacional",10,3),FERIADOS!$A$3:$A$119))),"-")),"-")</f>
        <v>Reprovado</v>
      </c>
      <c r="P438" s="13"/>
      <c r="Q438" s="7" t="s">
        <v>81</v>
      </c>
      <c r="R438" s="13"/>
      <c r="S438" s="30" t="s">
        <v>127</v>
      </c>
      <c r="T438" s="43"/>
      <c r="W438" t="str">
        <f t="shared" si="186"/>
        <v>SEPPoço 3-RJS-739A P-6Poço PVT</v>
      </c>
      <c r="X4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39" spans="1:24" ht="12.5" x14ac:dyDescent="0.25">
      <c r="A439" s="10"/>
      <c r="B439" s="8" t="s">
        <v>31</v>
      </c>
      <c r="C439" s="5" t="s">
        <v>108</v>
      </c>
      <c r="D439" s="9" t="s">
        <v>26</v>
      </c>
      <c r="E439" s="36"/>
      <c r="F439" s="29" cm="1">
        <f t="array" ref="F439">IF(V439 &lt;&gt; "", V439, IFERROR(_xlfn.SINGLE(INDEX($G$1:G438,SUMPRODUCT(MAX(($W$1:W438=W439)*(ROW($W$1:W438))))))+IF(D439="Fiscal",30,90),""))</f>
        <v>45908</v>
      </c>
      <c r="G439" s="13">
        <v>45891</v>
      </c>
      <c r="H439" s="15">
        <f t="shared" si="193"/>
        <v>45901</v>
      </c>
      <c r="I439" s="15">
        <v>45896</v>
      </c>
      <c r="J439" s="32" t="s">
        <v>168</v>
      </c>
      <c r="K439" s="15">
        <f t="shared" si="194"/>
        <v>45911</v>
      </c>
      <c r="L439" s="15">
        <v>45904</v>
      </c>
      <c r="M439" s="15">
        <f t="shared" si="195"/>
        <v>45916</v>
      </c>
      <c r="N439" s="13">
        <v>45916</v>
      </c>
      <c r="O439" s="2" t="str">
        <f>IFERROR(IF(tblColetas[[#This Row],[Status Coleta]]="Reprovado","Reprovado",IF(ISERROR(SEARCH("Poço",D439)),IF(N439="","Erro",IF(Q439="Reprovado","",WORKDAY(N439,IF(D439="Operacional",10,3),FERIADOS!$A$3:$A$119))),"-")),"-")</f>
        <v>-</v>
      </c>
      <c r="P439" s="13"/>
      <c r="Q439" s="7" t="s">
        <v>37</v>
      </c>
      <c r="R439" s="13"/>
      <c r="S439" s="30"/>
      <c r="T439" s="43"/>
      <c r="W439" t="str">
        <f t="shared" si="186"/>
        <v>CDIPoço SPH-6 (P-10)Poço CG</v>
      </c>
      <c r="X4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0" spans="1:24" ht="12.5" x14ac:dyDescent="0.25">
      <c r="A440" s="10"/>
      <c r="B440" s="8" t="s">
        <v>31</v>
      </c>
      <c r="C440" s="5" t="s">
        <v>108</v>
      </c>
      <c r="D440" s="9" t="s">
        <v>29</v>
      </c>
      <c r="E440" s="36"/>
      <c r="F440" s="29" cm="1">
        <f t="array" ref="F440">IF(V440 &lt;&gt; "", V440, IFERROR(_xlfn.SINGLE(INDEX($G$1:G439,SUMPRODUCT(MAX(($W$1:W439=W440)*(ROW($W$1:W439))))))+IF(D440="Fiscal",30,90),""))</f>
        <v>45908</v>
      </c>
      <c r="G440" s="13">
        <v>45891</v>
      </c>
      <c r="H440" s="15">
        <f t="shared" si="193"/>
        <v>45901</v>
      </c>
      <c r="I440" s="15">
        <v>45896</v>
      </c>
      <c r="J440" s="32" t="s">
        <v>168</v>
      </c>
      <c r="K440" s="15">
        <f t="shared" si="194"/>
        <v>45911</v>
      </c>
      <c r="L440" s="15">
        <v>45904</v>
      </c>
      <c r="M440" s="15">
        <f t="shared" si="195"/>
        <v>45916</v>
      </c>
      <c r="N440" s="13">
        <v>45916</v>
      </c>
      <c r="O440" s="2" t="str">
        <f>IFERROR(IF(tblColetas[[#This Row],[Status Coleta]]="Reprovado","Reprovado",IF(ISERROR(SEARCH("Poço",D440)),IF(N440="","Erro",IF(Q440="Reprovado","",WORKDAY(N440,IF(D440="Operacional",10,3),FERIADOS!$A$3:$A$119))),"-")),"-")</f>
        <v>-</v>
      </c>
      <c r="P440" s="13"/>
      <c r="Q440" s="7" t="s">
        <v>37</v>
      </c>
      <c r="R440" s="13"/>
      <c r="S440" s="30"/>
      <c r="T440" s="43"/>
      <c r="W440" t="str">
        <f t="shared" si="186"/>
        <v>CDIPoço SPH-6 (P-10)Poço PVT</v>
      </c>
      <c r="X4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1" spans="1:24" ht="12.5" x14ac:dyDescent="0.25">
      <c r="A441" s="10"/>
      <c r="B441" s="19" t="s">
        <v>31</v>
      </c>
      <c r="C441" s="5" t="s">
        <v>122</v>
      </c>
      <c r="D441" s="20" t="s">
        <v>72</v>
      </c>
      <c r="E441" s="35"/>
      <c r="F441" s="29" cm="1">
        <f t="array" ref="F441">IF(V441 &lt;&gt; "", V441, IFERROR(_xlfn.SINGLE(INDEX($G$1:G440,SUMPRODUCT(MAX(($W$1:W440=W441)*(ROW($W$1:W440))))))+IF(D441="Fiscal",30,90),""))</f>
        <v>45847</v>
      </c>
      <c r="G441" s="21">
        <v>45846</v>
      </c>
      <c r="H441" s="15">
        <f t="shared" ref="H441:H446" si="196">IF(G441="","Erro", G441+10)</f>
        <v>45856</v>
      </c>
      <c r="I441" s="15"/>
      <c r="J441" s="32"/>
      <c r="K441" s="15">
        <f t="shared" ref="K441:K446" si="197">IF(G441="","Erro",G441+20)</f>
        <v>45866</v>
      </c>
      <c r="L441" s="15"/>
      <c r="M441" s="15">
        <f t="shared" ref="M441:M446" si="198">IF(G441="","Erro",G441+IF(D441="Operacional",45,25))</f>
        <v>45871</v>
      </c>
      <c r="N441" s="13">
        <v>45870</v>
      </c>
      <c r="O441" s="2">
        <f>IFERROR(IF(tblColetas[[#This Row],[Status Coleta]]="Reprovado","Reprovado",IF(ISERROR(SEARCH("Poço",D441)),IF(N441="","Erro",IF(Q441="Reprovado","",WORKDAY(N441,IF(D441="Operacional",10,3),FERIADOS!$A$3:$A$119))),"-")),"-")</f>
        <v>45875</v>
      </c>
      <c r="P441" s="21">
        <v>45874</v>
      </c>
      <c r="Q441" s="7" t="s">
        <v>37</v>
      </c>
      <c r="R441" s="13"/>
      <c r="S441" s="30"/>
      <c r="T441" s="43"/>
      <c r="W441" t="str">
        <f t="shared" si="186"/>
        <v>CDIT77-FT-6911 (Export gas)Fiscal</v>
      </c>
      <c r="X4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2" spans="1:24" ht="12.5" x14ac:dyDescent="0.25">
      <c r="A442" s="10"/>
      <c r="B442" s="19" t="s">
        <v>31</v>
      </c>
      <c r="C442" s="5" t="s">
        <v>71</v>
      </c>
      <c r="D442" s="20" t="s">
        <v>72</v>
      </c>
      <c r="E442" s="35"/>
      <c r="F442" s="29" cm="1">
        <f t="array" ref="F442">IF(V442 &lt;&gt; "", V442, IFERROR(_xlfn.SINGLE(INDEX($G$1:G441,SUMPRODUCT(MAX(($W$1:W441=W442)*(ROW($W$1:W441))))))+IF(D442="Fiscal",30,90),""))</f>
        <v>45847</v>
      </c>
      <c r="G442" s="21">
        <v>45846</v>
      </c>
      <c r="H442" s="15">
        <f t="shared" si="196"/>
        <v>45856</v>
      </c>
      <c r="I442" s="15"/>
      <c r="J442" s="32"/>
      <c r="K442" s="15">
        <f t="shared" si="197"/>
        <v>45866</v>
      </c>
      <c r="L442" s="15"/>
      <c r="M442" s="15">
        <f t="shared" si="198"/>
        <v>45871</v>
      </c>
      <c r="N442" s="13">
        <v>45870</v>
      </c>
      <c r="O442" s="2">
        <f>IFERROR(IF(tblColetas[[#This Row],[Status Coleta]]="Reprovado","Reprovado",IF(ISERROR(SEARCH("Poço",D442)),IF(N442="","Erro",IF(Q442="Reprovado","",WORKDAY(N442,IF(D442="Operacional",10,3),FERIADOS!$A$3:$A$119))),"-")),"-")</f>
        <v>45875</v>
      </c>
      <c r="P442" s="21">
        <v>45874</v>
      </c>
      <c r="Q442" s="7" t="s">
        <v>37</v>
      </c>
      <c r="R442" s="13"/>
      <c r="S442" s="30"/>
      <c r="T442" s="43"/>
      <c r="W442" t="str">
        <f t="shared" si="186"/>
        <v>CDIT77-FT-0103 (Fuel Gas)Fiscal</v>
      </c>
      <c r="X4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3" spans="1:24" ht="12.5" x14ac:dyDescent="0.25">
      <c r="A443" s="10"/>
      <c r="B443" s="19" t="s">
        <v>31</v>
      </c>
      <c r="C443" s="5" t="s">
        <v>74</v>
      </c>
      <c r="D443" s="20" t="s">
        <v>72</v>
      </c>
      <c r="E443" s="35"/>
      <c r="F443" s="29" cm="1">
        <f t="array" ref="F443">IF(V443 &lt;&gt; "", V443, IFERROR(_xlfn.SINGLE(INDEX($G$1:G442,SUMPRODUCT(MAX(($W$1:W442=W443)*(ROW($W$1:W442))))))+IF(D443="Fiscal",30,90),""))</f>
        <v>45847</v>
      </c>
      <c r="G443" s="21">
        <v>45846</v>
      </c>
      <c r="H443" s="15">
        <f t="shared" si="196"/>
        <v>45856</v>
      </c>
      <c r="I443" s="15"/>
      <c r="J443" s="32"/>
      <c r="K443" s="15">
        <f t="shared" si="197"/>
        <v>45866</v>
      </c>
      <c r="L443" s="15"/>
      <c r="M443" s="15">
        <f t="shared" si="198"/>
        <v>45871</v>
      </c>
      <c r="N443" s="13">
        <v>45870</v>
      </c>
      <c r="O443" s="2">
        <f>IFERROR(IF(tblColetas[[#This Row],[Status Coleta]]="Reprovado","Reprovado",IF(ISERROR(SEARCH("Poço",D443)),IF(N443="","Erro",IF(Q443="Reprovado","",WORKDAY(N443,IF(D443="Operacional",10,3),FERIADOS!$A$3:$A$119))),"-")),"-")</f>
        <v>45875</v>
      </c>
      <c r="P443" s="21">
        <v>45874</v>
      </c>
      <c r="Q443" s="7" t="s">
        <v>37</v>
      </c>
      <c r="R443" s="13"/>
      <c r="S443" s="30"/>
      <c r="T443" s="43"/>
      <c r="W443" t="str">
        <f t="shared" si="186"/>
        <v>CDIT76-FT-0014 (HP Flare)Fiscal</v>
      </c>
      <c r="X4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4" spans="1:24" ht="12.5" x14ac:dyDescent="0.25">
      <c r="A444" s="10"/>
      <c r="B444" s="19" t="s">
        <v>31</v>
      </c>
      <c r="C444" s="5" t="s">
        <v>75</v>
      </c>
      <c r="D444" s="20" t="s">
        <v>72</v>
      </c>
      <c r="E444" s="35"/>
      <c r="F444" s="29" cm="1">
        <f t="array" ref="F444">IF(V444 &lt;&gt; "", V444, IFERROR(_xlfn.SINGLE(INDEX($G$1:G443,SUMPRODUCT(MAX(($W$1:W443=W444)*(ROW($W$1:W443))))))+IF(D444="Fiscal",30,90),""))</f>
        <v>45847</v>
      </c>
      <c r="G444" s="21">
        <v>45846</v>
      </c>
      <c r="H444" s="15">
        <f t="shared" si="196"/>
        <v>45856</v>
      </c>
      <c r="I444" s="15"/>
      <c r="J444" s="32"/>
      <c r="K444" s="15">
        <f t="shared" si="197"/>
        <v>45866</v>
      </c>
      <c r="L444" s="15"/>
      <c r="M444" s="15">
        <f t="shared" si="198"/>
        <v>45871</v>
      </c>
      <c r="N444" s="13">
        <v>45870</v>
      </c>
      <c r="O444" s="2">
        <f>IFERROR(IF(tblColetas[[#This Row],[Status Coleta]]="Reprovado","Reprovado",IF(ISERROR(SEARCH("Poço",D444)),IF(N444="","Erro",IF(Q444="Reprovado","",WORKDAY(N444,IF(D444="Operacional",10,3),FERIADOS!$A$3:$A$119))),"-")),"-")</f>
        <v>45875</v>
      </c>
      <c r="P444" s="21">
        <v>45874</v>
      </c>
      <c r="Q444" s="7" t="s">
        <v>37</v>
      </c>
      <c r="R444" s="13"/>
      <c r="S444" s="30"/>
      <c r="T444" s="43"/>
      <c r="W444" t="str">
        <f t="shared" si="186"/>
        <v>CDIT76-FT-0034 (LP Flare)Fiscal</v>
      </c>
      <c r="X4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5" spans="1:24" ht="12.5" x14ac:dyDescent="0.25">
      <c r="A445" s="10"/>
      <c r="B445" s="19" t="s">
        <v>46</v>
      </c>
      <c r="C445" s="5" t="s">
        <v>48</v>
      </c>
      <c r="D445" s="20" t="s">
        <v>26</v>
      </c>
      <c r="E445" s="35"/>
      <c r="F445" s="29" cm="1">
        <f t="array" ref="F445">IF(V445 &lt;&gt; "", V445, IFERROR(_xlfn.SINGLE(INDEX($G$1:G444,SUMPRODUCT(MAX(($W$1:W444=W445)*(ROW($W$1:W444))))))+IF(D445="Fiscal",30,90),""))</f>
        <v>45910</v>
      </c>
      <c r="G445" s="21">
        <v>45893</v>
      </c>
      <c r="H445" s="15">
        <f t="shared" si="196"/>
        <v>45903</v>
      </c>
      <c r="I445" s="15">
        <v>45900</v>
      </c>
      <c r="J445" s="32" t="s">
        <v>199</v>
      </c>
      <c r="K445" s="15">
        <f t="shared" si="197"/>
        <v>45913</v>
      </c>
      <c r="L445" s="15">
        <v>45908</v>
      </c>
      <c r="M445" s="15">
        <f t="shared" si="198"/>
        <v>45918</v>
      </c>
      <c r="N445" s="13">
        <v>45918</v>
      </c>
      <c r="O445" s="2" t="str">
        <f>IFERROR(IF(tblColetas[[#This Row],[Status Coleta]]="Reprovado","Reprovado",IF(ISERROR(SEARCH("Poço",D445)),IF(N445="","Erro",IF(Q445="Reprovado","",WORKDAY(N445,IF(D445="Operacional",10,3),FERIADOS!$A$3:$A$119))),"-")),"-")</f>
        <v>-</v>
      </c>
      <c r="P445" s="21"/>
      <c r="Q445" s="7" t="s">
        <v>37</v>
      </c>
      <c r="R445" s="13"/>
      <c r="S445" s="30"/>
      <c r="T445" s="43"/>
      <c r="W445" t="str">
        <f t="shared" si="186"/>
        <v>CDMPoço LL-66 (P-09)Poço CG</v>
      </c>
      <c r="X4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6" spans="1:24" ht="12.5" x14ac:dyDescent="0.25">
      <c r="A446" s="10"/>
      <c r="B446" s="19" t="s">
        <v>46</v>
      </c>
      <c r="C446" s="5" t="s">
        <v>48</v>
      </c>
      <c r="D446" s="20" t="s">
        <v>29</v>
      </c>
      <c r="E446" s="35"/>
      <c r="F446" s="29" cm="1">
        <f t="array" ref="F446">IF(V446 &lt;&gt; "", V446, IFERROR(_xlfn.SINGLE(INDEX($G$1:G445,SUMPRODUCT(MAX(($W$1:W445=W446)*(ROW($W$1:W445))))))+IF(D446="Fiscal",30,90),""))</f>
        <v>45910</v>
      </c>
      <c r="G446" s="21">
        <v>45893</v>
      </c>
      <c r="H446" s="15">
        <f t="shared" si="196"/>
        <v>45903</v>
      </c>
      <c r="I446" s="15">
        <v>45900</v>
      </c>
      <c r="J446" s="32" t="s">
        <v>199</v>
      </c>
      <c r="K446" s="15">
        <f t="shared" si="197"/>
        <v>45913</v>
      </c>
      <c r="L446" s="15">
        <v>45908</v>
      </c>
      <c r="M446" s="15">
        <f t="shared" si="198"/>
        <v>45918</v>
      </c>
      <c r="N446" s="13">
        <v>45918</v>
      </c>
      <c r="O446" s="2" t="str">
        <f>IFERROR(IF(tblColetas[[#This Row],[Status Coleta]]="Reprovado","Reprovado",IF(ISERROR(SEARCH("Poço",D446)),IF(N446="","Erro",IF(Q446="Reprovado","",WORKDAY(N446,IF(D446="Operacional",10,3),FERIADOS!$A$3:$A$119))),"-")),"-")</f>
        <v>-</v>
      </c>
      <c r="P446" s="21"/>
      <c r="Q446" s="7" t="s">
        <v>37</v>
      </c>
      <c r="R446" s="13"/>
      <c r="S446" s="30"/>
      <c r="T446" s="43"/>
      <c r="W446" t="str">
        <f t="shared" si="186"/>
        <v>CDMPoço LL-66 (P-09)Poço PVT</v>
      </c>
      <c r="X4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7" spans="1:24" ht="12.5" x14ac:dyDescent="0.25">
      <c r="A447" s="10"/>
      <c r="B447" s="8" t="s">
        <v>145</v>
      </c>
      <c r="C447" s="5" t="s">
        <v>146</v>
      </c>
      <c r="D447" s="9" t="s">
        <v>72</v>
      </c>
      <c r="E447" s="36"/>
      <c r="F447" s="29" cm="1">
        <f t="array" ref="F447">IF(V447 &lt;&gt; "", V447, IFERROR(_xlfn.SINGLE(INDEX($G$1:G446,SUMPRODUCT(MAX(($W$1:W446=W447)*(ROW($W$1:W446))))))+IF(D447="Fiscal",30,90),""))</f>
        <v>45850</v>
      </c>
      <c r="G447" s="13">
        <v>45848</v>
      </c>
      <c r="H447" s="15">
        <f t="shared" ref="H447:H453" si="199">IF(G447="","Erro", G447+10)</f>
        <v>45858</v>
      </c>
      <c r="I447" s="15"/>
      <c r="J447" s="32"/>
      <c r="K447" s="15">
        <f t="shared" ref="K447:K453" si="200">IF(G447="","Erro",G447+20)</f>
        <v>45868</v>
      </c>
      <c r="L447" s="15"/>
      <c r="M447" s="15">
        <f t="shared" ref="M447:M453" si="201">IF(G447="","Erro",G447+IF(D447="Operacional",45,25))</f>
        <v>45873</v>
      </c>
      <c r="N447" s="13">
        <v>45873</v>
      </c>
      <c r="O447" s="2">
        <f>IFERROR(IF(tblColetas[[#This Row],[Status Coleta]]="Reprovado","Reprovado",IF(ISERROR(SEARCH("Poço",D447)),IF(N447="","Erro",IF(Q447="Reprovado","",WORKDAY(N447,IF(D447="Operacional",10,3),FERIADOS!$A$3:$A$119))),"-")),"-")</f>
        <v>45876</v>
      </c>
      <c r="P447" s="13">
        <v>45875</v>
      </c>
      <c r="Q447" s="7" t="s">
        <v>37</v>
      </c>
      <c r="R447" s="13"/>
      <c r="S447" s="30"/>
      <c r="T447" s="43"/>
      <c r="W447" t="str">
        <f t="shared" si="186"/>
        <v>ATD777-AP-1403 (Fuel Gas to Flare Stack)Fiscal</v>
      </c>
      <c r="X4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8" spans="1:24" ht="12.5" x14ac:dyDescent="0.25">
      <c r="A448" s="10"/>
      <c r="B448" s="8" t="s">
        <v>145</v>
      </c>
      <c r="C448" s="5" t="s">
        <v>147</v>
      </c>
      <c r="D448" s="9" t="s">
        <v>72</v>
      </c>
      <c r="E448" s="36"/>
      <c r="F448" s="29" cm="1">
        <f t="array" ref="F448">IF(V448 &lt;&gt; "", V448, IFERROR(_xlfn.SINGLE(INDEX($G$1:G447,SUMPRODUCT(MAX(($W$1:W447=W448)*(ROW($W$1:W447))))))+IF(D448="Fiscal",30,90),""))</f>
        <v>45850</v>
      </c>
      <c r="G448" s="13">
        <v>45848</v>
      </c>
      <c r="H448" s="15">
        <f t="shared" si="199"/>
        <v>45858</v>
      </c>
      <c r="I448" s="15"/>
      <c r="J448" s="32"/>
      <c r="K448" s="15">
        <f t="shared" si="200"/>
        <v>45868</v>
      </c>
      <c r="L448" s="15"/>
      <c r="M448" s="15">
        <f t="shared" si="201"/>
        <v>45873</v>
      </c>
      <c r="N448" s="13">
        <v>45873</v>
      </c>
      <c r="O448" s="2">
        <f>IFERROR(IF(tblColetas[[#This Row],[Status Coleta]]="Reprovado","Reprovado",IF(ISERROR(SEARCH("Poço",D448)),IF(N448="","Erro",IF(Q448="Reprovado","",WORKDAY(N448,IF(D448="Operacional",10,3),FERIADOS!$A$3:$A$119))),"-")),"-")</f>
        <v>45876</v>
      </c>
      <c r="P448" s="13">
        <v>45875</v>
      </c>
      <c r="Q448" s="7" t="s">
        <v>37</v>
      </c>
      <c r="R448" s="13"/>
      <c r="S448" s="30"/>
      <c r="T448" s="43"/>
      <c r="W448" t="str">
        <f t="shared" si="186"/>
        <v>ATD777-AP-1506 (Fuel Gas)Fiscal</v>
      </c>
      <c r="X4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49" spans="1:24" ht="12.5" x14ac:dyDescent="0.25">
      <c r="A449" s="10"/>
      <c r="B449" s="8" t="s">
        <v>145</v>
      </c>
      <c r="C449" s="5" t="s">
        <v>148</v>
      </c>
      <c r="D449" s="9" t="s">
        <v>72</v>
      </c>
      <c r="E449" s="36"/>
      <c r="F449" s="29" cm="1">
        <f t="array" ref="F449">IF(V449 &lt;&gt; "", V449, IFERROR(_xlfn.SINGLE(INDEX($G$1:G448,SUMPRODUCT(MAX(($W$1:W448=W449)*(ROW($W$1:W448))))))+IF(D449="Fiscal",30,90),""))</f>
        <v>45850</v>
      </c>
      <c r="G449" s="13">
        <v>45848</v>
      </c>
      <c r="H449" s="15">
        <f t="shared" si="199"/>
        <v>45858</v>
      </c>
      <c r="I449" s="15"/>
      <c r="J449" s="32"/>
      <c r="K449" s="15">
        <f t="shared" si="200"/>
        <v>45868</v>
      </c>
      <c r="L449" s="15"/>
      <c r="M449" s="15">
        <f t="shared" si="201"/>
        <v>45873</v>
      </c>
      <c r="N449" s="13">
        <v>45873</v>
      </c>
      <c r="O449" s="2">
        <f>IFERROR(IF(tblColetas[[#This Row],[Status Coleta]]="Reprovado","Reprovado",IF(ISERROR(SEARCH("Poço",D449)),IF(N449="","Erro",IF(Q449="Reprovado","",WORKDAY(N449,IF(D449="Operacional",10,3),FERIADOS!$A$3:$A$119))),"-")),"-")</f>
        <v>45876</v>
      </c>
      <c r="P449" s="13">
        <v>45875</v>
      </c>
      <c r="Q449" s="7" t="s">
        <v>37</v>
      </c>
      <c r="R449" s="13"/>
      <c r="S449" s="30"/>
      <c r="T449" s="43"/>
      <c r="W449" t="str">
        <f t="shared" si="186"/>
        <v>ATD776-AP-0018-2 (HP Flare)Fiscal</v>
      </c>
      <c r="X4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0" spans="1:24" ht="12.5" x14ac:dyDescent="0.25">
      <c r="A450" s="10"/>
      <c r="B450" s="8" t="s">
        <v>145</v>
      </c>
      <c r="C450" s="5" t="s">
        <v>149</v>
      </c>
      <c r="D450" s="9" t="s">
        <v>72</v>
      </c>
      <c r="E450" s="36"/>
      <c r="F450" s="29" cm="1">
        <f t="array" ref="F450">IF(V450 &lt;&gt; "", V450, IFERROR(_xlfn.SINGLE(INDEX($G$1:G449,SUMPRODUCT(MAX(($W$1:W449=W450)*(ROW($W$1:W449))))))+IF(D450="Fiscal",30,90),""))</f>
        <v>45850</v>
      </c>
      <c r="G450" s="13">
        <v>45848</v>
      </c>
      <c r="H450" s="15">
        <f t="shared" si="199"/>
        <v>45858</v>
      </c>
      <c r="I450" s="15"/>
      <c r="J450" s="32"/>
      <c r="K450" s="15">
        <f t="shared" si="200"/>
        <v>45868</v>
      </c>
      <c r="L450" s="15"/>
      <c r="M450" s="15">
        <f t="shared" si="201"/>
        <v>45873</v>
      </c>
      <c r="N450" s="13">
        <v>45873</v>
      </c>
      <c r="O450" s="2">
        <f>IFERROR(IF(tblColetas[[#This Row],[Status Coleta]]="Reprovado","Reprovado",IF(ISERROR(SEARCH("Poço",D450)),IF(N450="","Erro",IF(Q450="Reprovado","",WORKDAY(N450,IF(D450="Operacional",10,3),FERIADOS!$A$3:$A$119))),"-")),"-")</f>
        <v>45876</v>
      </c>
      <c r="P450" s="13">
        <v>45875</v>
      </c>
      <c r="Q450" s="7" t="s">
        <v>37</v>
      </c>
      <c r="R450" s="13"/>
      <c r="S450" s="30"/>
      <c r="T450" s="43"/>
      <c r="W450" t="str">
        <f t="shared" si="186"/>
        <v>ATD776-AP-0036-2 (LP Flare)Fiscal</v>
      </c>
      <c r="X4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1" spans="1:24" ht="12.5" x14ac:dyDescent="0.25">
      <c r="A451" s="10"/>
      <c r="B451" s="8" t="s">
        <v>145</v>
      </c>
      <c r="C451" s="5" t="s">
        <v>151</v>
      </c>
      <c r="D451" s="9" t="s">
        <v>72</v>
      </c>
      <c r="E451" s="36"/>
      <c r="F451" s="29" cm="1">
        <f t="array" ref="F451">IF(V451 &lt;&gt; "", V451, IFERROR(_xlfn.SINGLE(INDEX($G$1:G450,SUMPRODUCT(MAX(($W$1:W450=W451)*(ROW($W$1:W450))))))+IF(D451="Fiscal",30,90),""))</f>
        <v>45850</v>
      </c>
      <c r="G451" s="13">
        <v>45848</v>
      </c>
      <c r="H451" s="15">
        <f t="shared" si="199"/>
        <v>45858</v>
      </c>
      <c r="I451" s="15"/>
      <c r="J451" s="32"/>
      <c r="K451" s="15">
        <f t="shared" si="200"/>
        <v>45868</v>
      </c>
      <c r="L451" s="15"/>
      <c r="M451" s="15">
        <f t="shared" si="201"/>
        <v>45873</v>
      </c>
      <c r="N451" s="13">
        <v>45873</v>
      </c>
      <c r="O451" s="2">
        <f>IFERROR(IF(tblColetas[[#This Row],[Status Coleta]]="Reprovado","Reprovado",IF(ISERROR(SEARCH("Poço",D451)),IF(N451="","Erro",IF(Q451="Reprovado","",WORKDAY(N451,IF(D451="Operacional",10,3),FERIADOS!$A$3:$A$119))),"-")),"-")</f>
        <v>45876</v>
      </c>
      <c r="P451" s="13">
        <v>45875</v>
      </c>
      <c r="Q451" s="7" t="s">
        <v>37</v>
      </c>
      <c r="R451" s="13"/>
      <c r="S451" s="30"/>
      <c r="T451" s="43"/>
      <c r="W451" t="str">
        <f t="shared" si="186"/>
        <v>ATD776-AP-7001 (Flare Assist)Fiscal</v>
      </c>
      <c r="X4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2" spans="1:24" ht="12.5" x14ac:dyDescent="0.25">
      <c r="A452" s="10"/>
      <c r="B452" s="19" t="s">
        <v>24</v>
      </c>
      <c r="C452" s="5" t="s">
        <v>76</v>
      </c>
      <c r="D452" s="20" t="s">
        <v>72</v>
      </c>
      <c r="E452" s="35"/>
      <c r="F452" s="29" cm="1">
        <f t="array" ref="F452">IF(V452 &lt;&gt; "", V452, IFERROR(_xlfn.SINGLE(INDEX($G$1:G451,SUMPRODUCT(MAX(($W$1:W451=W452)*(ROW($W$1:W451))))))+IF(D452="Fiscal",30,90),""))</f>
        <v>45855</v>
      </c>
      <c r="G452" s="21">
        <v>45851</v>
      </c>
      <c r="H452" s="15">
        <f t="shared" si="199"/>
        <v>45861</v>
      </c>
      <c r="I452" s="15">
        <v>45854</v>
      </c>
      <c r="J452" s="32" t="s">
        <v>141</v>
      </c>
      <c r="K452" s="15">
        <f t="shared" si="200"/>
        <v>45871</v>
      </c>
      <c r="L452" s="15">
        <v>45861</v>
      </c>
      <c r="M452" s="15">
        <f t="shared" si="201"/>
        <v>45876</v>
      </c>
      <c r="N452" s="13">
        <v>45876</v>
      </c>
      <c r="O452" s="2">
        <f>IFERROR(IF(tblColetas[[#This Row],[Status Coleta]]="Reprovado","Reprovado",IF(ISERROR(SEARCH("Poço",D452)),IF(N452="","Erro",IF(Q452="Reprovado","",WORKDAY(N452,IF(D452="Operacional",10,3),FERIADOS!$A$3:$A$119))),"-")),"-")</f>
        <v>45881</v>
      </c>
      <c r="P452" s="21">
        <v>45880</v>
      </c>
      <c r="Q452" s="7" t="s">
        <v>37</v>
      </c>
      <c r="R452" s="13"/>
      <c r="S452" s="30"/>
      <c r="T452" s="43"/>
      <c r="W452" t="str">
        <f t="shared" si="186"/>
        <v>CDAM74-FT-005 (Export gas)Fiscal</v>
      </c>
      <c r="X4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3" spans="1:24" ht="12.5" x14ac:dyDescent="0.25">
      <c r="A453" s="10"/>
      <c r="B453" s="19" t="s">
        <v>24</v>
      </c>
      <c r="C453" s="5" t="s">
        <v>78</v>
      </c>
      <c r="D453" s="20" t="s">
        <v>72</v>
      </c>
      <c r="E453" s="35"/>
      <c r="F453" s="29" cm="1">
        <f t="array" ref="F453">IF(V453 &lt;&gt; "", V453, IFERROR(_xlfn.SINGLE(INDEX($G$1:G452,SUMPRODUCT(MAX(($W$1:W452=W453)*(ROW($W$1:W452))))))+IF(D453="Fiscal",30,90),""))</f>
        <v>45855</v>
      </c>
      <c r="G453" s="21">
        <v>45851</v>
      </c>
      <c r="H453" s="15">
        <f t="shared" si="199"/>
        <v>45861</v>
      </c>
      <c r="I453" s="15">
        <v>45854</v>
      </c>
      <c r="J453" s="32" t="s">
        <v>141</v>
      </c>
      <c r="K453" s="15">
        <f t="shared" si="200"/>
        <v>45871</v>
      </c>
      <c r="L453" s="15">
        <v>45861</v>
      </c>
      <c r="M453" s="15">
        <f t="shared" si="201"/>
        <v>45876</v>
      </c>
      <c r="N453" s="13">
        <v>45876</v>
      </c>
      <c r="O453" s="2">
        <f>IFERROR(IF(tblColetas[[#This Row],[Status Coleta]]="Reprovado","Reprovado",IF(ISERROR(SEARCH("Poço",D453)),IF(N453="","Erro",IF(Q453="Reprovado","",WORKDAY(N453,IF(D453="Operacional",10,3),FERIADOS!$A$3:$A$119))),"-")),"-")</f>
        <v>45881</v>
      </c>
      <c r="P453" s="21">
        <v>45880</v>
      </c>
      <c r="Q453" s="7" t="s">
        <v>37</v>
      </c>
      <c r="R453" s="13"/>
      <c r="S453" s="30"/>
      <c r="T453" s="43"/>
      <c r="W453" t="str">
        <f t="shared" si="186"/>
        <v>CDAT77-FT-001 (Fuel Gas)Fiscal</v>
      </c>
      <c r="X4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4" spans="1:24" ht="12.5" x14ac:dyDescent="0.25">
      <c r="A454" s="10"/>
      <c r="B454" s="8" t="s">
        <v>34</v>
      </c>
      <c r="C454" s="5" t="s">
        <v>71</v>
      </c>
      <c r="D454" s="9" t="s">
        <v>72</v>
      </c>
      <c r="E454" s="36"/>
      <c r="F454" s="29" cm="1">
        <f t="array" ref="F454">IF(V454 &lt;&gt; "", V454, IFERROR(_xlfn.SINGLE(INDEX($G$1:G453,SUMPRODUCT(MAX(($W$1:W453=W454)*(ROW($W$1:W453))))))+IF(D454="Fiscal",30,90),""))</f>
        <v>45851</v>
      </c>
      <c r="G454" s="13">
        <v>45848</v>
      </c>
      <c r="H454" s="15">
        <f t="shared" ref="H454:H463" si="202">IF(G454="","Erro", G454+10)</f>
        <v>45858</v>
      </c>
      <c r="I454" s="15"/>
      <c r="J454" s="32"/>
      <c r="K454" s="15">
        <f t="shared" ref="K454:K463" si="203">IF(G454="","Erro",G454+20)</f>
        <v>45868</v>
      </c>
      <c r="L454" s="15"/>
      <c r="M454" s="15">
        <f t="shared" ref="M454:M463" si="204">IF(G454="","Erro",G454+IF(D454="Operacional",45,25))</f>
        <v>45873</v>
      </c>
      <c r="N454" s="13">
        <v>45873</v>
      </c>
      <c r="O454" s="2">
        <f>IFERROR(IF(tblColetas[[#This Row],[Status Coleta]]="Reprovado","Reprovado",IF(ISERROR(SEARCH("Poço",D454)),IF(N454="","Erro",IF(Q454="Reprovado","",WORKDAY(N454,IF(D454="Operacional",10,3),FERIADOS!$A$3:$A$119))),"-")),"-")</f>
        <v>45876</v>
      </c>
      <c r="P454" s="13">
        <v>45875</v>
      </c>
      <c r="Q454" s="7" t="s">
        <v>37</v>
      </c>
      <c r="R454" s="13"/>
      <c r="S454" s="30"/>
      <c r="T454" s="43"/>
      <c r="W454" t="str">
        <f t="shared" si="186"/>
        <v>CDST77-FT-0103 (Fuel Gas)Fiscal</v>
      </c>
      <c r="X4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5" spans="1:24" ht="12.5" x14ac:dyDescent="0.25">
      <c r="A455" s="10"/>
      <c r="B455" s="8" t="s">
        <v>34</v>
      </c>
      <c r="C455" s="5" t="s">
        <v>73</v>
      </c>
      <c r="D455" s="9" t="s">
        <v>72</v>
      </c>
      <c r="E455" s="36"/>
      <c r="F455" s="29" cm="1">
        <f t="array" ref="F455">IF(V455 &lt;&gt; "", V455, IFERROR(_xlfn.SINGLE(INDEX($G$1:G454,SUMPRODUCT(MAX(($W$1:W454=W455)*(ROW($W$1:W454))))))+IF(D455="Fiscal",30,90),""))</f>
        <v>45851</v>
      </c>
      <c r="G455" s="13">
        <v>45848</v>
      </c>
      <c r="H455" s="15">
        <f t="shared" si="202"/>
        <v>45858</v>
      </c>
      <c r="I455" s="15"/>
      <c r="J455" s="32"/>
      <c r="K455" s="15">
        <f t="shared" si="203"/>
        <v>45868</v>
      </c>
      <c r="L455" s="15"/>
      <c r="M455" s="15">
        <f t="shared" si="204"/>
        <v>45873</v>
      </c>
      <c r="N455" s="13">
        <v>45873</v>
      </c>
      <c r="O455" s="2">
        <f>IFERROR(IF(tblColetas[[#This Row],[Status Coleta]]="Reprovado","Reprovado",IF(ISERROR(SEARCH("Poço",D455)),IF(N455="","Erro",IF(Q455="Reprovado","",WORKDAY(N455,IF(D455="Operacional",10,3),FERIADOS!$A$3:$A$119))),"-")),"-")</f>
        <v>45876</v>
      </c>
      <c r="P455" s="13">
        <v>45875</v>
      </c>
      <c r="Q455" s="7" t="s">
        <v>37</v>
      </c>
      <c r="R455" s="13"/>
      <c r="S455" s="30"/>
      <c r="T455" s="43"/>
      <c r="W455" t="str">
        <f t="shared" si="186"/>
        <v>CDST74-AX-6911 (Export Gas)Fiscal</v>
      </c>
      <c r="X4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6" spans="1:24" ht="12.5" x14ac:dyDescent="0.25">
      <c r="A456" s="10"/>
      <c r="B456" s="8" t="s">
        <v>34</v>
      </c>
      <c r="C456" s="5" t="s">
        <v>74</v>
      </c>
      <c r="D456" s="9" t="s">
        <v>72</v>
      </c>
      <c r="E456" s="36"/>
      <c r="F456" s="29" cm="1">
        <f t="array" ref="F456">IF(V456 &lt;&gt; "", V456, IFERROR(_xlfn.SINGLE(INDEX($G$1:G455,SUMPRODUCT(MAX(($W$1:W455=W456)*(ROW($W$1:W455))))))+IF(D456="Fiscal",30,90),""))</f>
        <v>45851</v>
      </c>
      <c r="G456" s="13">
        <v>45848</v>
      </c>
      <c r="H456" s="15">
        <f t="shared" si="202"/>
        <v>45858</v>
      </c>
      <c r="I456" s="15"/>
      <c r="J456" s="32"/>
      <c r="K456" s="15">
        <f t="shared" si="203"/>
        <v>45868</v>
      </c>
      <c r="L456" s="15"/>
      <c r="M456" s="15">
        <f t="shared" si="204"/>
        <v>45873</v>
      </c>
      <c r="N456" s="13">
        <v>45873</v>
      </c>
      <c r="O456" s="2">
        <f>IFERROR(IF(tblColetas[[#This Row],[Status Coleta]]="Reprovado","Reprovado",IF(ISERROR(SEARCH("Poço",D456)),IF(N456="","Erro",IF(Q456="Reprovado","",WORKDAY(N456,IF(D456="Operacional",10,3),FERIADOS!$A$3:$A$119))),"-")),"-")</f>
        <v>45876</v>
      </c>
      <c r="P456" s="13">
        <v>45875</v>
      </c>
      <c r="Q456" s="7" t="s">
        <v>37</v>
      </c>
      <c r="R456" s="13"/>
      <c r="S456" s="30"/>
      <c r="T456" s="43"/>
      <c r="W456" t="str">
        <f t="shared" si="186"/>
        <v>CDST76-FT-0014 (HP Flare)Fiscal</v>
      </c>
      <c r="X4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7" spans="1:24" ht="12.5" x14ac:dyDescent="0.25">
      <c r="A457" s="10"/>
      <c r="B457" s="8" t="s">
        <v>34</v>
      </c>
      <c r="C457" s="5" t="s">
        <v>75</v>
      </c>
      <c r="D457" s="9" t="s">
        <v>72</v>
      </c>
      <c r="E457" s="36"/>
      <c r="F457" s="29" cm="1">
        <f t="array" ref="F457">IF(V457 &lt;&gt; "", V457, IFERROR(_xlfn.SINGLE(INDEX($G$1:G456,SUMPRODUCT(MAX(($W$1:W456=W457)*(ROW($W$1:W456))))))+IF(D457="Fiscal",30,90),""))</f>
        <v>45851</v>
      </c>
      <c r="G457" s="13">
        <v>45848</v>
      </c>
      <c r="H457" s="15">
        <f t="shared" si="202"/>
        <v>45858</v>
      </c>
      <c r="I457" s="15"/>
      <c r="J457" s="32"/>
      <c r="K457" s="15">
        <f t="shared" si="203"/>
        <v>45868</v>
      </c>
      <c r="L457" s="15"/>
      <c r="M457" s="15">
        <f t="shared" si="204"/>
        <v>45873</v>
      </c>
      <c r="N457" s="13">
        <v>45873</v>
      </c>
      <c r="O457" s="2">
        <f>IFERROR(IF(tblColetas[[#This Row],[Status Coleta]]="Reprovado","Reprovado",IF(ISERROR(SEARCH("Poço",D457)),IF(N457="","Erro",IF(Q457="Reprovado","",WORKDAY(N457,IF(D457="Operacional",10,3),FERIADOS!$A$3:$A$119))),"-")),"-")</f>
        <v>45876</v>
      </c>
      <c r="P457" s="13">
        <v>45875</v>
      </c>
      <c r="Q457" s="7" t="s">
        <v>37</v>
      </c>
      <c r="R457" s="13"/>
      <c r="S457" s="30"/>
      <c r="T457" s="43"/>
      <c r="W457" t="str">
        <f t="shared" si="186"/>
        <v>CDST76-FT-0034 (LP Flare)Fiscal</v>
      </c>
      <c r="X4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8" spans="1:24" ht="12.5" x14ac:dyDescent="0.25">
      <c r="A458" s="10"/>
      <c r="B458" s="19" t="s">
        <v>34</v>
      </c>
      <c r="C458" s="5" t="s">
        <v>43</v>
      </c>
      <c r="D458" s="20" t="s">
        <v>26</v>
      </c>
      <c r="E458" s="35"/>
      <c r="F458" s="29" cm="1">
        <f t="array" ref="F458">IF(V458 &lt;&gt; "", V458, IFERROR(_xlfn.SINGLE(INDEX($G$1:G457,SUMPRODUCT(MAX(($W$1:W457=W458)*(ROW($W$1:W457))))))+IF(D458="Fiscal",30,90),""))</f>
        <v>45915</v>
      </c>
      <c r="G458" s="21">
        <v>45905</v>
      </c>
      <c r="H458" s="15">
        <f t="shared" si="202"/>
        <v>45915</v>
      </c>
      <c r="I458" s="15">
        <v>45907</v>
      </c>
      <c r="J458" s="32" t="s">
        <v>200</v>
      </c>
      <c r="K458" s="15">
        <f t="shared" si="203"/>
        <v>45925</v>
      </c>
      <c r="L458" s="15">
        <v>45916</v>
      </c>
      <c r="M458" s="15">
        <f t="shared" si="204"/>
        <v>45930</v>
      </c>
      <c r="N458" s="13">
        <v>45930</v>
      </c>
      <c r="O458" s="2" t="str">
        <f>IFERROR(IF(tblColetas[[#This Row],[Status Coleta]]="Reprovado","Reprovado",IF(ISERROR(SEARCH("Poço",D458)),IF(N458="","Erro",IF(Q458="Reprovado","",WORKDAY(N458,IF(D458="Operacional",10,3),FERIADOS!$A$3:$A$119))),"-")),"-")</f>
        <v>-</v>
      </c>
      <c r="P458" s="21"/>
      <c r="Q458" s="7" t="s">
        <v>37</v>
      </c>
      <c r="R458" s="13"/>
      <c r="S458" s="30"/>
      <c r="T458" s="43"/>
      <c r="W458" t="str">
        <f t="shared" si="186"/>
        <v>CDSPoço LL-59 (P-10)Poço CG</v>
      </c>
      <c r="X4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59" spans="1:24" ht="12.5" x14ac:dyDescent="0.25">
      <c r="A459" s="10"/>
      <c r="B459" s="19" t="s">
        <v>34</v>
      </c>
      <c r="C459" s="5" t="s">
        <v>43</v>
      </c>
      <c r="D459" s="20" t="s">
        <v>29</v>
      </c>
      <c r="E459" s="35"/>
      <c r="F459" s="29" cm="1">
        <f t="array" ref="F459">IF(V459 &lt;&gt; "", V459, IFERROR(_xlfn.SINGLE(INDEX($G$1:G458,SUMPRODUCT(MAX(($W$1:W458=W459)*(ROW($W$1:W458))))))+IF(D459="Fiscal",30,90),""))</f>
        <v>45915</v>
      </c>
      <c r="G459" s="21">
        <v>45905</v>
      </c>
      <c r="H459" s="15">
        <f t="shared" si="202"/>
        <v>45915</v>
      </c>
      <c r="I459" s="15">
        <v>45907</v>
      </c>
      <c r="J459" s="32" t="s">
        <v>200</v>
      </c>
      <c r="K459" s="15">
        <f t="shared" si="203"/>
        <v>45925</v>
      </c>
      <c r="L459" s="15">
        <v>45916</v>
      </c>
      <c r="M459" s="15">
        <f t="shared" si="204"/>
        <v>45930</v>
      </c>
      <c r="N459" s="13">
        <v>45930</v>
      </c>
      <c r="O459" s="2" t="str">
        <f>IFERROR(IF(tblColetas[[#This Row],[Status Coleta]]="Reprovado","Reprovado",IF(ISERROR(SEARCH("Poço",D459)),IF(N459="","Erro",IF(Q459="Reprovado","",WORKDAY(N459,IF(D459="Operacional",10,3),FERIADOS!$A$3:$A$119))),"-")),"-")</f>
        <v>-</v>
      </c>
      <c r="P459" s="21"/>
      <c r="Q459" s="7" t="s">
        <v>37</v>
      </c>
      <c r="R459" s="13"/>
      <c r="S459" s="30"/>
      <c r="T459" s="43"/>
      <c r="W459" t="str">
        <f t="shared" si="186"/>
        <v>CDSPoço LL-59 (P-10)Poço PVT</v>
      </c>
      <c r="X4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0" spans="1:24" ht="12.5" x14ac:dyDescent="0.25">
      <c r="A460" s="10"/>
      <c r="B460" s="19" t="s">
        <v>31</v>
      </c>
      <c r="C460" s="5" t="s">
        <v>87</v>
      </c>
      <c r="D460" s="20" t="s">
        <v>26</v>
      </c>
      <c r="E460" s="35"/>
      <c r="F460" s="29" cm="1">
        <f t="array" ref="F460">IF(V460 &lt;&gt; "", V460, IFERROR(_xlfn.SINGLE(INDEX($G$1:G459,SUMPRODUCT(MAX(($W$1:W459=W460)*(ROW($W$1:W459))))))+IF(D460="Fiscal",30,90),""))</f>
        <v>45914</v>
      </c>
      <c r="G460" s="21">
        <v>45835</v>
      </c>
      <c r="H460" s="15">
        <f t="shared" si="202"/>
        <v>45845</v>
      </c>
      <c r="I460" s="15">
        <v>45841</v>
      </c>
      <c r="J460" s="32"/>
      <c r="K460" s="15">
        <f t="shared" si="203"/>
        <v>45855</v>
      </c>
      <c r="L460" s="15">
        <v>45846</v>
      </c>
      <c r="M460" s="15">
        <f t="shared" si="204"/>
        <v>45860</v>
      </c>
      <c r="N460" s="13">
        <v>45860</v>
      </c>
      <c r="O460" s="2" t="str">
        <f>IFERROR(IF(tblColetas[[#This Row],[Status Coleta]]="Reprovado","Reprovado",IF(ISERROR(SEARCH("Poço",D460)),IF(N460="","Erro",IF(Q460="Reprovado","",WORKDAY(N460,IF(D460="Operacional",10,3),FERIADOS!$A$3:$A$119))),"-")),"-")</f>
        <v>-</v>
      </c>
      <c r="P460" s="21"/>
      <c r="Q460" s="7" t="s">
        <v>37</v>
      </c>
      <c r="R460" s="13"/>
      <c r="S460" s="30"/>
      <c r="T460" s="43"/>
      <c r="W460" t="str">
        <f t="shared" si="186"/>
        <v>CDIPoço SPH-8 (P-4)Poço CG</v>
      </c>
      <c r="X4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1" spans="1:24" ht="12.5" x14ac:dyDescent="0.25">
      <c r="A461" s="10"/>
      <c r="B461" s="19" t="s">
        <v>31</v>
      </c>
      <c r="C461" s="5" t="s">
        <v>87</v>
      </c>
      <c r="D461" s="20" t="s">
        <v>29</v>
      </c>
      <c r="E461" s="35"/>
      <c r="F461" s="29" cm="1">
        <f t="array" ref="F461">IF(V461 &lt;&gt; "", V461, IFERROR(_xlfn.SINGLE(INDEX($G$1:G460,SUMPRODUCT(MAX(($W$1:W460=W461)*(ROW($W$1:W460))))))+IF(D461="Fiscal",30,90),""))</f>
        <v>45914</v>
      </c>
      <c r="G461" s="21">
        <v>45835</v>
      </c>
      <c r="H461" s="15">
        <f t="shared" si="202"/>
        <v>45845</v>
      </c>
      <c r="I461" s="15">
        <v>45841</v>
      </c>
      <c r="J461" s="32"/>
      <c r="K461" s="15">
        <f t="shared" si="203"/>
        <v>45855</v>
      </c>
      <c r="L461" s="15">
        <v>45846</v>
      </c>
      <c r="M461" s="15">
        <f t="shared" si="204"/>
        <v>45860</v>
      </c>
      <c r="N461" s="13">
        <v>45860</v>
      </c>
      <c r="O461" s="2" t="str">
        <f>IFERROR(IF(tblColetas[[#This Row],[Status Coleta]]="Reprovado","Reprovado",IF(ISERROR(SEARCH("Poço",D461)),IF(N461="","Erro",IF(Q461="Reprovado","",WORKDAY(N461,IF(D461="Operacional",10,3),FERIADOS!$A$3:$A$119))),"-")),"-")</f>
        <v>-</v>
      </c>
      <c r="P461" s="21"/>
      <c r="Q461" s="7" t="s">
        <v>37</v>
      </c>
      <c r="R461" s="13"/>
      <c r="S461" s="30"/>
      <c r="T461" s="43"/>
      <c r="W461" t="str">
        <f t="shared" si="186"/>
        <v>CDIPoço SPH-8 (P-4)Poço PVT</v>
      </c>
      <c r="X4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2" spans="1:24" ht="12.5" x14ac:dyDescent="0.25">
      <c r="A462" s="10"/>
      <c r="B462" s="19" t="s">
        <v>31</v>
      </c>
      <c r="C462" s="5" t="s">
        <v>107</v>
      </c>
      <c r="D462" s="20" t="s">
        <v>26</v>
      </c>
      <c r="E462" s="35"/>
      <c r="F462" s="29" cm="1">
        <f t="array" ref="F462">IF(V462 &lt;&gt; "", V462, IFERROR(_xlfn.SINGLE(INDEX($G$1:G461,SUMPRODUCT(MAX(($W$1:W461=W462)*(ROW($W$1:W461))))))+IF(D462="Fiscal",30,90),""))</f>
        <v>45915</v>
      </c>
      <c r="G462" s="21">
        <v>45892</v>
      </c>
      <c r="H462" s="15">
        <f t="shared" si="202"/>
        <v>45902</v>
      </c>
      <c r="I462" s="15">
        <v>45896</v>
      </c>
      <c r="J462" s="32" t="s">
        <v>168</v>
      </c>
      <c r="K462" s="15">
        <f t="shared" si="203"/>
        <v>45912</v>
      </c>
      <c r="L462" s="15">
        <v>45904</v>
      </c>
      <c r="M462" s="15">
        <f t="shared" si="204"/>
        <v>45917</v>
      </c>
      <c r="N462" s="13">
        <v>45917</v>
      </c>
      <c r="O462" s="2" t="str">
        <f>IFERROR(IF(tblColetas[[#This Row],[Status Coleta]]="Reprovado","Reprovado",IF(ISERROR(SEARCH("Poço",D462)),IF(N462="","Erro",IF(Q462="Reprovado","",WORKDAY(N462,IF(D462="Operacional",10,3),FERIADOS!$A$3:$A$119))),"-")),"-")</f>
        <v>-</v>
      </c>
      <c r="P462" s="21"/>
      <c r="Q462" s="7" t="s">
        <v>37</v>
      </c>
      <c r="R462" s="13"/>
      <c r="S462" s="30"/>
      <c r="T462" s="43"/>
      <c r="W462" t="str">
        <f t="shared" si="186"/>
        <v>CDIPoço SPH-7 (P-3)Poço CG</v>
      </c>
      <c r="X4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3" spans="1:24" ht="12.5" x14ac:dyDescent="0.25">
      <c r="A463" s="10"/>
      <c r="B463" s="19" t="s">
        <v>31</v>
      </c>
      <c r="C463" s="5" t="s">
        <v>107</v>
      </c>
      <c r="D463" s="20" t="s">
        <v>29</v>
      </c>
      <c r="E463" s="35"/>
      <c r="F463" s="29" cm="1">
        <f t="array" ref="F463">IF(V463 &lt;&gt; "", V463, IFERROR(_xlfn.SINGLE(INDEX($G$1:G462,SUMPRODUCT(MAX(($W$1:W462=W463)*(ROW($W$1:W462))))))+IF(D463="Fiscal",30,90),""))</f>
        <v>45915</v>
      </c>
      <c r="G463" s="21">
        <v>45892</v>
      </c>
      <c r="H463" s="15">
        <f t="shared" si="202"/>
        <v>45902</v>
      </c>
      <c r="I463" s="15">
        <v>45896</v>
      </c>
      <c r="J463" s="32" t="s">
        <v>168</v>
      </c>
      <c r="K463" s="15">
        <f t="shared" si="203"/>
        <v>45912</v>
      </c>
      <c r="L463" s="15">
        <v>45904</v>
      </c>
      <c r="M463" s="15">
        <f t="shared" si="204"/>
        <v>45917</v>
      </c>
      <c r="N463" s="13">
        <v>45917</v>
      </c>
      <c r="O463" s="2" t="str">
        <f>IFERROR(IF(tblColetas[[#This Row],[Status Coleta]]="Reprovado","Reprovado",IF(ISERROR(SEARCH("Poço",D463)),IF(N463="","Erro",IF(Q463="Reprovado","",WORKDAY(N463,IF(D463="Operacional",10,3),FERIADOS!$A$3:$A$119))),"-")),"-")</f>
        <v>-</v>
      </c>
      <c r="P463" s="21"/>
      <c r="Q463" s="7" t="s">
        <v>37</v>
      </c>
      <c r="R463" s="13"/>
      <c r="S463" s="30"/>
      <c r="T463" s="43"/>
      <c r="W463" t="str">
        <f t="shared" si="186"/>
        <v>CDIPoço SPH-7 (P-3)Poço PVT</v>
      </c>
      <c r="X4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4" spans="1:24" ht="12.5" x14ac:dyDescent="0.25">
      <c r="A464" s="10"/>
      <c r="B464" s="19" t="s">
        <v>46</v>
      </c>
      <c r="C464" s="5" t="s">
        <v>47</v>
      </c>
      <c r="D464" s="20" t="s">
        <v>26</v>
      </c>
      <c r="E464" s="35"/>
      <c r="F464" s="29" cm="1">
        <f t="array" ref="F464">IF(V464 &lt;&gt; "", V464, IFERROR(_xlfn.SINGLE(INDEX($G$1:G463,SUMPRODUCT(MAX(($W$1:W463=W464)*(ROW($W$1:W463))))))+IF(D464="Fiscal",30,90),""))</f>
        <v>45916</v>
      </c>
      <c r="G464" s="21">
        <v>45898</v>
      </c>
      <c r="H464" s="15">
        <f t="shared" ref="H464:H470" si="205">IF(G464="","Erro", G464+10)</f>
        <v>45908</v>
      </c>
      <c r="I464" s="15">
        <v>45900</v>
      </c>
      <c r="J464" s="32" t="s">
        <v>199</v>
      </c>
      <c r="K464" s="15">
        <f t="shared" ref="K464:K470" si="206">IF(G464="","Erro",G464+20)</f>
        <v>45918</v>
      </c>
      <c r="L464" s="15">
        <v>45908</v>
      </c>
      <c r="M464" s="15">
        <f t="shared" ref="M464:M470" si="207">IF(G464="","Erro",G464+IF(D464="Operacional",45,25))</f>
        <v>45923</v>
      </c>
      <c r="N464" s="13">
        <v>45923</v>
      </c>
      <c r="O464" s="2" t="str">
        <f>IFERROR(IF(tblColetas[[#This Row],[Status Coleta]]="Reprovado","Reprovado",IF(ISERROR(SEARCH("Poço",D464)),IF(N464="","Erro",IF(Q464="Reprovado","",WORKDAY(N464,IF(D464="Operacional",10,3),FERIADOS!$A$3:$A$119))),"-")),"-")</f>
        <v>-</v>
      </c>
      <c r="P464" s="21"/>
      <c r="Q464" s="7" t="s">
        <v>37</v>
      </c>
      <c r="R464" s="13"/>
      <c r="S464" s="30"/>
      <c r="T464" s="43"/>
      <c r="W464" t="str">
        <f t="shared" si="186"/>
        <v>CDMPoço LL-87 (P-14)Poço CG</v>
      </c>
      <c r="X4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5" spans="1:24" ht="12.5" x14ac:dyDescent="0.25">
      <c r="A465" s="10"/>
      <c r="B465" s="19" t="s">
        <v>46</v>
      </c>
      <c r="C465" s="5" t="s">
        <v>47</v>
      </c>
      <c r="D465" s="20" t="s">
        <v>29</v>
      </c>
      <c r="E465" s="35"/>
      <c r="F465" s="29" cm="1">
        <f t="array" ref="F465">IF(V465 &lt;&gt; "", V465, IFERROR(_xlfn.SINGLE(INDEX($G$1:G464,SUMPRODUCT(MAX(($W$1:W464=W465)*(ROW($W$1:W464))))))+IF(D465="Fiscal",30,90),""))</f>
        <v>45916</v>
      </c>
      <c r="G465" s="21">
        <v>45898</v>
      </c>
      <c r="H465" s="15">
        <f t="shared" si="205"/>
        <v>45908</v>
      </c>
      <c r="I465" s="15">
        <v>45900</v>
      </c>
      <c r="J465" s="32" t="s">
        <v>199</v>
      </c>
      <c r="K465" s="15">
        <f t="shared" si="206"/>
        <v>45918</v>
      </c>
      <c r="L465" s="15">
        <v>45908</v>
      </c>
      <c r="M465" s="15">
        <f t="shared" si="207"/>
        <v>45923</v>
      </c>
      <c r="N465" s="13">
        <v>45923</v>
      </c>
      <c r="O465" s="2" t="str">
        <f>IFERROR(IF(tblColetas[[#This Row],[Status Coleta]]="Reprovado","Reprovado",IF(ISERROR(SEARCH("Poço",D465)),IF(N465="","Erro",IF(Q465="Reprovado","",WORKDAY(N465,IF(D465="Operacional",10,3),FERIADOS!$A$3:$A$119))),"-")),"-")</f>
        <v>-</v>
      </c>
      <c r="P465" s="21"/>
      <c r="Q465" s="7" t="s">
        <v>37</v>
      </c>
      <c r="R465" s="13"/>
      <c r="S465" s="30"/>
      <c r="T465" s="43"/>
      <c r="W465" t="str">
        <f t="shared" si="186"/>
        <v>CDMPoço LL-87 (P-14)Poço PVT</v>
      </c>
      <c r="X4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6" spans="1:24" ht="12.5" x14ac:dyDescent="0.25">
      <c r="A466" s="10"/>
      <c r="B466" s="19" t="s">
        <v>52</v>
      </c>
      <c r="C466" s="5" t="s">
        <v>121</v>
      </c>
      <c r="D466" s="20" t="s">
        <v>70</v>
      </c>
      <c r="E466" s="35"/>
      <c r="F466" s="29" cm="1">
        <f t="array" ref="F466">IF(V466 &lt;&gt; "", V466, IFERROR(_xlfn.SINGLE(INDEX($G$1:G465,SUMPRODUCT(MAX(($W$1:W465=W466)*(ROW($W$1:W465))))))+IF(D466="Fiscal",30,90),""))</f>
        <v>45895</v>
      </c>
      <c r="G466" s="21">
        <v>45833</v>
      </c>
      <c r="H466" s="15">
        <f t="shared" si="205"/>
        <v>45843</v>
      </c>
      <c r="I466" s="15"/>
      <c r="J466" s="32"/>
      <c r="K466" s="15">
        <f t="shared" si="206"/>
        <v>45853</v>
      </c>
      <c r="L466" s="15"/>
      <c r="M466" s="15">
        <f t="shared" si="207"/>
        <v>45858</v>
      </c>
      <c r="N466" s="13">
        <v>45856</v>
      </c>
      <c r="O466" s="2" t="str">
        <f>IFERROR(IF(tblColetas[[#This Row],[Status Coleta]]="Reprovado","Reprovado",IF(ISERROR(SEARCH("Poço",D466)),IF(N466="","Erro",IF(Q466="Reprovado","",WORKDAY(N466,IF(D466="Operacional",10,3),FERIADOS!$A$3:$A$119))),"-")),"-")</f>
        <v>Reprovado</v>
      </c>
      <c r="P466" s="21"/>
      <c r="Q466" s="7" t="s">
        <v>81</v>
      </c>
      <c r="R466" s="13"/>
      <c r="S466" s="33" t="s">
        <v>127</v>
      </c>
      <c r="T466" s="43"/>
      <c r="W466" t="str">
        <f t="shared" si="186"/>
        <v>SEP773-AP-0011 (Gas Lift Total)Gas Lift</v>
      </c>
      <c r="X4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7" spans="1:24" ht="12.5" x14ac:dyDescent="0.25">
      <c r="A467" s="10"/>
      <c r="B467" s="19" t="s">
        <v>31</v>
      </c>
      <c r="C467" s="5" t="s">
        <v>105</v>
      </c>
      <c r="D467" s="20" t="s">
        <v>26</v>
      </c>
      <c r="E467" s="35"/>
      <c r="F467" s="29" cm="1">
        <f t="array" ref="F467">IF(V467 &lt;&gt; "", V467, IFERROR(_xlfn.SINGLE(INDEX($G$1:G466,SUMPRODUCT(MAX(($W$1:W466=W467)*(ROW($W$1:W466))))))+IF(D467="Fiscal",30,90),""))</f>
        <v>45920</v>
      </c>
      <c r="G467" s="21">
        <v>45891</v>
      </c>
      <c r="H467" s="15">
        <f t="shared" si="205"/>
        <v>45901</v>
      </c>
      <c r="I467" s="15">
        <v>45896</v>
      </c>
      <c r="J467" s="32" t="s">
        <v>168</v>
      </c>
      <c r="K467" s="15">
        <f t="shared" si="206"/>
        <v>45911</v>
      </c>
      <c r="L467" s="15">
        <v>45904</v>
      </c>
      <c r="M467" s="15">
        <f t="shared" si="207"/>
        <v>45916</v>
      </c>
      <c r="N467" s="13">
        <v>45916</v>
      </c>
      <c r="O467" s="2" t="str">
        <f>IFERROR(IF(tblColetas[[#This Row],[Status Coleta]]="Reprovado","Reprovado",IF(ISERROR(SEARCH("Poço",D467)),IF(N467="","Erro",IF(Q467="Reprovado","",WORKDAY(N467,IF(D467="Operacional",10,3),FERIADOS!$A$3:$A$119))),"-")),"-")</f>
        <v>-</v>
      </c>
      <c r="P467" s="21"/>
      <c r="Q467" s="7" t="s">
        <v>37</v>
      </c>
      <c r="R467" s="13"/>
      <c r="S467" s="30"/>
      <c r="T467" s="43"/>
      <c r="W467" t="str">
        <f t="shared" si="186"/>
        <v>CDIPoço SPH-16 (P-7)Poço CG</v>
      </c>
      <c r="X4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8" spans="1:24" ht="12.5" x14ac:dyDescent="0.25">
      <c r="A468" s="10"/>
      <c r="B468" s="19" t="s">
        <v>31</v>
      </c>
      <c r="C468" s="5" t="s">
        <v>105</v>
      </c>
      <c r="D468" s="20" t="s">
        <v>29</v>
      </c>
      <c r="E468" s="35"/>
      <c r="F468" s="29" cm="1">
        <f t="array" ref="F468">IF(V468 &lt;&gt; "", V468, IFERROR(_xlfn.SINGLE(INDEX($G$1:G467,SUMPRODUCT(MAX(($W$1:W467=W468)*(ROW($W$1:W467))))))+IF(D468="Fiscal",30,90),""))</f>
        <v>45920</v>
      </c>
      <c r="G468" s="21">
        <v>45891</v>
      </c>
      <c r="H468" s="15">
        <f t="shared" si="205"/>
        <v>45901</v>
      </c>
      <c r="I468" s="15">
        <v>45896</v>
      </c>
      <c r="J468" s="32" t="s">
        <v>168</v>
      </c>
      <c r="K468" s="15">
        <f t="shared" si="206"/>
        <v>45911</v>
      </c>
      <c r="L468" s="15">
        <v>45904</v>
      </c>
      <c r="M468" s="15">
        <f t="shared" si="207"/>
        <v>45916</v>
      </c>
      <c r="N468" s="13">
        <v>45916</v>
      </c>
      <c r="O468" s="2" t="str">
        <f>IFERROR(IF(tblColetas[[#This Row],[Status Coleta]]="Reprovado","Reprovado",IF(ISERROR(SEARCH("Poço",D468)),IF(N468="","Erro",IF(Q468="Reprovado","",WORKDAY(N468,IF(D468="Operacional",10,3),FERIADOS!$A$3:$A$119))),"-")),"-")</f>
        <v>-</v>
      </c>
      <c r="P468" s="21"/>
      <c r="Q468" s="7" t="s">
        <v>37</v>
      </c>
      <c r="R468" s="13"/>
      <c r="S468" s="30"/>
      <c r="T468" s="43"/>
      <c r="W468" t="str">
        <f t="shared" si="186"/>
        <v>CDIPoço SPH-16 (P-7)Poço PVT</v>
      </c>
      <c r="X4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69" spans="1:24" ht="12.5" x14ac:dyDescent="0.25">
      <c r="A469" s="10"/>
      <c r="B469" s="8" t="s">
        <v>192</v>
      </c>
      <c r="C469" s="5" t="s">
        <v>194</v>
      </c>
      <c r="D469" s="9" t="s">
        <v>72</v>
      </c>
      <c r="E469" s="36"/>
      <c r="F469" s="29" cm="1">
        <f t="array" ref="F469">IF(V469 &lt;&gt; "", V469, IFERROR(_xlfn.SINGLE(INDEX($G$1:G468,SUMPRODUCT(MAX(($W$1:W468=W469)*(ROW($W$1:W468))))))+IF(D469="Fiscal",30,90),""))</f>
        <v>45856</v>
      </c>
      <c r="G469" s="13">
        <v>45832</v>
      </c>
      <c r="H469" s="15">
        <f t="shared" si="205"/>
        <v>45842</v>
      </c>
      <c r="I469" s="15"/>
      <c r="J469" s="32"/>
      <c r="K469" s="15">
        <f t="shared" si="206"/>
        <v>45852</v>
      </c>
      <c r="L469" s="15"/>
      <c r="M469" s="15">
        <f t="shared" si="207"/>
        <v>45857</v>
      </c>
      <c r="N469" s="13">
        <v>45857</v>
      </c>
      <c r="O469" s="2">
        <f>IFERROR(IF(tblColetas[[#This Row],[Status Coleta]]="Reprovado","Reprovado",IF(ISERROR(SEARCH("Poço",D469)),IF(N469="","Erro",IF(Q469="Reprovado","",WORKDAY(N469,IF(D469="Operacional",10,3),FERIADOS!$A$3:$A$119))),"-")),"-")</f>
        <v>45861</v>
      </c>
      <c r="P469" s="13">
        <v>45861</v>
      </c>
      <c r="Q469" s="7" t="s">
        <v>37</v>
      </c>
      <c r="R469" s="13"/>
      <c r="S469" s="30"/>
      <c r="T469" s="43"/>
      <c r="W469" t="str">
        <f t="shared" si="186"/>
        <v>ADG777-AP-1212 (Fuel Gas)Fiscal</v>
      </c>
      <c r="X4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0" spans="1:24" ht="12.5" x14ac:dyDescent="0.25">
      <c r="A470" s="10"/>
      <c r="B470" s="8" t="s">
        <v>192</v>
      </c>
      <c r="C470" s="5" t="s">
        <v>195</v>
      </c>
      <c r="D470" s="9" t="s">
        <v>72</v>
      </c>
      <c r="E470" s="36"/>
      <c r="F470" s="29" cm="1">
        <f t="array" ref="F470">IF(V470 &lt;&gt; "", V470, IFERROR(_xlfn.SINGLE(INDEX($G$1:G469,SUMPRODUCT(MAX(($W$1:W469=W470)*(ROW($W$1:W469))))))+IF(D470="Fiscal",30,90),""))</f>
        <v>45856</v>
      </c>
      <c r="G470" s="13">
        <v>45832</v>
      </c>
      <c r="H470" s="15">
        <f t="shared" si="205"/>
        <v>45842</v>
      </c>
      <c r="I470" s="15"/>
      <c r="J470" s="32"/>
      <c r="K470" s="15">
        <f t="shared" si="206"/>
        <v>45852</v>
      </c>
      <c r="L470" s="15"/>
      <c r="M470" s="15">
        <f t="shared" si="207"/>
        <v>45857</v>
      </c>
      <c r="N470" s="13">
        <v>45857</v>
      </c>
      <c r="O470" s="2">
        <f>IFERROR(IF(tblColetas[[#This Row],[Status Coleta]]="Reprovado","Reprovado",IF(ISERROR(SEARCH("Poço",D470)),IF(N470="","Erro",IF(Q470="Reprovado","",WORKDAY(N470,IF(D470="Operacional",10,3),FERIADOS!$A$3:$A$119))),"-")),"-")</f>
        <v>45861</v>
      </c>
      <c r="P470" s="13">
        <v>45861</v>
      </c>
      <c r="Q470" s="7" t="s">
        <v>37</v>
      </c>
      <c r="R470" s="13"/>
      <c r="S470" s="30"/>
      <c r="T470" s="43"/>
      <c r="W470" t="str">
        <f t="shared" si="186"/>
        <v>ADG771-AP-0225 (Flare Assist)Fiscal</v>
      </c>
      <c r="X4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1" spans="1:24" ht="12.5" x14ac:dyDescent="0.25">
      <c r="A471" s="10"/>
      <c r="B471" s="19" t="s">
        <v>52</v>
      </c>
      <c r="C471" s="5" t="s">
        <v>112</v>
      </c>
      <c r="D471" s="20" t="s">
        <v>72</v>
      </c>
      <c r="E471" s="35"/>
      <c r="F471" s="29" cm="1">
        <f t="array" ref="F471">IF(V471 &lt;&gt; "", V471, IFERROR(_xlfn.SINGLE(INDEX($G$1:G470,SUMPRODUCT(MAX(($W$1:W470=W471)*(ROW($W$1:W470))))))+IF(D471="Fiscal",30,90),""))</f>
        <v>45863</v>
      </c>
      <c r="G471" s="21">
        <v>45862</v>
      </c>
      <c r="H471" s="15">
        <f t="shared" ref="H471:H478" si="208">IF(G471="","Erro", G471+10)</f>
        <v>45872</v>
      </c>
      <c r="I471" s="15"/>
      <c r="J471" s="32"/>
      <c r="K471" s="15">
        <f t="shared" ref="K471:K478" si="209">IF(G471="","Erro",G471+20)</f>
        <v>45882</v>
      </c>
      <c r="L471" s="15"/>
      <c r="M471" s="15">
        <f t="shared" ref="M471:M478" si="210">IF(G471="","Erro",G471+IF(D471="Operacional",45,25))</f>
        <v>45887</v>
      </c>
      <c r="N471" s="13">
        <v>45887</v>
      </c>
      <c r="O471" s="2">
        <f>IFERROR(IF(tblColetas[[#This Row],[Status Coleta]]="Reprovado","Reprovado",IF(ISERROR(SEARCH("Poço",D471)),IF(N471="","Erro",IF(Q471="Reprovado","",WORKDAY(N471,IF(D471="Operacional",10,3),FERIADOS!$A$3:$A$119))),"-")),"-")</f>
        <v>45890</v>
      </c>
      <c r="P471" s="21">
        <v>45889</v>
      </c>
      <c r="Q471" s="7" t="s">
        <v>37</v>
      </c>
      <c r="R471" s="13"/>
      <c r="S471" s="30"/>
      <c r="T471" s="43"/>
      <c r="W471" t="str">
        <f t="shared" si="186"/>
        <v>SEP776-AP-0006 (HP Flare)Fiscal</v>
      </c>
      <c r="X4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2" spans="1:24" ht="12.5" x14ac:dyDescent="0.25">
      <c r="A472" s="10"/>
      <c r="B472" s="19" t="s">
        <v>52</v>
      </c>
      <c r="C472" s="5" t="s">
        <v>113</v>
      </c>
      <c r="D472" s="20" t="s">
        <v>72</v>
      </c>
      <c r="E472" s="35"/>
      <c r="F472" s="29" cm="1">
        <f t="array" ref="F472">IF(V472 &lt;&gt; "", V472, IFERROR(_xlfn.SINGLE(INDEX($G$1:G471,SUMPRODUCT(MAX(($W$1:W471=W472)*(ROW($W$1:W471))))))+IF(D472="Fiscal",30,90),""))</f>
        <v>45863</v>
      </c>
      <c r="G472" s="21">
        <v>45862</v>
      </c>
      <c r="H472" s="15">
        <f t="shared" si="208"/>
        <v>45872</v>
      </c>
      <c r="I472" s="15"/>
      <c r="J472" s="32"/>
      <c r="K472" s="15">
        <f t="shared" si="209"/>
        <v>45882</v>
      </c>
      <c r="L472" s="15"/>
      <c r="M472" s="15">
        <f t="shared" si="210"/>
        <v>45887</v>
      </c>
      <c r="N472" s="13">
        <v>45887</v>
      </c>
      <c r="O472" s="2">
        <f>IFERROR(IF(tblColetas[[#This Row],[Status Coleta]]="Reprovado","Reprovado",IF(ISERROR(SEARCH("Poço",D472)),IF(N472="","Erro",IF(Q472="Reprovado","",WORKDAY(N472,IF(D472="Operacional",10,3),FERIADOS!$A$3:$A$119))),"-")),"-")</f>
        <v>45890</v>
      </c>
      <c r="P472" s="21">
        <v>45889</v>
      </c>
      <c r="Q472" s="7" t="s">
        <v>37</v>
      </c>
      <c r="R472" s="13"/>
      <c r="S472" s="30"/>
      <c r="T472" s="43"/>
      <c r="W472" t="str">
        <f t="shared" si="186"/>
        <v>SEP776-AP-0030 (LP Flare)Fiscal</v>
      </c>
      <c r="X4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3" spans="1:24" ht="12.5" x14ac:dyDescent="0.25">
      <c r="A473" s="10"/>
      <c r="B473" s="19" t="s">
        <v>52</v>
      </c>
      <c r="C473" s="5" t="s">
        <v>114</v>
      </c>
      <c r="D473" s="20" t="s">
        <v>72</v>
      </c>
      <c r="E473" s="35"/>
      <c r="F473" s="29" cm="1">
        <f t="array" ref="F473">IF(V473 &lt;&gt; "", V473, IFERROR(_xlfn.SINGLE(INDEX($G$1:G472,SUMPRODUCT(MAX(($W$1:W472=W473)*(ROW($W$1:W472))))))+IF(D473="Fiscal",30,90),""))</f>
        <v>45863</v>
      </c>
      <c r="G473" s="21">
        <v>45862</v>
      </c>
      <c r="H473" s="15">
        <f t="shared" si="208"/>
        <v>45872</v>
      </c>
      <c r="I473" s="15"/>
      <c r="J473" s="32"/>
      <c r="K473" s="15">
        <f t="shared" si="209"/>
        <v>45882</v>
      </c>
      <c r="L473" s="15"/>
      <c r="M473" s="15">
        <f t="shared" si="210"/>
        <v>45887</v>
      </c>
      <c r="N473" s="13">
        <v>45887</v>
      </c>
      <c r="O473" s="2">
        <f>IFERROR(IF(tblColetas[[#This Row],[Status Coleta]]="Reprovado","Reprovado",IF(ISERROR(SEARCH("Poço",D473)),IF(N473="","Erro",IF(Q473="Reprovado","",WORKDAY(N473,IF(D473="Operacional",10,3),FERIADOS!$A$3:$A$119))),"-")),"-")</f>
        <v>45890</v>
      </c>
      <c r="P473" s="21">
        <v>45889</v>
      </c>
      <c r="Q473" s="7" t="s">
        <v>37</v>
      </c>
      <c r="R473" s="13"/>
      <c r="S473" s="30"/>
      <c r="T473" s="43"/>
      <c r="W473" t="str">
        <f t="shared" si="186"/>
        <v>SEP777-AP-1104 (Fuel Gas)Fiscal</v>
      </c>
      <c r="X4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4" spans="1:24" ht="12.5" x14ac:dyDescent="0.25">
      <c r="A474" s="10"/>
      <c r="B474" s="19" t="s">
        <v>52</v>
      </c>
      <c r="C474" s="5" t="s">
        <v>115</v>
      </c>
      <c r="D474" s="20" t="s">
        <v>72</v>
      </c>
      <c r="E474" s="35"/>
      <c r="F474" s="29" cm="1">
        <f t="array" ref="F474">IF(V474 &lt;&gt; "", V474, IFERROR(_xlfn.SINGLE(INDEX($G$1:G473,SUMPRODUCT(MAX(($W$1:W473=W474)*(ROW($W$1:W473))))))+IF(D474="Fiscal",30,90),""))</f>
        <v>45863</v>
      </c>
      <c r="G474" s="21">
        <v>45862</v>
      </c>
      <c r="H474" s="15">
        <f t="shared" si="208"/>
        <v>45872</v>
      </c>
      <c r="I474" s="15"/>
      <c r="J474" s="32"/>
      <c r="K474" s="15">
        <f t="shared" si="209"/>
        <v>45882</v>
      </c>
      <c r="L474" s="15"/>
      <c r="M474" s="15">
        <f t="shared" si="210"/>
        <v>45887</v>
      </c>
      <c r="N474" s="13">
        <v>45887</v>
      </c>
      <c r="O474" s="2">
        <f>IFERROR(IF(tblColetas[[#This Row],[Status Coleta]]="Reprovado","Reprovado",IF(ISERROR(SEARCH("Poço",D474)),IF(N474="","Erro",IF(Q474="Reprovado","",WORKDAY(N474,IF(D474="Operacional",10,3),FERIADOS!$A$3:$A$119))),"-")),"-")</f>
        <v>45890</v>
      </c>
      <c r="P474" s="21">
        <v>45889</v>
      </c>
      <c r="Q474" s="7" t="s">
        <v>37</v>
      </c>
      <c r="R474" s="13"/>
      <c r="S474" s="30"/>
      <c r="T474" s="43"/>
      <c r="W474" t="str">
        <f t="shared" si="186"/>
        <v>SEP771-AP-0221 (Flare Assist)Fiscal</v>
      </c>
      <c r="X4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5" spans="1:24" ht="12.5" x14ac:dyDescent="0.25">
      <c r="A475" s="10"/>
      <c r="B475" s="19" t="s">
        <v>192</v>
      </c>
      <c r="C475" s="5" t="s">
        <v>112</v>
      </c>
      <c r="D475" s="20" t="s">
        <v>72</v>
      </c>
      <c r="E475" s="35"/>
      <c r="F475" s="29" cm="1">
        <f t="array" ref="F475">IF(V475 &lt;&gt; "", V475, IFERROR(_xlfn.SINGLE(INDEX($G$1:G474,SUMPRODUCT(MAX(($W$1:W474=W475)*(ROW($W$1:W474))))))+IF(D475="Fiscal",30,90),""))</f>
        <v>45862</v>
      </c>
      <c r="G475" s="21">
        <v>45859</v>
      </c>
      <c r="H475" s="15">
        <f t="shared" si="208"/>
        <v>45869</v>
      </c>
      <c r="I475" s="15"/>
      <c r="J475" s="32"/>
      <c r="K475" s="15">
        <f t="shared" si="209"/>
        <v>45879</v>
      </c>
      <c r="L475" s="15"/>
      <c r="M475" s="15">
        <f t="shared" si="210"/>
        <v>45884</v>
      </c>
      <c r="N475" s="13">
        <v>45884</v>
      </c>
      <c r="O475" s="2">
        <f>IFERROR(IF(tblColetas[[#This Row],[Status Coleta]]="Reprovado","Reprovado",IF(ISERROR(SEARCH("Poço",D475)),IF(N475="","Erro",IF(Q475="Reprovado","",WORKDAY(N475,IF(D475="Operacional",10,3),FERIADOS!$A$3:$A$119))),"-")),"-")</f>
        <v>45889</v>
      </c>
      <c r="P475" s="21">
        <v>45888</v>
      </c>
      <c r="Q475" s="7" t="s">
        <v>37</v>
      </c>
      <c r="R475" s="13"/>
      <c r="S475" s="30"/>
      <c r="T475" s="43"/>
      <c r="W475" t="str">
        <f t="shared" si="186"/>
        <v>ADG776-AP-0006 (HP Flare)Fiscal</v>
      </c>
      <c r="X4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6" spans="1:24" ht="12.5" x14ac:dyDescent="0.25">
      <c r="A476" s="10"/>
      <c r="B476" s="19" t="s">
        <v>192</v>
      </c>
      <c r="C476" s="5" t="s">
        <v>193</v>
      </c>
      <c r="D476" s="20" t="s">
        <v>72</v>
      </c>
      <c r="E476" s="35"/>
      <c r="F476" s="29" cm="1">
        <f t="array" ref="F476">IF(V476 &lt;&gt; "", V476, IFERROR(_xlfn.SINGLE(INDEX($G$1:G475,SUMPRODUCT(MAX(($W$1:W475=W476)*(ROW($W$1:W475))))))+IF(D476="Fiscal",30,90),""))</f>
        <v>45862</v>
      </c>
      <c r="G476" s="21">
        <v>45859</v>
      </c>
      <c r="H476" s="15">
        <f t="shared" si="208"/>
        <v>45869</v>
      </c>
      <c r="I476" s="15"/>
      <c r="J476" s="32"/>
      <c r="K476" s="15">
        <f t="shared" si="209"/>
        <v>45879</v>
      </c>
      <c r="L476" s="15"/>
      <c r="M476" s="15">
        <f t="shared" si="210"/>
        <v>45884</v>
      </c>
      <c r="N476" s="13">
        <v>45884</v>
      </c>
      <c r="O476" s="2" t="str">
        <f>IFERROR(IF(tblColetas[[#This Row],[Status Coleta]]="Reprovado","Reprovado",IF(ISERROR(SEARCH("Poço",D476)),IF(N476="","Erro",IF(Q476="Reprovado","",WORKDAY(N476,IF(D476="Operacional",10,3),FERIADOS!$A$3:$A$119))),"-")),"-")</f>
        <v>Reprovado</v>
      </c>
      <c r="P476" s="21"/>
      <c r="Q476" s="7" t="s">
        <v>81</v>
      </c>
      <c r="R476" s="13"/>
      <c r="S476" s="33" t="s">
        <v>201</v>
      </c>
      <c r="T476" s="43"/>
      <c r="W476" t="str">
        <f t="shared" si="186"/>
        <v>ADG776-AP-0026 (LP Flare)Fiscal</v>
      </c>
      <c r="X4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7" spans="1:24" ht="12.5" x14ac:dyDescent="0.25">
      <c r="A477" s="10"/>
      <c r="B477" s="19" t="s">
        <v>192</v>
      </c>
      <c r="C477" s="5" t="s">
        <v>194</v>
      </c>
      <c r="D477" s="20" t="s">
        <v>72</v>
      </c>
      <c r="E477" s="35"/>
      <c r="F477" s="29" cm="1">
        <f t="array" ref="F477">IF(V477 &lt;&gt; "", V477, IFERROR(_xlfn.SINGLE(INDEX($G$1:G476,SUMPRODUCT(MAX(($W$1:W476=W477)*(ROW($W$1:W476))))))+IF(D477="Fiscal",30,90),""))</f>
        <v>45862</v>
      </c>
      <c r="G477" s="21">
        <v>45859</v>
      </c>
      <c r="H477" s="15">
        <f t="shared" si="208"/>
        <v>45869</v>
      </c>
      <c r="I477" s="15"/>
      <c r="J477" s="32"/>
      <c r="K477" s="15">
        <f t="shared" si="209"/>
        <v>45879</v>
      </c>
      <c r="L477" s="15"/>
      <c r="M477" s="15">
        <f t="shared" si="210"/>
        <v>45884</v>
      </c>
      <c r="N477" s="13">
        <v>45884</v>
      </c>
      <c r="O477" s="2">
        <f>IFERROR(IF(tblColetas[[#This Row],[Status Coleta]]="Reprovado","Reprovado",IF(ISERROR(SEARCH("Poço",D477)),IF(N477="","Erro",IF(Q477="Reprovado","",WORKDAY(N477,IF(D477="Operacional",10,3),FERIADOS!$A$3:$A$119))),"-")),"-")</f>
        <v>45889</v>
      </c>
      <c r="P477" s="21">
        <v>45888</v>
      </c>
      <c r="Q477" s="7" t="s">
        <v>37</v>
      </c>
      <c r="R477" s="13"/>
      <c r="S477" s="30"/>
      <c r="T477" s="43"/>
      <c r="W477" t="str">
        <f t="shared" si="186"/>
        <v>ADG777-AP-1212 (Fuel Gas)Fiscal</v>
      </c>
      <c r="X4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8" spans="1:24" ht="12.5" x14ac:dyDescent="0.25">
      <c r="A478" s="10"/>
      <c r="B478" s="19" t="s">
        <v>192</v>
      </c>
      <c r="C478" s="5" t="s">
        <v>195</v>
      </c>
      <c r="D478" s="20" t="s">
        <v>72</v>
      </c>
      <c r="E478" s="35"/>
      <c r="F478" s="29" cm="1">
        <f t="array" ref="F478">IF(V478 &lt;&gt; "", V478, IFERROR(_xlfn.SINGLE(INDEX($G$1:G477,SUMPRODUCT(MAX(($W$1:W477=W478)*(ROW($W$1:W477))))))+IF(D478="Fiscal",30,90),""))</f>
        <v>45862</v>
      </c>
      <c r="G478" s="21">
        <v>45859</v>
      </c>
      <c r="H478" s="15">
        <f t="shared" si="208"/>
        <v>45869</v>
      </c>
      <c r="I478" s="15"/>
      <c r="J478" s="32"/>
      <c r="K478" s="15">
        <f t="shared" si="209"/>
        <v>45879</v>
      </c>
      <c r="L478" s="15"/>
      <c r="M478" s="15">
        <f t="shared" si="210"/>
        <v>45884</v>
      </c>
      <c r="N478" s="13">
        <v>45884</v>
      </c>
      <c r="O478" s="2">
        <f>IFERROR(IF(tblColetas[[#This Row],[Status Coleta]]="Reprovado","Reprovado",IF(ISERROR(SEARCH("Poço",D478)),IF(N478="","Erro",IF(Q478="Reprovado","",WORKDAY(N478,IF(D478="Operacional",10,3),FERIADOS!$A$3:$A$119))),"-")),"-")</f>
        <v>45889</v>
      </c>
      <c r="P478" s="21">
        <v>45888</v>
      </c>
      <c r="Q478" s="7" t="s">
        <v>37</v>
      </c>
      <c r="R478" s="13"/>
      <c r="S478" s="30"/>
      <c r="T478" s="43"/>
      <c r="W478" t="str">
        <f t="shared" si="186"/>
        <v>ADG771-AP-0225 (Flare Assist)Fiscal</v>
      </c>
      <c r="X4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79" spans="1:24" ht="12.5" x14ac:dyDescent="0.25">
      <c r="A479" s="10"/>
      <c r="B479" s="19" t="s">
        <v>34</v>
      </c>
      <c r="C479" s="5" t="s">
        <v>109</v>
      </c>
      <c r="D479" s="20" t="s">
        <v>26</v>
      </c>
      <c r="E479" s="35"/>
      <c r="F479" s="29" cm="1">
        <f t="array" ref="F479">IF(V479 &lt;&gt; "", V479, IFERROR(_xlfn.SINGLE(INDEX($G$1:G478,SUMPRODUCT(MAX(($W$1:W478=W479)*(ROW($W$1:W478))))))+IF(D479="Fiscal",30,90),""))</f>
        <v>45927</v>
      </c>
      <c r="G479" s="21">
        <v>45902</v>
      </c>
      <c r="H479" s="15">
        <f t="shared" ref="H479:H484" si="211">IF(G479="","Erro", G479+10)</f>
        <v>45912</v>
      </c>
      <c r="I479" s="15">
        <v>45907</v>
      </c>
      <c r="J479" s="32" t="s">
        <v>200</v>
      </c>
      <c r="K479" s="15">
        <f t="shared" ref="K479:K484" si="212">IF(G479="","Erro",G479+20)</f>
        <v>45922</v>
      </c>
      <c r="L479" s="15">
        <v>45916</v>
      </c>
      <c r="M479" s="15">
        <f t="shared" ref="M479:M484" si="213">IF(G479="","Erro",G479+IF(D479="Operacional",45,25))</f>
        <v>45927</v>
      </c>
      <c r="N479" s="13">
        <v>45926</v>
      </c>
      <c r="O479" s="2" t="str">
        <f>IFERROR(IF(tblColetas[[#This Row],[Status Coleta]]="Reprovado","Reprovado",IF(ISERROR(SEARCH("Poço",D479)),IF(N479="","Erro",IF(Q479="Reprovado","",WORKDAY(N479,IF(D479="Operacional",10,3),FERIADOS!$A$3:$A$119))),"-")),"-")</f>
        <v>-</v>
      </c>
      <c r="P479" s="21"/>
      <c r="Q479" s="7" t="s">
        <v>37</v>
      </c>
      <c r="R479" s="13"/>
      <c r="S479" s="30"/>
      <c r="T479" s="43"/>
      <c r="W479" t="str">
        <f t="shared" si="186"/>
        <v>CDSPoço LL-106 (P-16)Poço CG</v>
      </c>
      <c r="X4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0" spans="1:24" ht="12.5" x14ac:dyDescent="0.25">
      <c r="A480" s="10"/>
      <c r="B480" s="19" t="s">
        <v>34</v>
      </c>
      <c r="C480" s="5" t="s">
        <v>109</v>
      </c>
      <c r="D480" s="20" t="s">
        <v>29</v>
      </c>
      <c r="E480" s="35"/>
      <c r="F480" s="29" cm="1">
        <f t="array" ref="F480">IF(V480 &lt;&gt; "", V480, IFERROR(_xlfn.SINGLE(INDEX($G$1:G479,SUMPRODUCT(MAX(($W$1:W479=W480)*(ROW($W$1:W479))))))+IF(D480="Fiscal",30,90),""))</f>
        <v>45927</v>
      </c>
      <c r="G480" s="21">
        <v>45902</v>
      </c>
      <c r="H480" s="15">
        <f t="shared" si="211"/>
        <v>45912</v>
      </c>
      <c r="I480" s="15">
        <v>45907</v>
      </c>
      <c r="J480" s="32" t="s">
        <v>200</v>
      </c>
      <c r="K480" s="15">
        <f t="shared" si="212"/>
        <v>45922</v>
      </c>
      <c r="L480" s="15">
        <v>45916</v>
      </c>
      <c r="M480" s="15">
        <f t="shared" si="213"/>
        <v>45927</v>
      </c>
      <c r="N480" s="13">
        <v>45926</v>
      </c>
      <c r="O480" s="2" t="str">
        <f>IFERROR(IF(tblColetas[[#This Row],[Status Coleta]]="Reprovado","Reprovado",IF(ISERROR(SEARCH("Poço",D480)),IF(N480="","Erro",IF(Q480="Reprovado","",WORKDAY(N480,IF(D480="Operacional",10,3),FERIADOS!$A$3:$A$119))),"-")),"-")</f>
        <v>-</v>
      </c>
      <c r="P480" s="21"/>
      <c r="Q480" s="7" t="s">
        <v>37</v>
      </c>
      <c r="R480" s="13"/>
      <c r="S480" s="30"/>
      <c r="T480" s="43"/>
      <c r="W480" t="str">
        <f t="shared" ref="W480:W541" si="214">B480&amp;C480&amp;D480</f>
        <v>CDSPoço LL-106 (P-16)Poço PVT</v>
      </c>
      <c r="X4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1" spans="1:24" ht="12.5" x14ac:dyDescent="0.25">
      <c r="A481" s="10"/>
      <c r="B481" s="19" t="s">
        <v>38</v>
      </c>
      <c r="C481" s="5" t="s">
        <v>74</v>
      </c>
      <c r="D481" s="20" t="s">
        <v>72</v>
      </c>
      <c r="E481" s="35"/>
      <c r="F481" s="29" cm="1">
        <f t="array" ref="F481">IF(V481 &lt;&gt; "", V481, IFERROR(_xlfn.SINGLE(INDEX($G$1:G480,SUMPRODUCT(MAX(($W$1:W480=W481)*(ROW($W$1:W480))))))+IF(D481="Fiscal",30,90),""))</f>
        <v>45868</v>
      </c>
      <c r="G481" s="21">
        <v>45867</v>
      </c>
      <c r="H481" s="15">
        <f t="shared" si="211"/>
        <v>45877</v>
      </c>
      <c r="I481" s="15"/>
      <c r="J481" s="32"/>
      <c r="K481" s="15">
        <f t="shared" si="212"/>
        <v>45887</v>
      </c>
      <c r="L481" s="15"/>
      <c r="M481" s="15">
        <f t="shared" si="213"/>
        <v>45892</v>
      </c>
      <c r="N481" s="13">
        <v>45891</v>
      </c>
      <c r="O481" s="2">
        <f>IFERROR(IF(tblColetas[[#This Row],[Status Coleta]]="Reprovado","Reprovado",IF(ISERROR(SEARCH("Poço",D481)),IF(N481="","Erro",IF(Q481="Reprovado","",WORKDAY(N481,IF(D481="Operacional",10,3),FERIADOS!$A$3:$A$119))),"-")),"-")</f>
        <v>45896</v>
      </c>
      <c r="P481" s="21">
        <v>45896</v>
      </c>
      <c r="Q481" s="7" t="s">
        <v>37</v>
      </c>
      <c r="R481" s="13"/>
      <c r="S481" s="30"/>
      <c r="T481" s="43"/>
      <c r="W481" t="str">
        <f t="shared" si="214"/>
        <v>CDPT76-FT-0014 (HP Flare)Fiscal</v>
      </c>
      <c r="X4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2" spans="1:24" ht="12.5" x14ac:dyDescent="0.25">
      <c r="A482" s="10"/>
      <c r="B482" s="19" t="s">
        <v>38</v>
      </c>
      <c r="C482" s="5" t="s">
        <v>75</v>
      </c>
      <c r="D482" s="20" t="s">
        <v>72</v>
      </c>
      <c r="E482" s="35"/>
      <c r="F482" s="29" cm="1">
        <f t="array" ref="F482">IF(V482 &lt;&gt; "", V482, IFERROR(_xlfn.SINGLE(INDEX($G$1:G481,SUMPRODUCT(MAX(($W$1:W481=W482)*(ROW($W$1:W481))))))+IF(D482="Fiscal",30,90),""))</f>
        <v>45868</v>
      </c>
      <c r="G482" s="21">
        <v>45867</v>
      </c>
      <c r="H482" s="15">
        <f t="shared" si="211"/>
        <v>45877</v>
      </c>
      <c r="I482" s="15"/>
      <c r="J482" s="32"/>
      <c r="K482" s="15">
        <f t="shared" si="212"/>
        <v>45887</v>
      </c>
      <c r="L482" s="15"/>
      <c r="M482" s="15">
        <f t="shared" si="213"/>
        <v>45892</v>
      </c>
      <c r="N482" s="13">
        <v>45891</v>
      </c>
      <c r="O482" s="2">
        <f>IFERROR(IF(tblColetas[[#This Row],[Status Coleta]]="Reprovado","Reprovado",IF(ISERROR(SEARCH("Poço",D482)),IF(N482="","Erro",IF(Q482="Reprovado","",WORKDAY(N482,IF(D482="Operacional",10,3),FERIADOS!$A$3:$A$119))),"-")),"-")</f>
        <v>45896</v>
      </c>
      <c r="P482" s="21">
        <v>45896</v>
      </c>
      <c r="Q482" s="7" t="s">
        <v>37</v>
      </c>
      <c r="R482" s="13"/>
      <c r="S482" s="30"/>
      <c r="T482" s="43"/>
      <c r="W482" t="str">
        <f t="shared" si="214"/>
        <v>CDPT76-FT-0034 (LP Flare)Fiscal</v>
      </c>
      <c r="X4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3" spans="1:24" ht="12.5" x14ac:dyDescent="0.25">
      <c r="A483" s="10"/>
      <c r="B483" s="19" t="s">
        <v>38</v>
      </c>
      <c r="C483" s="5" t="s">
        <v>71</v>
      </c>
      <c r="D483" s="20" t="s">
        <v>72</v>
      </c>
      <c r="E483" s="35"/>
      <c r="F483" s="29" cm="1">
        <f t="array" ref="F483">IF(V483 &lt;&gt; "", V483, IFERROR(_xlfn.SINGLE(INDEX($G$1:G482,SUMPRODUCT(MAX(($W$1:W482=W483)*(ROW($W$1:W482))))))+IF(D483="Fiscal",30,90),""))</f>
        <v>45868</v>
      </c>
      <c r="G483" s="21">
        <v>45867</v>
      </c>
      <c r="H483" s="15">
        <f t="shared" si="211"/>
        <v>45877</v>
      </c>
      <c r="I483" s="15"/>
      <c r="J483" s="32"/>
      <c r="K483" s="15">
        <f t="shared" si="212"/>
        <v>45887</v>
      </c>
      <c r="L483" s="15"/>
      <c r="M483" s="15">
        <f t="shared" si="213"/>
        <v>45892</v>
      </c>
      <c r="N483" s="13">
        <v>45891</v>
      </c>
      <c r="O483" s="2">
        <f>IFERROR(IF(tblColetas[[#This Row],[Status Coleta]]="Reprovado","Reprovado",IF(ISERROR(SEARCH("Poço",D483)),IF(N483="","Erro",IF(Q483="Reprovado","",WORKDAY(N483,IF(D483="Operacional",10,3),FERIADOS!$A$3:$A$119))),"-")),"-")</f>
        <v>45896</v>
      </c>
      <c r="P483" s="21">
        <v>45896</v>
      </c>
      <c r="Q483" s="7" t="s">
        <v>37</v>
      </c>
      <c r="R483" s="13"/>
      <c r="S483" s="30"/>
      <c r="T483" s="43"/>
      <c r="W483" t="str">
        <f t="shared" si="214"/>
        <v>CDPT77-FT-0103 (Fuel Gas)Fiscal</v>
      </c>
      <c r="X4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4" spans="1:24" ht="12.5" x14ac:dyDescent="0.25">
      <c r="A484" s="10"/>
      <c r="B484" s="19" t="s">
        <v>38</v>
      </c>
      <c r="C484" s="5" t="s">
        <v>98</v>
      </c>
      <c r="D484" s="20" t="s">
        <v>72</v>
      </c>
      <c r="E484" s="35"/>
      <c r="F484" s="29" cm="1">
        <f t="array" ref="F484">IF(V484 &lt;&gt; "", V484, IFERROR(_xlfn.SINGLE(INDEX($G$1:G483,SUMPRODUCT(MAX(($W$1:W483=W484)*(ROW($W$1:W483))))))+IF(D484="Fiscal",30,90),""))</f>
        <v>45868</v>
      </c>
      <c r="G484" s="21">
        <v>45867</v>
      </c>
      <c r="H484" s="15">
        <f t="shared" si="211"/>
        <v>45877</v>
      </c>
      <c r="I484" s="15"/>
      <c r="J484" s="32"/>
      <c r="K484" s="15">
        <f t="shared" si="212"/>
        <v>45887</v>
      </c>
      <c r="L484" s="15"/>
      <c r="M484" s="15">
        <f t="shared" si="213"/>
        <v>45892</v>
      </c>
      <c r="N484" s="13">
        <v>45891</v>
      </c>
      <c r="O484" s="2" t="str">
        <f>IFERROR(IF(tblColetas[[#This Row],[Status Coleta]]="Reprovado","Reprovado",IF(ISERROR(SEARCH("Poço",D484)),IF(N484="","Erro",IF(Q484="Reprovado","",WORKDAY(N484,IF(D484="Operacional",10,3),FERIADOS!$A$3:$A$119))),"-")),"-")</f>
        <v>Reprovado</v>
      </c>
      <c r="P484" s="21"/>
      <c r="Q484" s="7" t="s">
        <v>81</v>
      </c>
      <c r="R484" s="13"/>
      <c r="S484" s="30" t="s">
        <v>127</v>
      </c>
      <c r="T484" s="43"/>
      <c r="W484" t="str">
        <f t="shared" si="214"/>
        <v>CDPT74-FT-6701 (Export Gas)Fiscal</v>
      </c>
      <c r="X4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5" spans="1:24" ht="12.5" x14ac:dyDescent="0.25">
      <c r="A485" s="10"/>
      <c r="B485" s="17" t="s">
        <v>145</v>
      </c>
      <c r="C485" s="6" t="s">
        <v>202</v>
      </c>
      <c r="D485" s="18" t="s">
        <v>26</v>
      </c>
      <c r="E485" s="35"/>
      <c r="F485" s="25" t="str" cm="1">
        <f t="array" ref="F485">IF(V485 &lt;&gt; "", V485, IFERROR(_xlfn.SINGLE(INDEX($G$1:G484,SUMPRODUCT(MAX(($W$1:W484=W485)*(ROW($W$1:W484))))))+IF(D485="Fiscal",30,90),""))</f>
        <v/>
      </c>
      <c r="G485" s="16">
        <v>45841</v>
      </c>
      <c r="H485" s="15">
        <f t="shared" ref="H485:H492" si="215">IF(G485="","Erro", G485+10)</f>
        <v>45851</v>
      </c>
      <c r="I485" s="15">
        <v>45845</v>
      </c>
      <c r="J485" s="32" t="s">
        <v>168</v>
      </c>
      <c r="K485" s="15">
        <f t="shared" ref="K485:K492" si="216">IF(G485="","Erro",G485+20)</f>
        <v>45861</v>
      </c>
      <c r="L485" s="15">
        <v>45855</v>
      </c>
      <c r="M485" s="14">
        <f t="shared" ref="M485:M492" si="217">IF(G485="","Erro",G485+IF(D485="Operacional",45,25))</f>
        <v>45866</v>
      </c>
      <c r="N485" s="12">
        <v>45866</v>
      </c>
      <c r="O485" s="1" t="str">
        <f>IFERROR(IF(tblColetas[[#This Row],[Status Coleta]]="Reprovado","Reprovado",IF(ISERROR(SEARCH("Poço",D485)),IF(N485="","Erro",IF(Q485="Reprovado","",WORKDAY(N485,IF(D485="Operacional",10,3),FERIADOS!$A$3:$A$119))),"-")),"-")</f>
        <v>-</v>
      </c>
      <c r="P485" s="16"/>
      <c r="Q485" s="7" t="s">
        <v>37</v>
      </c>
      <c r="R485" s="12"/>
      <c r="S485" s="27"/>
      <c r="T485" s="42"/>
      <c r="W485" t="str">
        <f t="shared" si="214"/>
        <v>ATDPoço 7-BUZ-87D-RJS (P-4)Poço CG</v>
      </c>
      <c r="X4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6" spans="1:24" ht="12.5" x14ac:dyDescent="0.25">
      <c r="A486" s="10"/>
      <c r="B486" s="17" t="s">
        <v>145</v>
      </c>
      <c r="C486" s="6" t="s">
        <v>202</v>
      </c>
      <c r="D486" s="18" t="s">
        <v>29</v>
      </c>
      <c r="E486" s="35"/>
      <c r="F486" s="25" t="str" cm="1">
        <f t="array" ref="F486">IF(V486 &lt;&gt; "", V486, IFERROR(_xlfn.SINGLE(INDEX($G$1:G485,SUMPRODUCT(MAX(($W$1:W485=W486)*(ROW($W$1:W485))))))+IF(D486="Fiscal",30,90),""))</f>
        <v/>
      </c>
      <c r="G486" s="16">
        <v>45841</v>
      </c>
      <c r="H486" s="15">
        <f t="shared" si="215"/>
        <v>45851</v>
      </c>
      <c r="I486" s="15">
        <v>45845</v>
      </c>
      <c r="J486" s="32" t="s">
        <v>168</v>
      </c>
      <c r="K486" s="15">
        <f t="shared" si="216"/>
        <v>45861</v>
      </c>
      <c r="L486" s="15">
        <v>45855</v>
      </c>
      <c r="M486" s="14">
        <f t="shared" si="217"/>
        <v>45866</v>
      </c>
      <c r="N486" s="12">
        <v>45866</v>
      </c>
      <c r="O486" s="1" t="str">
        <f>IFERROR(IF(tblColetas[[#This Row],[Status Coleta]]="Reprovado","Reprovado",IF(ISERROR(SEARCH("Poço",D486)),IF(N486="","Erro",IF(Q486="Reprovado","",WORKDAY(N486,IF(D486="Operacional",10,3),FERIADOS!$A$3:$A$119))),"-")),"-")</f>
        <v>-</v>
      </c>
      <c r="P486" s="16"/>
      <c r="Q486" s="7" t="s">
        <v>37</v>
      </c>
      <c r="R486" s="12"/>
      <c r="S486" s="27"/>
      <c r="T486" s="42"/>
      <c r="W486" t="str">
        <f t="shared" si="214"/>
        <v>ATDPoço 7-BUZ-87D-RJS (P-4)Poço PVT</v>
      </c>
      <c r="X4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7" spans="1:24" ht="12.5" x14ac:dyDescent="0.25">
      <c r="A487" s="10"/>
      <c r="B487" s="8" t="s">
        <v>145</v>
      </c>
      <c r="C487" s="5" t="s">
        <v>202</v>
      </c>
      <c r="D487" s="9" t="s">
        <v>26</v>
      </c>
      <c r="E487" s="36"/>
      <c r="F487" s="29" cm="1">
        <f t="array" ref="F487">IF(V487 &lt;&gt; "", V487, IFERROR(_xlfn.SINGLE(INDEX($G$1:G486,SUMPRODUCT(MAX(($W$1:W486=W487)*(ROW($W$1:W486))))))+IF(D487="Fiscal",30,90),""))</f>
        <v>45931</v>
      </c>
      <c r="G487" s="13">
        <v>45922</v>
      </c>
      <c r="H487" s="15">
        <f t="shared" si="215"/>
        <v>45932</v>
      </c>
      <c r="I487" s="15">
        <v>45927</v>
      </c>
      <c r="J487" s="32" t="s">
        <v>203</v>
      </c>
      <c r="K487" s="15">
        <f t="shared" si="216"/>
        <v>45942</v>
      </c>
      <c r="L487" s="15">
        <v>45933</v>
      </c>
      <c r="M487" s="15">
        <f t="shared" si="217"/>
        <v>45947</v>
      </c>
      <c r="N487" s="13">
        <v>45947</v>
      </c>
      <c r="O487" s="2" t="str">
        <f>IFERROR(IF(tblColetas[[#This Row],[Status Coleta]]="Reprovado","Reprovado",IF(ISERROR(SEARCH("Poço",D487)),IF(N487="","Erro",IF(Q487="Reprovado","",WORKDAY(N487,IF(D487="Operacional",10,3),FERIADOS!$A$3:$A$119))),"-")),"-")</f>
        <v>-</v>
      </c>
      <c r="P487" s="13"/>
      <c r="Q487" s="7"/>
      <c r="R487" s="13"/>
      <c r="S487" s="30"/>
      <c r="T487" s="43"/>
      <c r="W487" t="str">
        <f t="shared" si="214"/>
        <v>ATDPoço 7-BUZ-87D-RJS (P-4)Poço CG</v>
      </c>
      <c r="X4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8" spans="1:24" ht="12.5" x14ac:dyDescent="0.25">
      <c r="A488" s="10"/>
      <c r="B488" s="8" t="s">
        <v>145</v>
      </c>
      <c r="C488" s="5" t="s">
        <v>202</v>
      </c>
      <c r="D488" s="9" t="s">
        <v>29</v>
      </c>
      <c r="E488" s="36"/>
      <c r="F488" s="29" cm="1">
        <f t="array" ref="F488">IF(V488 &lt;&gt; "", V488, IFERROR(_xlfn.SINGLE(INDEX($G$1:G487,SUMPRODUCT(MAX(($W$1:W487=W488)*(ROW($W$1:W487))))))+IF(D488="Fiscal",30,90),""))</f>
        <v>45931</v>
      </c>
      <c r="G488" s="13">
        <v>45922</v>
      </c>
      <c r="H488" s="15">
        <f t="shared" si="215"/>
        <v>45932</v>
      </c>
      <c r="I488" s="15">
        <v>45927</v>
      </c>
      <c r="J488" s="32" t="s">
        <v>203</v>
      </c>
      <c r="K488" s="15">
        <f t="shared" si="216"/>
        <v>45942</v>
      </c>
      <c r="L488" s="15">
        <v>45933</v>
      </c>
      <c r="M488" s="15">
        <f t="shared" si="217"/>
        <v>45947</v>
      </c>
      <c r="N488" s="13">
        <v>45947</v>
      </c>
      <c r="O488" s="2" t="str">
        <f>IFERROR(IF(tblColetas[[#This Row],[Status Coleta]]="Reprovado","Reprovado",IF(ISERROR(SEARCH("Poço",D488)),IF(N488="","Erro",IF(Q488="Reprovado","",WORKDAY(N488,IF(D488="Operacional",10,3),FERIADOS!$A$3:$A$119))),"-")),"-")</f>
        <v>-</v>
      </c>
      <c r="P488" s="13"/>
      <c r="Q488" s="7"/>
      <c r="R488" s="13"/>
      <c r="S488" s="30"/>
      <c r="T488" s="43"/>
      <c r="W488" t="str">
        <f t="shared" si="214"/>
        <v>ATDPoço 7-BUZ-87D-RJS (P-4)Poço PVT</v>
      </c>
      <c r="X4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89" spans="1:24" ht="12.5" x14ac:dyDescent="0.25">
      <c r="A489" s="10"/>
      <c r="B489" s="8" t="s">
        <v>46</v>
      </c>
      <c r="C489" s="5" t="s">
        <v>74</v>
      </c>
      <c r="D489" s="9" t="s">
        <v>72</v>
      </c>
      <c r="E489" s="36"/>
      <c r="F489" s="29" cm="1">
        <f t="array" ref="F489">IF(V489 &lt;&gt; "", V489, IFERROR(_xlfn.SINGLE(INDEX($G$1:G488,SUMPRODUCT(MAX(($W$1:W488=W489)*(ROW($W$1:W488))))))+IF(D489="Fiscal",30,90),""))</f>
        <v>45868</v>
      </c>
      <c r="G489" s="13">
        <v>45867</v>
      </c>
      <c r="H489" s="15">
        <f t="shared" si="215"/>
        <v>45877</v>
      </c>
      <c r="I489" s="15"/>
      <c r="J489" s="32"/>
      <c r="K489" s="15">
        <f t="shared" si="216"/>
        <v>45887</v>
      </c>
      <c r="L489" s="15"/>
      <c r="M489" s="15">
        <f t="shared" si="217"/>
        <v>45892</v>
      </c>
      <c r="N489" s="13">
        <v>45891</v>
      </c>
      <c r="O489" s="2">
        <f>IFERROR(IF(tblColetas[[#This Row],[Status Coleta]]="Reprovado","Reprovado",IF(ISERROR(SEARCH("Poço",D489)),IF(N489="","Erro",IF(Q489="Reprovado","",WORKDAY(N489,IF(D489="Operacional",10,3),FERIADOS!$A$3:$A$119))),"-")),"-")</f>
        <v>45896</v>
      </c>
      <c r="P489" s="13">
        <v>45895</v>
      </c>
      <c r="Q489" s="7" t="s">
        <v>37</v>
      </c>
      <c r="R489" s="13"/>
      <c r="S489" s="30"/>
      <c r="T489" s="43"/>
      <c r="W489" t="str">
        <f t="shared" si="214"/>
        <v>CDMT76-FT-0014 (HP Flare)Fiscal</v>
      </c>
      <c r="X4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0" spans="1:24" ht="12.5" x14ac:dyDescent="0.25">
      <c r="A490" s="10"/>
      <c r="B490" s="8" t="s">
        <v>46</v>
      </c>
      <c r="C490" s="5" t="s">
        <v>75</v>
      </c>
      <c r="D490" s="9" t="s">
        <v>72</v>
      </c>
      <c r="E490" s="36"/>
      <c r="F490" s="29" cm="1">
        <f t="array" ref="F490">IF(V490 &lt;&gt; "", V490, IFERROR(_xlfn.SINGLE(INDEX($G$1:G489,SUMPRODUCT(MAX(($W$1:W489=W490)*(ROW($W$1:W489))))))+IF(D490="Fiscal",30,90),""))</f>
        <v>45868</v>
      </c>
      <c r="G490" s="13">
        <v>45867</v>
      </c>
      <c r="H490" s="15">
        <f t="shared" si="215"/>
        <v>45877</v>
      </c>
      <c r="I490" s="15"/>
      <c r="J490" s="32"/>
      <c r="K490" s="15">
        <f t="shared" si="216"/>
        <v>45887</v>
      </c>
      <c r="L490" s="15"/>
      <c r="M490" s="15">
        <f t="shared" si="217"/>
        <v>45892</v>
      </c>
      <c r="N490" s="13">
        <v>45891</v>
      </c>
      <c r="O490" s="2">
        <f>IFERROR(IF(tblColetas[[#This Row],[Status Coleta]]="Reprovado","Reprovado",IF(ISERROR(SEARCH("Poço",D490)),IF(N490="","Erro",IF(Q490="Reprovado","",WORKDAY(N490,IF(D490="Operacional",10,3),FERIADOS!$A$3:$A$119))),"-")),"-")</f>
        <v>45896</v>
      </c>
      <c r="P490" s="13">
        <v>45895</v>
      </c>
      <c r="Q490" s="7" t="s">
        <v>37</v>
      </c>
      <c r="R490" s="13"/>
      <c r="S490" s="30"/>
      <c r="T490" s="43"/>
      <c r="W490" t="str">
        <f t="shared" si="214"/>
        <v>CDMT76-FT-0034 (LP Flare)Fiscal</v>
      </c>
      <c r="X4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1" spans="1:24" ht="12.5" x14ac:dyDescent="0.25">
      <c r="A491" s="10"/>
      <c r="B491" s="8" t="s">
        <v>46</v>
      </c>
      <c r="C491" s="5" t="s">
        <v>71</v>
      </c>
      <c r="D491" s="9" t="s">
        <v>72</v>
      </c>
      <c r="E491" s="36"/>
      <c r="F491" s="29" cm="1">
        <f t="array" ref="F491">IF(V491 &lt;&gt; "", V491, IFERROR(_xlfn.SINGLE(INDEX($G$1:G490,SUMPRODUCT(MAX(($W$1:W490=W491)*(ROW($W$1:W490))))))+IF(D491="Fiscal",30,90),""))</f>
        <v>45868</v>
      </c>
      <c r="G491" s="13">
        <v>45867</v>
      </c>
      <c r="H491" s="15">
        <f t="shared" si="215"/>
        <v>45877</v>
      </c>
      <c r="I491" s="15"/>
      <c r="J491" s="32"/>
      <c r="K491" s="15">
        <f t="shared" si="216"/>
        <v>45887</v>
      </c>
      <c r="L491" s="15"/>
      <c r="M491" s="15">
        <f t="shared" si="217"/>
        <v>45892</v>
      </c>
      <c r="N491" s="13">
        <v>45891</v>
      </c>
      <c r="O491" s="2">
        <f>IFERROR(IF(tblColetas[[#This Row],[Status Coleta]]="Reprovado","Reprovado",IF(ISERROR(SEARCH("Poço",D491)),IF(N491="","Erro",IF(Q491="Reprovado","",WORKDAY(N491,IF(D491="Operacional",10,3),FERIADOS!$A$3:$A$119))),"-")),"-")</f>
        <v>45896</v>
      </c>
      <c r="P491" s="13">
        <v>45895</v>
      </c>
      <c r="Q491" s="7" t="s">
        <v>37</v>
      </c>
      <c r="R491" s="13"/>
      <c r="S491" s="30"/>
      <c r="T491" s="43"/>
      <c r="W491" t="str">
        <f t="shared" si="214"/>
        <v>CDMT77-FT-0103 (Fuel Gas)Fiscal</v>
      </c>
      <c r="X4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2" spans="1:24" ht="12.5" x14ac:dyDescent="0.25">
      <c r="A492" s="10"/>
      <c r="B492" s="8" t="s">
        <v>46</v>
      </c>
      <c r="C492" s="5" t="s">
        <v>125</v>
      </c>
      <c r="D492" s="9" t="s">
        <v>72</v>
      </c>
      <c r="E492" s="36"/>
      <c r="F492" s="29" cm="1">
        <f t="array" ref="F492">IF(V492 &lt;&gt; "", V492, IFERROR(_xlfn.SINGLE(INDEX($G$1:G491,SUMPRODUCT(MAX(($W$1:W491=W492)*(ROW($W$1:W491))))))+IF(D492="Fiscal",30,90),""))</f>
        <v>45868</v>
      </c>
      <c r="G492" s="13">
        <v>45867</v>
      </c>
      <c r="H492" s="15">
        <f t="shared" si="215"/>
        <v>45877</v>
      </c>
      <c r="I492" s="15"/>
      <c r="J492" s="32"/>
      <c r="K492" s="15">
        <f t="shared" si="216"/>
        <v>45887</v>
      </c>
      <c r="L492" s="15"/>
      <c r="M492" s="15">
        <f t="shared" si="217"/>
        <v>45892</v>
      </c>
      <c r="N492" s="13">
        <v>45891</v>
      </c>
      <c r="O492" s="2">
        <f>IFERROR(IF(tblColetas[[#This Row],[Status Coleta]]="Reprovado","Reprovado",IF(ISERROR(SEARCH("Poço",D492)),IF(N492="","Erro",IF(Q492="Reprovado","",WORKDAY(N492,IF(D492="Operacional",10,3),FERIADOS!$A$3:$A$119))),"-")),"-")</f>
        <v>45896</v>
      </c>
      <c r="P492" s="13">
        <v>45895</v>
      </c>
      <c r="Q492" s="7" t="s">
        <v>37</v>
      </c>
      <c r="R492" s="13"/>
      <c r="S492" s="30"/>
      <c r="T492" s="43"/>
      <c r="W492" t="str">
        <f t="shared" si="214"/>
        <v>CDMT74-FT-6901 (Export Gas)Fiscal</v>
      </c>
      <c r="X4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3" spans="1:24" ht="12.5" x14ac:dyDescent="0.25">
      <c r="A493" s="10"/>
      <c r="B493" s="19" t="s">
        <v>34</v>
      </c>
      <c r="C493" s="5" t="s">
        <v>61</v>
      </c>
      <c r="D493" s="20" t="s">
        <v>26</v>
      </c>
      <c r="E493" s="35"/>
      <c r="F493" s="29" cm="1">
        <f t="array" ref="F493">IF(V493 &lt;&gt; "", V493, IFERROR(_xlfn.SINGLE(INDEX($G$1:G492,SUMPRODUCT(MAX(($W$1:W492=W493)*(ROW($W$1:W492))))))+IF(D493="Fiscal",30,90),""))</f>
        <v>45938</v>
      </c>
      <c r="G493" s="21">
        <v>45928</v>
      </c>
      <c r="H493" s="15">
        <f t="shared" ref="H493:H515" si="218">IF(G493="","Erro", G493+10)</f>
        <v>45938</v>
      </c>
      <c r="I493" s="15">
        <v>45940</v>
      </c>
      <c r="J493" s="32" t="s">
        <v>204</v>
      </c>
      <c r="K493" s="15">
        <f t="shared" ref="K493:K515" si="219">IF(G493="","Erro",G493+20)</f>
        <v>45948</v>
      </c>
      <c r="L493" s="15">
        <v>45946</v>
      </c>
      <c r="M493" s="15">
        <f t="shared" ref="M493:M515" si="220">IF(G493="","Erro",G493+IF(D493="Operacional",45,25))</f>
        <v>45953</v>
      </c>
      <c r="N493" s="13">
        <v>45953</v>
      </c>
      <c r="O493" s="2" t="str">
        <f>IFERROR(IF(tblColetas[[#This Row],[Status Coleta]]="Reprovado","Reprovado",IF(ISERROR(SEARCH("Poço",D493)),IF(N493="","Erro",IF(Q493="Reprovado","",WORKDAY(N493,IF(D493="Operacional",10,3),FERIADOS!$A$3:$A$119))),"-")),"-")</f>
        <v>-</v>
      </c>
      <c r="P493" s="21"/>
      <c r="Q493" s="7"/>
      <c r="R493" s="13"/>
      <c r="S493" s="30"/>
      <c r="T493" s="43"/>
      <c r="W493" t="str">
        <f t="shared" si="214"/>
        <v>CDSPoço LL-91 (P-02)Poço CG</v>
      </c>
      <c r="X4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4" spans="1:24" ht="12.5" x14ac:dyDescent="0.25">
      <c r="A494" s="10"/>
      <c r="B494" s="19" t="s">
        <v>34</v>
      </c>
      <c r="C494" s="5" t="s">
        <v>61</v>
      </c>
      <c r="D494" s="20" t="s">
        <v>29</v>
      </c>
      <c r="E494" s="35"/>
      <c r="F494" s="29" cm="1">
        <f t="array" ref="F494">IF(V494 &lt;&gt; "", V494, IFERROR(_xlfn.SINGLE(INDEX($G$1:G493,SUMPRODUCT(MAX(($W$1:W493=W494)*(ROW($W$1:W493))))))+IF(D494="Fiscal",30,90),""))</f>
        <v>45938</v>
      </c>
      <c r="G494" s="21">
        <v>45928</v>
      </c>
      <c r="H494" s="15">
        <f t="shared" si="218"/>
        <v>45938</v>
      </c>
      <c r="I494" s="15">
        <v>45940</v>
      </c>
      <c r="J494" s="32" t="s">
        <v>204</v>
      </c>
      <c r="K494" s="15">
        <f t="shared" si="219"/>
        <v>45948</v>
      </c>
      <c r="L494" s="15">
        <v>45946</v>
      </c>
      <c r="M494" s="15">
        <f t="shared" si="220"/>
        <v>45953</v>
      </c>
      <c r="N494" s="13">
        <v>45953</v>
      </c>
      <c r="O494" s="2" t="str">
        <f>IFERROR(IF(tblColetas[[#This Row],[Status Coleta]]="Reprovado","Reprovado",IF(ISERROR(SEARCH("Poço",D494)),IF(N494="","Erro",IF(Q494="Reprovado","",WORKDAY(N494,IF(D494="Operacional",10,3),FERIADOS!$A$3:$A$119))),"-")),"-")</f>
        <v>-</v>
      </c>
      <c r="P494" s="21"/>
      <c r="Q494" s="7"/>
      <c r="R494" s="13"/>
      <c r="S494" s="30"/>
      <c r="T494" s="43"/>
      <c r="W494" t="str">
        <f t="shared" si="214"/>
        <v>CDSPoço LL-91 (P-02)Poço PVT</v>
      </c>
      <c r="X4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5" spans="1:24" ht="12.5" x14ac:dyDescent="0.25">
      <c r="A495" s="10"/>
      <c r="B495" s="19" t="s">
        <v>52</v>
      </c>
      <c r="C495" s="5" t="s">
        <v>53</v>
      </c>
      <c r="D495" s="20" t="s">
        <v>26</v>
      </c>
      <c r="E495" s="35"/>
      <c r="F495" s="29" cm="1">
        <f t="array" ref="F495">IF(V495 &lt;&gt; "", V495, IFERROR(_xlfn.SINGLE(INDEX($G$1:G494,SUMPRODUCT(MAX(($W$1:W494=W495)*(ROW($W$1:W494))))))+IF(D495="Fiscal",30,90),""))</f>
        <v>45924</v>
      </c>
      <c r="G495" s="21">
        <v>45911</v>
      </c>
      <c r="H495" s="15">
        <f t="shared" si="218"/>
        <v>45921</v>
      </c>
      <c r="I495" s="15">
        <v>45914</v>
      </c>
      <c r="J495" s="32" t="s">
        <v>205</v>
      </c>
      <c r="K495" s="15">
        <f t="shared" si="219"/>
        <v>45931</v>
      </c>
      <c r="L495" s="15">
        <v>45925</v>
      </c>
      <c r="M495" s="15">
        <f t="shared" si="220"/>
        <v>45936</v>
      </c>
      <c r="N495" s="13">
        <v>45936</v>
      </c>
      <c r="O495" s="2" t="str">
        <f>IFERROR(IF(tblColetas[[#This Row],[Status Coleta]]="Reprovado","Reprovado",IF(ISERROR(SEARCH("Poço",D495)),IF(N495="","Erro",IF(Q495="Reprovado","",WORKDAY(N495,IF(D495="Operacional",10,3),FERIADOS!$A$3:$A$119))),"-")),"-")</f>
        <v>-</v>
      </c>
      <c r="P495" s="21"/>
      <c r="Q495" s="7" t="s">
        <v>37</v>
      </c>
      <c r="R495" s="13"/>
      <c r="S495" s="30"/>
      <c r="T495" s="43"/>
      <c r="W495" t="str">
        <f t="shared" si="214"/>
        <v>SEPPoço MRO-27  P-8Poço CG</v>
      </c>
      <c r="X4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6" spans="1:24" ht="12.5" x14ac:dyDescent="0.25">
      <c r="A496" s="10"/>
      <c r="B496" s="19" t="s">
        <v>52</v>
      </c>
      <c r="C496" s="5" t="s">
        <v>53</v>
      </c>
      <c r="D496" s="20" t="s">
        <v>29</v>
      </c>
      <c r="E496" s="35"/>
      <c r="F496" s="29" cm="1">
        <f t="array" ref="F496">IF(V496 &lt;&gt; "", V496, IFERROR(_xlfn.SINGLE(INDEX($G$1:G495,SUMPRODUCT(MAX(($W$1:W495=W496)*(ROW($W$1:W495))))))+IF(D496="Fiscal",30,90),""))</f>
        <v>45924</v>
      </c>
      <c r="G496" s="21">
        <v>45911</v>
      </c>
      <c r="H496" s="15">
        <f t="shared" si="218"/>
        <v>45921</v>
      </c>
      <c r="I496" s="15">
        <v>45914</v>
      </c>
      <c r="J496" s="32" t="s">
        <v>205</v>
      </c>
      <c r="K496" s="15">
        <f t="shared" si="219"/>
        <v>45931</v>
      </c>
      <c r="L496" s="15">
        <v>45925</v>
      </c>
      <c r="M496" s="15">
        <f t="shared" si="220"/>
        <v>45936</v>
      </c>
      <c r="N496" s="13">
        <v>45936</v>
      </c>
      <c r="O496" s="2" t="str">
        <f>IFERROR(IF(tblColetas[[#This Row],[Status Coleta]]="Reprovado","Reprovado",IF(ISERROR(SEARCH("Poço",D496)),IF(N496="","Erro",IF(Q496="Reprovado","",WORKDAY(N496,IF(D496="Operacional",10,3),FERIADOS!$A$3:$A$119))),"-")),"-")</f>
        <v>-</v>
      </c>
      <c r="P496" s="21"/>
      <c r="Q496" s="7" t="s">
        <v>37</v>
      </c>
      <c r="R496" s="13"/>
      <c r="S496" s="30"/>
      <c r="T496" s="43"/>
      <c r="W496" t="str">
        <f t="shared" si="214"/>
        <v>SEPPoço MRO-27  P-8Poço PVT</v>
      </c>
      <c r="X4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7" spans="1:24" ht="12.5" x14ac:dyDescent="0.25">
      <c r="A497" s="10"/>
      <c r="B497" s="19" t="s">
        <v>31</v>
      </c>
      <c r="C497" s="5" t="s">
        <v>122</v>
      </c>
      <c r="D497" s="20" t="s">
        <v>72</v>
      </c>
      <c r="E497" s="35"/>
      <c r="F497" s="29" cm="1">
        <f t="array" ref="F497">IF(V497 &lt;&gt; "", V497, IFERROR(_xlfn.SINGLE(INDEX($G$1:G496,SUMPRODUCT(MAX(($W$1:W496=W497)*(ROW($W$1:W496))))))+IF(D497="Fiscal",30,90),""))</f>
        <v>45876</v>
      </c>
      <c r="G497" s="21">
        <v>45874</v>
      </c>
      <c r="H497" s="15">
        <f t="shared" si="218"/>
        <v>45884</v>
      </c>
      <c r="I497" s="15"/>
      <c r="J497" s="32"/>
      <c r="K497" s="15">
        <f t="shared" si="219"/>
        <v>45894</v>
      </c>
      <c r="L497" s="15"/>
      <c r="M497" s="15">
        <f t="shared" si="220"/>
        <v>45899</v>
      </c>
      <c r="N497" s="13">
        <v>45898</v>
      </c>
      <c r="O497" s="2">
        <f>IFERROR(IF(tblColetas[[#This Row],[Status Coleta]]="Reprovado","Reprovado",IF(ISERROR(SEARCH("Poço",D497)),IF(N497="","Erro",IF(Q497="Reprovado","",WORKDAY(N497,IF(D497="Operacional",10,3),FERIADOS!$A$3:$A$119))),"-")),"-")</f>
        <v>45903</v>
      </c>
      <c r="P497" s="21">
        <v>45902</v>
      </c>
      <c r="Q497" s="7" t="s">
        <v>37</v>
      </c>
      <c r="R497" s="13"/>
      <c r="S497" s="30"/>
      <c r="T497" s="43"/>
      <c r="W497" t="str">
        <f t="shared" si="214"/>
        <v>CDIT77-FT-6911 (Export gas)Fiscal</v>
      </c>
      <c r="X4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8" spans="1:24" ht="12.5" x14ac:dyDescent="0.25">
      <c r="A498" s="10"/>
      <c r="B498" s="19" t="s">
        <v>31</v>
      </c>
      <c r="C498" s="5" t="s">
        <v>71</v>
      </c>
      <c r="D498" s="20" t="s">
        <v>72</v>
      </c>
      <c r="E498" s="35"/>
      <c r="F498" s="29" cm="1">
        <f t="array" ref="F498">IF(V498 &lt;&gt; "", V498, IFERROR(_xlfn.SINGLE(INDEX($G$1:G497,SUMPRODUCT(MAX(($W$1:W497=W498)*(ROW($W$1:W497))))))+IF(D498="Fiscal",30,90),""))</f>
        <v>45876</v>
      </c>
      <c r="G498" s="21">
        <v>45875</v>
      </c>
      <c r="H498" s="15">
        <f t="shared" si="218"/>
        <v>45885</v>
      </c>
      <c r="I498" s="15"/>
      <c r="J498" s="32"/>
      <c r="K498" s="15">
        <f t="shared" si="219"/>
        <v>45895</v>
      </c>
      <c r="L498" s="15"/>
      <c r="M498" s="15">
        <f t="shared" si="220"/>
        <v>45900</v>
      </c>
      <c r="N498" s="13">
        <v>45898</v>
      </c>
      <c r="O498" s="2">
        <f>IFERROR(IF(tblColetas[[#This Row],[Status Coleta]]="Reprovado","Reprovado",IF(ISERROR(SEARCH("Poço",D498)),IF(N498="","Erro",IF(Q498="Reprovado","",WORKDAY(N498,IF(D498="Operacional",10,3),FERIADOS!$A$3:$A$119))),"-")),"-")</f>
        <v>45903</v>
      </c>
      <c r="P498" s="21">
        <v>45902</v>
      </c>
      <c r="Q498" s="7" t="s">
        <v>37</v>
      </c>
      <c r="R498" s="13"/>
      <c r="S498" s="30"/>
      <c r="T498" s="43"/>
      <c r="W498" t="str">
        <f t="shared" si="214"/>
        <v>CDIT77-FT-0103 (Fuel Gas)Fiscal</v>
      </c>
      <c r="X4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499" spans="1:24" ht="12.5" x14ac:dyDescent="0.25">
      <c r="A499" s="10"/>
      <c r="B499" s="19" t="s">
        <v>31</v>
      </c>
      <c r="C499" s="5" t="s">
        <v>74</v>
      </c>
      <c r="D499" s="20" t="s">
        <v>72</v>
      </c>
      <c r="E499" s="35"/>
      <c r="F499" s="29" cm="1">
        <f t="array" ref="F499">IF(V499 &lt;&gt; "", V499, IFERROR(_xlfn.SINGLE(INDEX($G$1:G498,SUMPRODUCT(MAX(($W$1:W498=W499)*(ROW($W$1:W498))))))+IF(D499="Fiscal",30,90),""))</f>
        <v>45876</v>
      </c>
      <c r="G499" s="21">
        <v>45876</v>
      </c>
      <c r="H499" s="15">
        <f t="shared" si="218"/>
        <v>45886</v>
      </c>
      <c r="I499" s="15"/>
      <c r="J499" s="32"/>
      <c r="K499" s="15">
        <f t="shared" si="219"/>
        <v>45896</v>
      </c>
      <c r="L499" s="15"/>
      <c r="M499" s="15">
        <f t="shared" si="220"/>
        <v>45901</v>
      </c>
      <c r="N499" s="13">
        <v>45898</v>
      </c>
      <c r="O499" s="2">
        <f>IFERROR(IF(tblColetas[[#This Row],[Status Coleta]]="Reprovado","Reprovado",IF(ISERROR(SEARCH("Poço",D499)),IF(N499="","Erro",IF(Q499="Reprovado","",WORKDAY(N499,IF(D499="Operacional",10,3),FERIADOS!$A$3:$A$119))),"-")),"-")</f>
        <v>45903</v>
      </c>
      <c r="P499" s="21">
        <v>45902</v>
      </c>
      <c r="Q499" s="7" t="s">
        <v>37</v>
      </c>
      <c r="R499" s="13"/>
      <c r="S499" s="30"/>
      <c r="T499" s="43"/>
      <c r="W499" t="str">
        <f t="shared" si="214"/>
        <v>CDIT76-FT-0014 (HP Flare)Fiscal</v>
      </c>
      <c r="X4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0" spans="1:24" ht="12.5" x14ac:dyDescent="0.25">
      <c r="A500" s="10"/>
      <c r="B500" s="19" t="s">
        <v>31</v>
      </c>
      <c r="C500" s="5" t="s">
        <v>75</v>
      </c>
      <c r="D500" s="20" t="s">
        <v>72</v>
      </c>
      <c r="E500" s="35"/>
      <c r="F500" s="29" cm="1">
        <f t="array" ref="F500">IF(V500 &lt;&gt; "", V500, IFERROR(_xlfn.SINGLE(INDEX($G$1:G499,SUMPRODUCT(MAX(($W$1:W499=W500)*(ROW($W$1:W499))))))+IF(D500="Fiscal",30,90),""))</f>
        <v>45876</v>
      </c>
      <c r="G500" s="21">
        <v>45876</v>
      </c>
      <c r="H500" s="15">
        <f t="shared" si="218"/>
        <v>45886</v>
      </c>
      <c r="I500" s="15"/>
      <c r="J500" s="32"/>
      <c r="K500" s="15">
        <f t="shared" si="219"/>
        <v>45896</v>
      </c>
      <c r="L500" s="15"/>
      <c r="M500" s="15">
        <f t="shared" si="220"/>
        <v>45901</v>
      </c>
      <c r="N500" s="13">
        <v>45898</v>
      </c>
      <c r="O500" s="2">
        <f>IFERROR(IF(tblColetas[[#This Row],[Status Coleta]]="Reprovado","Reprovado",IF(ISERROR(SEARCH("Poço",D500)),IF(N500="","Erro",IF(Q500="Reprovado","",WORKDAY(N500,IF(D500="Operacional",10,3),FERIADOS!$A$3:$A$119))),"-")),"-")</f>
        <v>45903</v>
      </c>
      <c r="P500" s="21">
        <v>45902</v>
      </c>
      <c r="Q500" s="7" t="s">
        <v>37</v>
      </c>
      <c r="R500" s="13"/>
      <c r="S500" s="30"/>
      <c r="T500" s="43"/>
      <c r="W500" t="str">
        <f t="shared" si="214"/>
        <v>CDIT76-FT-0034 (LP Flare)Fiscal</v>
      </c>
      <c r="X5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1" spans="1:24" ht="12.5" x14ac:dyDescent="0.25">
      <c r="A501" s="10"/>
      <c r="B501" s="19" t="s">
        <v>34</v>
      </c>
      <c r="C501" s="5" t="s">
        <v>71</v>
      </c>
      <c r="D501" s="20" t="s">
        <v>72</v>
      </c>
      <c r="E501" s="35"/>
      <c r="F501" s="29" cm="1">
        <f t="array" ref="F501">IF(V501 &lt;&gt; "", V501, IFERROR(_xlfn.SINGLE(INDEX($G$1:G500,SUMPRODUCT(MAX(($W$1:W500=W501)*(ROW($W$1:W500))))))+IF(D501="Fiscal",30,90),""))</f>
        <v>45878</v>
      </c>
      <c r="G501" s="21">
        <v>45875</v>
      </c>
      <c r="H501" s="15">
        <f t="shared" si="218"/>
        <v>45885</v>
      </c>
      <c r="I501" s="15"/>
      <c r="J501" s="32"/>
      <c r="K501" s="15">
        <f t="shared" si="219"/>
        <v>45895</v>
      </c>
      <c r="L501" s="15"/>
      <c r="M501" s="15">
        <f t="shared" si="220"/>
        <v>45900</v>
      </c>
      <c r="N501" s="13">
        <v>45898</v>
      </c>
      <c r="O501" s="2">
        <f>IFERROR(IF(tblColetas[[#This Row],[Status Coleta]]="Reprovado","Reprovado",IF(ISERROR(SEARCH("Poço",D501)),IF(N501="","Erro",IF(Q501="Reprovado","",WORKDAY(N501,IF(D501="Operacional",10,3),FERIADOS!$A$3:$A$119))),"-")),"-")</f>
        <v>45903</v>
      </c>
      <c r="P501" s="21">
        <v>45902</v>
      </c>
      <c r="Q501" s="7" t="s">
        <v>37</v>
      </c>
      <c r="R501" s="13"/>
      <c r="S501" s="30"/>
      <c r="T501" s="43"/>
      <c r="W501" t="str">
        <f t="shared" si="214"/>
        <v>CDST77-FT-0103 (Fuel Gas)Fiscal</v>
      </c>
      <c r="X5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2" spans="1:24" ht="12.5" x14ac:dyDescent="0.25">
      <c r="A502" s="10"/>
      <c r="B502" s="19" t="s">
        <v>34</v>
      </c>
      <c r="C502" s="5" t="s">
        <v>73</v>
      </c>
      <c r="D502" s="20" t="s">
        <v>72</v>
      </c>
      <c r="E502" s="35"/>
      <c r="F502" s="29" cm="1">
        <f t="array" ref="F502">IF(V502 &lt;&gt; "", V502, IFERROR(_xlfn.SINGLE(INDEX($G$1:G501,SUMPRODUCT(MAX(($W$1:W501=W502)*(ROW($W$1:W501))))))+IF(D502="Fiscal",30,90),""))</f>
        <v>45878</v>
      </c>
      <c r="G502" s="21">
        <v>45875</v>
      </c>
      <c r="H502" s="15">
        <f t="shared" si="218"/>
        <v>45885</v>
      </c>
      <c r="I502" s="15"/>
      <c r="J502" s="32"/>
      <c r="K502" s="15">
        <f t="shared" si="219"/>
        <v>45895</v>
      </c>
      <c r="L502" s="15"/>
      <c r="M502" s="15">
        <f t="shared" si="220"/>
        <v>45900</v>
      </c>
      <c r="N502" s="13">
        <v>45898</v>
      </c>
      <c r="O502" s="2">
        <f>IFERROR(IF(tblColetas[[#This Row],[Status Coleta]]="Reprovado","Reprovado",IF(ISERROR(SEARCH("Poço",D502)),IF(N502="","Erro",IF(Q502="Reprovado","",WORKDAY(N502,IF(D502="Operacional",10,3),FERIADOS!$A$3:$A$119))),"-")),"-")</f>
        <v>45903</v>
      </c>
      <c r="P502" s="21">
        <v>45902</v>
      </c>
      <c r="Q502" s="7" t="s">
        <v>37</v>
      </c>
      <c r="R502" s="13"/>
      <c r="S502" s="30"/>
      <c r="T502" s="43"/>
      <c r="W502" t="str">
        <f t="shared" si="214"/>
        <v>CDST74-AX-6911 (Export Gas)Fiscal</v>
      </c>
      <c r="X5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3" spans="1:24" ht="12.5" x14ac:dyDescent="0.25">
      <c r="A503" s="10"/>
      <c r="B503" s="19" t="s">
        <v>34</v>
      </c>
      <c r="C503" s="5" t="s">
        <v>74</v>
      </c>
      <c r="D503" s="20" t="s">
        <v>72</v>
      </c>
      <c r="E503" s="35"/>
      <c r="F503" s="29" cm="1">
        <f t="array" ref="F503">IF(V503 &lt;&gt; "", V503, IFERROR(_xlfn.SINGLE(INDEX($G$1:G502,SUMPRODUCT(MAX(($W$1:W502=W503)*(ROW($W$1:W502))))))+IF(D503="Fiscal",30,90),""))</f>
        <v>45878</v>
      </c>
      <c r="G503" s="21">
        <v>45875</v>
      </c>
      <c r="H503" s="15">
        <f t="shared" si="218"/>
        <v>45885</v>
      </c>
      <c r="I503" s="15"/>
      <c r="J503" s="32"/>
      <c r="K503" s="15">
        <f t="shared" si="219"/>
        <v>45895</v>
      </c>
      <c r="L503" s="15"/>
      <c r="M503" s="15">
        <f t="shared" si="220"/>
        <v>45900</v>
      </c>
      <c r="N503" s="13">
        <v>45898</v>
      </c>
      <c r="O503" s="2">
        <f>IFERROR(IF(tblColetas[[#This Row],[Status Coleta]]="Reprovado","Reprovado",IF(ISERROR(SEARCH("Poço",D503)),IF(N503="","Erro",IF(Q503="Reprovado","",WORKDAY(N503,IF(D503="Operacional",10,3),FERIADOS!$A$3:$A$119))),"-")),"-")</f>
        <v>45903</v>
      </c>
      <c r="P503" s="21">
        <v>45902</v>
      </c>
      <c r="Q503" s="7" t="s">
        <v>37</v>
      </c>
      <c r="R503" s="13"/>
      <c r="S503" s="30"/>
      <c r="T503" s="43"/>
      <c r="W503" t="str">
        <f t="shared" si="214"/>
        <v>CDST76-FT-0014 (HP Flare)Fiscal</v>
      </c>
      <c r="X5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4" spans="1:24" ht="12.5" x14ac:dyDescent="0.25">
      <c r="A504" s="10"/>
      <c r="B504" s="19" t="s">
        <v>34</v>
      </c>
      <c r="C504" s="5" t="s">
        <v>75</v>
      </c>
      <c r="D504" s="20" t="s">
        <v>72</v>
      </c>
      <c r="E504" s="35"/>
      <c r="F504" s="29" cm="1">
        <f t="array" ref="F504">IF(V504 &lt;&gt; "", V504, IFERROR(_xlfn.SINGLE(INDEX($G$1:G503,SUMPRODUCT(MAX(($W$1:W503=W504)*(ROW($W$1:W503))))))+IF(D504="Fiscal",30,90),""))</f>
        <v>45878</v>
      </c>
      <c r="G504" s="21">
        <v>45875</v>
      </c>
      <c r="H504" s="15">
        <f t="shared" si="218"/>
        <v>45885</v>
      </c>
      <c r="I504" s="15"/>
      <c r="J504" s="32"/>
      <c r="K504" s="15">
        <f t="shared" si="219"/>
        <v>45895</v>
      </c>
      <c r="L504" s="15"/>
      <c r="M504" s="15">
        <f t="shared" si="220"/>
        <v>45900</v>
      </c>
      <c r="N504" s="13">
        <v>45898</v>
      </c>
      <c r="O504" s="2">
        <f>IFERROR(IF(tblColetas[[#This Row],[Status Coleta]]="Reprovado","Reprovado",IF(ISERROR(SEARCH("Poço",D504)),IF(N504="","Erro",IF(Q504="Reprovado","",WORKDAY(N504,IF(D504="Operacional",10,3),FERIADOS!$A$3:$A$119))),"-")),"-")</f>
        <v>45903</v>
      </c>
      <c r="P504" s="21">
        <v>45902</v>
      </c>
      <c r="Q504" s="7" t="s">
        <v>37</v>
      </c>
      <c r="R504" s="13"/>
      <c r="S504" s="30"/>
      <c r="T504" s="43"/>
      <c r="W504" t="str">
        <f t="shared" si="214"/>
        <v>CDST76-FT-0034 (LP Flare)Fiscal</v>
      </c>
      <c r="X5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5" spans="1:24" ht="12.5" x14ac:dyDescent="0.25">
      <c r="A505" s="10"/>
      <c r="B505" s="19" t="s">
        <v>24</v>
      </c>
      <c r="C505" s="5" t="s">
        <v>102</v>
      </c>
      <c r="D505" s="20" t="s">
        <v>26</v>
      </c>
      <c r="E505" s="35"/>
      <c r="F505" s="29" cm="1">
        <f t="array" ref="F505">IF(V505 &lt;&gt; "", V505, IFERROR(_xlfn.SINGLE(INDEX($G$1:G504,SUMPRODUCT(MAX(($W$1:W504=W505)*(ROW($W$1:W504))))))+IF(D505="Fiscal",30,90),""))</f>
        <v>45940</v>
      </c>
      <c r="G505" s="21">
        <v>45935</v>
      </c>
      <c r="H505" s="15">
        <f t="shared" si="218"/>
        <v>45945</v>
      </c>
      <c r="I505" s="15">
        <v>45939</v>
      </c>
      <c r="J505" s="32" t="s">
        <v>206</v>
      </c>
      <c r="K505" s="15">
        <f t="shared" si="219"/>
        <v>45955</v>
      </c>
      <c r="L505" s="15">
        <v>45951</v>
      </c>
      <c r="M505" s="15">
        <f t="shared" si="220"/>
        <v>45960</v>
      </c>
      <c r="N505" s="13">
        <v>45960</v>
      </c>
      <c r="O505" s="2" t="str">
        <f>IFERROR(IF(tblColetas[[#This Row],[Status Coleta]]="Reprovado","Reprovado",IF(ISERROR(SEARCH("Poço",D505)),IF(N505="","Erro",IF(Q505="Reprovado","",WORKDAY(N505,IF(D505="Operacional",10,3),FERIADOS!$A$3:$A$119))),"-")),"-")</f>
        <v>Reprovado</v>
      </c>
      <c r="P505" s="21"/>
      <c r="Q505" s="7" t="s">
        <v>81</v>
      </c>
      <c r="R505" s="13"/>
      <c r="S505" s="30"/>
      <c r="T505" s="43"/>
      <c r="W505" t="str">
        <f t="shared" si="214"/>
        <v>CDAPoço BAZ-09Poço CG</v>
      </c>
      <c r="X5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6" spans="1:24" ht="12.5" x14ac:dyDescent="0.25">
      <c r="A506" s="10"/>
      <c r="B506" s="19" t="s">
        <v>24</v>
      </c>
      <c r="C506" s="5" t="s">
        <v>102</v>
      </c>
      <c r="D506" s="20" t="s">
        <v>29</v>
      </c>
      <c r="E506" s="35"/>
      <c r="F506" s="29" cm="1">
        <f t="array" ref="F506">IF(V506 &lt;&gt; "", V506, IFERROR(_xlfn.SINGLE(INDEX($G$1:G505,SUMPRODUCT(MAX(($W$1:W505=W506)*(ROW($W$1:W505))))))+IF(D506="Fiscal",30,90),""))</f>
        <v>45940</v>
      </c>
      <c r="G506" s="21">
        <v>45935</v>
      </c>
      <c r="H506" s="15">
        <f t="shared" si="218"/>
        <v>45945</v>
      </c>
      <c r="I506" s="15">
        <v>45939</v>
      </c>
      <c r="J506" s="32" t="s">
        <v>206</v>
      </c>
      <c r="K506" s="15">
        <f t="shared" si="219"/>
        <v>45955</v>
      </c>
      <c r="L506" s="15">
        <v>45951</v>
      </c>
      <c r="M506" s="15">
        <f t="shared" si="220"/>
        <v>45960</v>
      </c>
      <c r="N506" s="13">
        <v>45960</v>
      </c>
      <c r="O506" s="2" t="str">
        <f>IFERROR(IF(tblColetas[[#This Row],[Status Coleta]]="Reprovado","Reprovado",IF(ISERROR(SEARCH("Poço",D506)),IF(N506="","Erro",IF(Q506="Reprovado","",WORKDAY(N506,IF(D506="Operacional",10,3),FERIADOS!$A$3:$A$119))),"-")),"-")</f>
        <v>-</v>
      </c>
      <c r="P506" s="21"/>
      <c r="Q506" s="7" t="s">
        <v>37</v>
      </c>
      <c r="R506" s="13"/>
      <c r="S506" s="30"/>
      <c r="T506" s="43"/>
      <c r="W506" t="str">
        <f t="shared" si="214"/>
        <v>CDAPoço BAZ-09Poço PVT</v>
      </c>
      <c r="X5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7" spans="1:24" ht="12.5" x14ac:dyDescent="0.25">
      <c r="A507" s="10"/>
      <c r="B507" s="19" t="s">
        <v>34</v>
      </c>
      <c r="C507" s="5" t="s">
        <v>67</v>
      </c>
      <c r="D507" s="20" t="s">
        <v>26</v>
      </c>
      <c r="E507" s="35"/>
      <c r="F507" s="29" cm="1">
        <f t="array" ref="F507">IF(V507 &lt;&gt; "", V507, IFERROR(_xlfn.SINGLE(INDEX($G$1:G506,SUMPRODUCT(MAX(($W$1:W506=W507)*(ROW($W$1:W506))))))+IF(D507="Fiscal",30,90),""))</f>
        <v>45941</v>
      </c>
      <c r="G507" s="21">
        <v>45937</v>
      </c>
      <c r="H507" s="15">
        <f t="shared" si="218"/>
        <v>45947</v>
      </c>
      <c r="I507" s="15">
        <v>45940</v>
      </c>
      <c r="J507" s="32" t="s">
        <v>204</v>
      </c>
      <c r="K507" s="15">
        <f t="shared" si="219"/>
        <v>45957</v>
      </c>
      <c r="L507" s="15">
        <v>45946</v>
      </c>
      <c r="M507" s="15">
        <f t="shared" si="220"/>
        <v>45962</v>
      </c>
      <c r="N507" s="13">
        <v>45961</v>
      </c>
      <c r="O507" s="2" t="str">
        <f>IFERROR(IF(tblColetas[[#This Row],[Status Coleta]]="Reprovado","Reprovado",IF(ISERROR(SEARCH("Poço",D507)),IF(N507="","Erro",IF(Q507="Reprovado","",WORKDAY(N507,IF(D507="Operacional",10,3),FERIADOS!$A$3:$A$119))),"-")),"-")</f>
        <v>-</v>
      </c>
      <c r="P507" s="21"/>
      <c r="Q507" s="7" t="s">
        <v>37</v>
      </c>
      <c r="R507" s="13"/>
      <c r="S507" s="30"/>
      <c r="T507" s="43"/>
      <c r="W507" t="str">
        <f t="shared" si="214"/>
        <v>CDSPoço LL-81 (P-09)Poço CG</v>
      </c>
      <c r="X5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8" spans="1:24" ht="12.5" x14ac:dyDescent="0.25">
      <c r="A508" s="10"/>
      <c r="B508" s="19" t="s">
        <v>34</v>
      </c>
      <c r="C508" s="5" t="s">
        <v>67</v>
      </c>
      <c r="D508" s="20" t="s">
        <v>29</v>
      </c>
      <c r="E508" s="35"/>
      <c r="F508" s="29" cm="1">
        <f t="array" ref="F508">IF(V508 &lt;&gt; "", V508, IFERROR(_xlfn.SINGLE(INDEX($G$1:G507,SUMPRODUCT(MAX(($W$1:W507=W508)*(ROW($W$1:W507))))))+IF(D508="Fiscal",30,90),""))</f>
        <v>45941</v>
      </c>
      <c r="G508" s="21">
        <v>45937</v>
      </c>
      <c r="H508" s="15">
        <f t="shared" si="218"/>
        <v>45947</v>
      </c>
      <c r="I508" s="15">
        <v>45940</v>
      </c>
      <c r="J508" s="32" t="s">
        <v>204</v>
      </c>
      <c r="K508" s="15">
        <f t="shared" si="219"/>
        <v>45957</v>
      </c>
      <c r="L508" s="15">
        <v>45946</v>
      </c>
      <c r="M508" s="15">
        <f t="shared" si="220"/>
        <v>45962</v>
      </c>
      <c r="N508" s="13">
        <v>45961</v>
      </c>
      <c r="O508" s="2" t="str">
        <f>IFERROR(IF(tblColetas[[#This Row],[Status Coleta]]="Reprovado","Reprovado",IF(ISERROR(SEARCH("Poço",D508)),IF(N508="","Erro",IF(Q508="Reprovado","",WORKDAY(N508,IF(D508="Operacional",10,3),FERIADOS!$A$3:$A$119))),"-")),"-")</f>
        <v>-</v>
      </c>
      <c r="P508" s="21"/>
      <c r="Q508" s="7" t="s">
        <v>37</v>
      </c>
      <c r="R508" s="13"/>
      <c r="S508" s="30"/>
      <c r="T508" s="43"/>
      <c r="W508" t="str">
        <f t="shared" si="214"/>
        <v>CDSPoço LL-81 (P-09)Poço PVT</v>
      </c>
      <c r="X5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09" spans="1:24" ht="12.5" x14ac:dyDescent="0.25">
      <c r="A509" s="10"/>
      <c r="B509" s="19" t="s">
        <v>52</v>
      </c>
      <c r="C509" s="5" t="s">
        <v>57</v>
      </c>
      <c r="D509" s="20" t="s">
        <v>26</v>
      </c>
      <c r="E509" s="35"/>
      <c r="F509" s="29" cm="1">
        <f t="array" ref="F509">IF(V509 &lt;&gt; "", V509, IFERROR(_xlfn.SINGLE(INDEX($G$1:G508,SUMPRODUCT(MAX(($W$1:W508=W509)*(ROW($W$1:W508))))))+IF(D509="Fiscal",30,90),""))</f>
        <v>45941</v>
      </c>
      <c r="G509" s="21">
        <v>45934</v>
      </c>
      <c r="H509" s="15">
        <f t="shared" si="218"/>
        <v>45944</v>
      </c>
      <c r="I509" s="15">
        <v>45934</v>
      </c>
      <c r="J509" s="32"/>
      <c r="K509" s="15">
        <f t="shared" si="219"/>
        <v>45954</v>
      </c>
      <c r="L509" s="15">
        <v>45934</v>
      </c>
      <c r="M509" s="15">
        <f t="shared" si="220"/>
        <v>45959</v>
      </c>
      <c r="N509" s="13">
        <v>45959</v>
      </c>
      <c r="O509" s="2" t="str">
        <f>IFERROR(IF(tblColetas[[#This Row],[Status Coleta]]="Reprovado","Reprovado",IF(ISERROR(SEARCH("Poço",D509)),IF(N509="","Erro",IF(Q509="Reprovado","",WORKDAY(N509,IF(D509="Operacional",10,3),FERIADOS!$A$3:$A$119))),"-")),"-")</f>
        <v>-</v>
      </c>
      <c r="P509" s="21"/>
      <c r="Q509" s="7" t="s">
        <v>37</v>
      </c>
      <c r="R509" s="13"/>
      <c r="S509" s="30"/>
      <c r="T509" s="43"/>
      <c r="W509" t="str">
        <f t="shared" si="214"/>
        <v>SEPPoço MRO-18D P-5Poço CG</v>
      </c>
      <c r="X5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0" spans="1:24" ht="12.5" x14ac:dyDescent="0.25">
      <c r="A510" s="10"/>
      <c r="B510" s="19" t="s">
        <v>52</v>
      </c>
      <c r="C510" s="5" t="s">
        <v>57</v>
      </c>
      <c r="D510" s="20" t="s">
        <v>29</v>
      </c>
      <c r="E510" s="35"/>
      <c r="F510" s="29" cm="1">
        <f t="array" ref="F510">IF(V510 &lt;&gt; "", V510, IFERROR(_xlfn.SINGLE(INDEX($G$1:G509,SUMPRODUCT(MAX(($W$1:W509=W510)*(ROW($W$1:W509))))))+IF(D510="Fiscal",30,90),""))</f>
        <v>45941</v>
      </c>
      <c r="G510" s="21">
        <v>45934</v>
      </c>
      <c r="H510" s="15">
        <f t="shared" si="218"/>
        <v>45944</v>
      </c>
      <c r="I510" s="15">
        <v>45944</v>
      </c>
      <c r="J510" s="32" t="s">
        <v>172</v>
      </c>
      <c r="K510" s="15">
        <f t="shared" si="219"/>
        <v>45954</v>
      </c>
      <c r="L510" s="15">
        <v>45951</v>
      </c>
      <c r="M510" s="15">
        <f t="shared" si="220"/>
        <v>45959</v>
      </c>
      <c r="N510" s="13">
        <v>45959</v>
      </c>
      <c r="O510" s="2" t="str">
        <f>IFERROR(IF(tblColetas[[#This Row],[Status Coleta]]="Reprovado","Reprovado",IF(ISERROR(SEARCH("Poço",D510)),IF(N510="","Erro",IF(Q510="Reprovado","",WORKDAY(N510,IF(D510="Operacional",10,3),FERIADOS!$A$3:$A$119))),"-")),"-")</f>
        <v>-</v>
      </c>
      <c r="P510" s="21"/>
      <c r="Q510" s="7" t="s">
        <v>37</v>
      </c>
      <c r="R510" s="13"/>
      <c r="S510" s="30"/>
      <c r="T510" s="43"/>
      <c r="W510" t="str">
        <f t="shared" si="214"/>
        <v>SEPPoço MRO-18D P-5Poço PVT</v>
      </c>
      <c r="X5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1" spans="1:24" ht="12.5" x14ac:dyDescent="0.25">
      <c r="A511" s="10"/>
      <c r="B511" s="19" t="s">
        <v>145</v>
      </c>
      <c r="C511" s="5" t="s">
        <v>146</v>
      </c>
      <c r="D511" s="20" t="s">
        <v>72</v>
      </c>
      <c r="E511" s="35"/>
      <c r="F511" s="29" cm="1">
        <f t="array" ref="F511">IF(V511 &lt;&gt; "", V511, IFERROR(_xlfn.SINGLE(INDEX($G$1:G510,SUMPRODUCT(MAX(($W$1:W510=W511)*(ROW($W$1:W510))))))+IF(D511="Fiscal",30,90),""))</f>
        <v>45878</v>
      </c>
      <c r="G511" s="21">
        <v>45877</v>
      </c>
      <c r="H511" s="15">
        <f t="shared" si="218"/>
        <v>45887</v>
      </c>
      <c r="I511" s="15"/>
      <c r="J511" s="32"/>
      <c r="K511" s="15">
        <f t="shared" si="219"/>
        <v>45897</v>
      </c>
      <c r="L511" s="15"/>
      <c r="M511" s="15">
        <f t="shared" si="220"/>
        <v>45902</v>
      </c>
      <c r="N511" s="13">
        <v>45902</v>
      </c>
      <c r="O511" s="2">
        <f>IFERROR(IF(tblColetas[[#This Row],[Status Coleta]]="Reprovado","Reprovado",IF(ISERROR(SEARCH("Poço",D511)),IF(N511="","Erro",IF(Q511="Reprovado","",WORKDAY(N511,IF(D511="Operacional",10,3),FERIADOS!$A$3:$A$119))),"-")),"-")</f>
        <v>45905</v>
      </c>
      <c r="P511" s="21">
        <v>45904</v>
      </c>
      <c r="Q511" s="7" t="s">
        <v>37</v>
      </c>
      <c r="R511" s="13"/>
      <c r="S511" s="30"/>
      <c r="T511" s="43"/>
      <c r="W511" t="str">
        <f t="shared" si="214"/>
        <v>ATD777-AP-1403 (Fuel Gas to Flare Stack)Fiscal</v>
      </c>
      <c r="X5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2" spans="1:24" ht="12.5" x14ac:dyDescent="0.25">
      <c r="A512" s="10"/>
      <c r="B512" s="19" t="s">
        <v>145</v>
      </c>
      <c r="C512" s="5" t="s">
        <v>147</v>
      </c>
      <c r="D512" s="20" t="s">
        <v>72</v>
      </c>
      <c r="E512" s="35"/>
      <c r="F512" s="29" cm="1">
        <f t="array" ref="F512">IF(V512 &lt;&gt; "", V512, IFERROR(_xlfn.SINGLE(INDEX($G$1:G511,SUMPRODUCT(MAX(($W$1:W511=W512)*(ROW($W$1:W511))))))+IF(D512="Fiscal",30,90),""))</f>
        <v>45878</v>
      </c>
      <c r="G512" s="21">
        <v>45877</v>
      </c>
      <c r="H512" s="15">
        <f t="shared" si="218"/>
        <v>45887</v>
      </c>
      <c r="I512" s="15"/>
      <c r="J512" s="32"/>
      <c r="K512" s="15">
        <f t="shared" si="219"/>
        <v>45897</v>
      </c>
      <c r="L512" s="15"/>
      <c r="M512" s="15">
        <f t="shared" si="220"/>
        <v>45902</v>
      </c>
      <c r="N512" s="13">
        <v>45902</v>
      </c>
      <c r="O512" s="2">
        <f>IFERROR(IF(tblColetas[[#This Row],[Status Coleta]]="Reprovado","Reprovado",IF(ISERROR(SEARCH("Poço",D512)),IF(N512="","Erro",IF(Q512="Reprovado","",WORKDAY(N512,IF(D512="Operacional",10,3),FERIADOS!$A$3:$A$119))),"-")),"-")</f>
        <v>45905</v>
      </c>
      <c r="P512" s="21">
        <v>45904</v>
      </c>
      <c r="Q512" s="7" t="s">
        <v>37</v>
      </c>
      <c r="R512" s="13"/>
      <c r="S512" s="30"/>
      <c r="T512" s="43"/>
      <c r="W512" t="str">
        <f t="shared" si="214"/>
        <v>ATD777-AP-1506 (Fuel Gas)Fiscal</v>
      </c>
      <c r="X5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3" spans="1:24" ht="12.5" x14ac:dyDescent="0.25">
      <c r="A513" s="10"/>
      <c r="B513" s="19" t="s">
        <v>145</v>
      </c>
      <c r="C513" s="5" t="s">
        <v>148</v>
      </c>
      <c r="D513" s="20" t="s">
        <v>72</v>
      </c>
      <c r="E513" s="35"/>
      <c r="F513" s="29" cm="1">
        <f t="array" ref="F513">IF(V513 &lt;&gt; "", V513, IFERROR(_xlfn.SINGLE(INDEX($G$1:G512,SUMPRODUCT(MAX(($W$1:W512=W513)*(ROW($W$1:W512))))))+IF(D513="Fiscal",30,90),""))</f>
        <v>45878</v>
      </c>
      <c r="G513" s="21">
        <v>45877</v>
      </c>
      <c r="H513" s="15">
        <f t="shared" si="218"/>
        <v>45887</v>
      </c>
      <c r="I513" s="15"/>
      <c r="J513" s="32"/>
      <c r="K513" s="15">
        <f t="shared" si="219"/>
        <v>45897</v>
      </c>
      <c r="L513" s="15"/>
      <c r="M513" s="15">
        <f t="shared" si="220"/>
        <v>45902</v>
      </c>
      <c r="N513" s="13">
        <v>45902</v>
      </c>
      <c r="O513" s="2">
        <f>IFERROR(IF(tblColetas[[#This Row],[Status Coleta]]="Reprovado","Reprovado",IF(ISERROR(SEARCH("Poço",D513)),IF(N513="","Erro",IF(Q513="Reprovado","",WORKDAY(N513,IF(D513="Operacional",10,3),FERIADOS!$A$3:$A$119))),"-")),"-")</f>
        <v>45905</v>
      </c>
      <c r="P513" s="21">
        <v>45904</v>
      </c>
      <c r="Q513" s="7" t="s">
        <v>37</v>
      </c>
      <c r="R513" s="13"/>
      <c r="S513" s="30"/>
      <c r="T513" s="43"/>
      <c r="W513" t="str">
        <f t="shared" si="214"/>
        <v>ATD776-AP-0018-2 (HP Flare)Fiscal</v>
      </c>
      <c r="X5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4" spans="1:24" ht="12.5" x14ac:dyDescent="0.25">
      <c r="A514" s="10"/>
      <c r="B514" s="19" t="s">
        <v>145</v>
      </c>
      <c r="C514" s="5" t="s">
        <v>149</v>
      </c>
      <c r="D514" s="20" t="s">
        <v>72</v>
      </c>
      <c r="E514" s="35"/>
      <c r="F514" s="29" cm="1">
        <f t="array" ref="F514">IF(V514 &lt;&gt; "", V514, IFERROR(_xlfn.SINGLE(INDEX($G$1:G513,SUMPRODUCT(MAX(($W$1:W513=W514)*(ROW($W$1:W513))))))+IF(D514="Fiscal",30,90),""))</f>
        <v>45878</v>
      </c>
      <c r="G514" s="21">
        <v>45877</v>
      </c>
      <c r="H514" s="15">
        <f t="shared" si="218"/>
        <v>45887</v>
      </c>
      <c r="I514" s="15"/>
      <c r="J514" s="32"/>
      <c r="K514" s="15">
        <f t="shared" si="219"/>
        <v>45897</v>
      </c>
      <c r="L514" s="15"/>
      <c r="M514" s="15">
        <f t="shared" si="220"/>
        <v>45902</v>
      </c>
      <c r="N514" s="13">
        <v>45902</v>
      </c>
      <c r="O514" s="2">
        <f>IFERROR(IF(tblColetas[[#This Row],[Status Coleta]]="Reprovado","Reprovado",IF(ISERROR(SEARCH("Poço",D514)),IF(N514="","Erro",IF(Q514="Reprovado","",WORKDAY(N514,IF(D514="Operacional",10,3),FERIADOS!$A$3:$A$119))),"-")),"-")</f>
        <v>45905</v>
      </c>
      <c r="P514" s="21">
        <v>45904</v>
      </c>
      <c r="Q514" s="7" t="s">
        <v>37</v>
      </c>
      <c r="R514" s="13"/>
      <c r="S514" s="30"/>
      <c r="T514" s="43"/>
      <c r="W514" t="str">
        <f t="shared" si="214"/>
        <v>ATD776-AP-0036-2 (LP Flare)Fiscal</v>
      </c>
      <c r="X5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5" spans="1:24" ht="12.5" x14ac:dyDescent="0.25">
      <c r="A515" s="10"/>
      <c r="B515" s="19" t="s">
        <v>145</v>
      </c>
      <c r="C515" s="5" t="s">
        <v>151</v>
      </c>
      <c r="D515" s="20" t="s">
        <v>72</v>
      </c>
      <c r="E515" s="35"/>
      <c r="F515" s="29" cm="1">
        <f t="array" ref="F515">IF(V515 &lt;&gt; "", V515, IFERROR(_xlfn.SINGLE(INDEX($G$1:G514,SUMPRODUCT(MAX(($W$1:W514=W515)*(ROW($W$1:W514))))))+IF(D515="Fiscal",30,90),""))</f>
        <v>45878</v>
      </c>
      <c r="G515" s="21">
        <v>45877</v>
      </c>
      <c r="H515" s="15">
        <f t="shared" si="218"/>
        <v>45887</v>
      </c>
      <c r="I515" s="15"/>
      <c r="J515" s="32"/>
      <c r="K515" s="15">
        <f t="shared" si="219"/>
        <v>45897</v>
      </c>
      <c r="L515" s="15"/>
      <c r="M515" s="15">
        <f t="shared" si="220"/>
        <v>45902</v>
      </c>
      <c r="N515" s="13">
        <v>45902</v>
      </c>
      <c r="O515" s="2" t="str">
        <f>IFERROR(IF(tblColetas[[#This Row],[Status Coleta]]="Reprovado","Reprovado",IF(ISERROR(SEARCH("Poço",D515)),IF(N515="","Erro",IF(Q515="Reprovado","",WORKDAY(N515,IF(D515="Operacional",10,3),FERIADOS!$A$3:$A$119))),"-")),"-")</f>
        <v>Reprovado</v>
      </c>
      <c r="P515" s="21"/>
      <c r="Q515" s="7" t="s">
        <v>81</v>
      </c>
      <c r="R515" s="13"/>
      <c r="S515" s="33" t="s">
        <v>127</v>
      </c>
      <c r="T515" s="43"/>
      <c r="W515" t="str">
        <f t="shared" si="214"/>
        <v>ATD776-AP-7001 (Flare Assist)Fiscal</v>
      </c>
      <c r="X5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6" spans="1:24" ht="12.5" x14ac:dyDescent="0.25">
      <c r="A516" s="10"/>
      <c r="B516" s="19" t="s">
        <v>24</v>
      </c>
      <c r="C516" s="5" t="s">
        <v>100</v>
      </c>
      <c r="D516" s="20" t="s">
        <v>26</v>
      </c>
      <c r="E516" s="35"/>
      <c r="F516" s="29" cm="1">
        <f t="array" ref="F516">IF(V516 &lt;&gt; "", V516, IFERROR(_xlfn.SINGLE(INDEX($G$1:G515,SUMPRODUCT(MAX(($W$1:W515=W516)*(ROW($W$1:W515))))))+IF(D516="Fiscal",30,90),""))</f>
        <v>45949</v>
      </c>
      <c r="G516" s="21">
        <v>45939</v>
      </c>
      <c r="H516" s="15">
        <f t="shared" ref="H516:H517" si="221">IF(G516="","Erro", G516+10)</f>
        <v>45949</v>
      </c>
      <c r="I516" s="15">
        <v>45939</v>
      </c>
      <c r="J516" s="32" t="s">
        <v>206</v>
      </c>
      <c r="K516" s="15">
        <f t="shared" ref="K516:K517" si="222">IF(G516="","Erro",G516+20)</f>
        <v>45959</v>
      </c>
      <c r="L516" s="15">
        <v>45951</v>
      </c>
      <c r="M516" s="15">
        <f t="shared" ref="M516:M517" si="223">IF(G516="","Erro",G516+IF(D516="Operacional",45,25))</f>
        <v>45964</v>
      </c>
      <c r="N516" s="13">
        <v>45964</v>
      </c>
      <c r="O516" s="2" t="str">
        <f>IFERROR(IF(tblColetas[[#This Row],[Status Coleta]]="Reprovado","Reprovado",IF(ISERROR(SEARCH("Poço",D516)),IF(N516="","Erro",IF(Q516="Reprovado","",WORKDAY(N516,IF(D516="Operacional",10,3),FERIADOS!$A$3:$A$119))),"-")),"-")</f>
        <v>-</v>
      </c>
      <c r="P516" s="21"/>
      <c r="Q516" s="7"/>
      <c r="R516" s="13"/>
      <c r="S516" s="30"/>
      <c r="T516" s="43"/>
      <c r="W516" t="str">
        <f t="shared" si="214"/>
        <v>CDAPoço JUB-63Poço CG</v>
      </c>
      <c r="X5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7" spans="1:24" ht="12.5" x14ac:dyDescent="0.25">
      <c r="A517" s="10"/>
      <c r="B517" s="19" t="s">
        <v>24</v>
      </c>
      <c r="C517" s="5" t="s">
        <v>100</v>
      </c>
      <c r="D517" s="20" t="s">
        <v>29</v>
      </c>
      <c r="E517" s="35"/>
      <c r="F517" s="29" cm="1">
        <f t="array" ref="F517">IF(V517 &lt;&gt; "", V517, IFERROR(_xlfn.SINGLE(INDEX($G$1:G516,SUMPRODUCT(MAX(($W$1:W516=W517)*(ROW($W$1:W516))))))+IF(D517="Fiscal",30,90),""))</f>
        <v>45949</v>
      </c>
      <c r="G517" s="21">
        <v>45939</v>
      </c>
      <c r="H517" s="15">
        <f t="shared" si="221"/>
        <v>45949</v>
      </c>
      <c r="I517" s="15">
        <v>45939</v>
      </c>
      <c r="J517" s="32" t="s">
        <v>206</v>
      </c>
      <c r="K517" s="15">
        <f t="shared" si="222"/>
        <v>45959</v>
      </c>
      <c r="L517" s="15">
        <v>45951</v>
      </c>
      <c r="M517" s="15">
        <f t="shared" si="223"/>
        <v>45964</v>
      </c>
      <c r="N517" s="13">
        <v>45964</v>
      </c>
      <c r="O517" s="2" t="str">
        <f>IFERROR(IF(tblColetas[[#This Row],[Status Coleta]]="Reprovado","Reprovado",IF(ISERROR(SEARCH("Poço",D517)),IF(N517="","Erro",IF(Q517="Reprovado","",WORKDAY(N517,IF(D517="Operacional",10,3),FERIADOS!$A$3:$A$119))),"-")),"-")</f>
        <v>-</v>
      </c>
      <c r="P517" s="21"/>
      <c r="Q517" s="7"/>
      <c r="R517" s="13"/>
      <c r="S517" s="30"/>
      <c r="T517" s="43"/>
      <c r="W517" t="str">
        <f t="shared" si="214"/>
        <v>CDAPoço JUB-63Poço PVT</v>
      </c>
      <c r="X5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8" spans="1:24" ht="12.5" x14ac:dyDescent="0.25">
      <c r="A518" s="10"/>
      <c r="B518" s="19" t="s">
        <v>46</v>
      </c>
      <c r="C518" s="5" t="s">
        <v>93</v>
      </c>
      <c r="D518" s="20" t="s">
        <v>26</v>
      </c>
      <c r="E518" s="35"/>
      <c r="F518" s="29" cm="1">
        <f t="array" ref="F518">IF(V518 &lt;&gt; "", V518, IFERROR(_xlfn.SINGLE(INDEX($G$1:G517,SUMPRODUCT(MAX(($W$1:W517=W518)*(ROW($W$1:W517))))))+IF(D518="Fiscal",30,90),""))</f>
        <v>45950</v>
      </c>
      <c r="G518" s="21">
        <v>45926</v>
      </c>
      <c r="H518" s="15">
        <f t="shared" ref="H518:H525" si="224">IF(G518="","Erro", G518+10)</f>
        <v>45936</v>
      </c>
      <c r="I518" s="15">
        <v>45933</v>
      </c>
      <c r="J518" s="32" t="s">
        <v>207</v>
      </c>
      <c r="K518" s="15">
        <f t="shared" ref="K518:K525" si="225">IF(G518="","Erro",G518+20)</f>
        <v>45946</v>
      </c>
      <c r="L518" s="15">
        <v>45945</v>
      </c>
      <c r="M518" s="15">
        <f t="shared" ref="M518:M525" si="226">IF(G518="","Erro",G518+IF(D518="Operacional",45,25))</f>
        <v>45951</v>
      </c>
      <c r="N518" s="13">
        <v>45951</v>
      </c>
      <c r="O518" s="2" t="str">
        <f>IFERROR(IF(tblColetas[[#This Row],[Status Coleta]]="Reprovado","Reprovado",IF(ISERROR(SEARCH("Poço",D518)),IF(N518="","Erro",IF(Q518="Reprovado","",WORKDAY(N518,IF(D518="Operacional",10,3),FERIADOS!$A$3:$A$119))),"-")),"-")</f>
        <v>-</v>
      </c>
      <c r="P518" s="21"/>
      <c r="Q518" s="7" t="s">
        <v>37</v>
      </c>
      <c r="R518" s="13"/>
      <c r="S518" s="30"/>
      <c r="T518" s="43"/>
      <c r="W518" t="str">
        <f t="shared" si="214"/>
        <v>CDMPoço LL-61 (P-16)Poço CG</v>
      </c>
      <c r="X5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19" spans="1:24" ht="12.5" x14ac:dyDescent="0.25">
      <c r="A519" s="10"/>
      <c r="B519" s="19" t="s">
        <v>46</v>
      </c>
      <c r="C519" s="5" t="s">
        <v>93</v>
      </c>
      <c r="D519" s="20" t="s">
        <v>29</v>
      </c>
      <c r="E519" s="35"/>
      <c r="F519" s="29" cm="1">
        <f t="array" ref="F519">IF(V519 &lt;&gt; "", V519, IFERROR(_xlfn.SINGLE(INDEX($G$1:G518,SUMPRODUCT(MAX(($W$1:W518=W519)*(ROW($W$1:W518))))))+IF(D519="Fiscal",30,90),""))</f>
        <v>45950</v>
      </c>
      <c r="G519" s="21">
        <v>45926</v>
      </c>
      <c r="H519" s="15">
        <f t="shared" si="224"/>
        <v>45936</v>
      </c>
      <c r="I519" s="15">
        <v>45933</v>
      </c>
      <c r="J519" s="32" t="s">
        <v>207</v>
      </c>
      <c r="K519" s="15">
        <f t="shared" si="225"/>
        <v>45946</v>
      </c>
      <c r="L519" s="15">
        <v>45945</v>
      </c>
      <c r="M519" s="15">
        <f t="shared" si="226"/>
        <v>45951</v>
      </c>
      <c r="N519" s="13">
        <v>45951</v>
      </c>
      <c r="O519" s="2" t="str">
        <f>IFERROR(IF(tblColetas[[#This Row],[Status Coleta]]="Reprovado","Reprovado",IF(ISERROR(SEARCH("Poço",D519)),IF(N519="","Erro",IF(Q519="Reprovado","",WORKDAY(N519,IF(D519="Operacional",10,3),FERIADOS!$A$3:$A$119))),"-")),"-")</f>
        <v>-</v>
      </c>
      <c r="P519" s="21"/>
      <c r="Q519" s="7" t="s">
        <v>37</v>
      </c>
      <c r="R519" s="13"/>
      <c r="S519" s="30"/>
      <c r="T519" s="43"/>
      <c r="W519" t="str">
        <f t="shared" si="214"/>
        <v>CDMPoço LL-61 (P-16)Poço PVT</v>
      </c>
      <c r="X5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0" spans="1:24" ht="12.5" x14ac:dyDescent="0.25">
      <c r="A520" s="10"/>
      <c r="B520" s="19" t="s">
        <v>24</v>
      </c>
      <c r="C520" s="5" t="s">
        <v>101</v>
      </c>
      <c r="D520" s="20" t="s">
        <v>26</v>
      </c>
      <c r="E520" s="35"/>
      <c r="F520" s="29" cm="1">
        <f t="array" ref="F520">IF(V520 &lt;&gt; "", V520, IFERROR(_xlfn.SINGLE(INDEX($G$1:G519,SUMPRODUCT(MAX(($W$1:W519=W520)*(ROW($W$1:W519))))))+IF(D520="Fiscal",30,90),""))</f>
        <v>45951</v>
      </c>
      <c r="G520" s="21">
        <v>45942</v>
      </c>
      <c r="H520" s="15">
        <f t="shared" si="224"/>
        <v>45952</v>
      </c>
      <c r="I520" s="15">
        <v>45947</v>
      </c>
      <c r="J520" s="32" t="s">
        <v>208</v>
      </c>
      <c r="K520" s="15">
        <f t="shared" si="225"/>
        <v>45962</v>
      </c>
      <c r="L520" s="15">
        <v>45964</v>
      </c>
      <c r="M520" s="15">
        <f t="shared" si="226"/>
        <v>45967</v>
      </c>
      <c r="N520" s="13">
        <v>45967</v>
      </c>
      <c r="O520" s="2" t="str">
        <f>IFERROR(IF(tblColetas[[#This Row],[Status Coleta]]="Reprovado","Reprovado",IF(ISERROR(SEARCH("Poço",D520)),IF(N520="","Erro",IF(Q520="Reprovado","",WORKDAY(N520,IF(D520="Operacional",10,3),FERIADOS!$A$3:$A$119))),"-")),"-")</f>
        <v>-</v>
      </c>
      <c r="P520" s="21"/>
      <c r="Q520" s="7"/>
      <c r="R520" s="13"/>
      <c r="S520" s="30"/>
      <c r="T520" s="43"/>
      <c r="W520" t="str">
        <f t="shared" si="214"/>
        <v>CDAPoço 7-BAZ-04Poço CG</v>
      </c>
      <c r="X5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1" spans="1:24" ht="12.5" x14ac:dyDescent="0.25">
      <c r="A521" s="10"/>
      <c r="B521" s="19" t="s">
        <v>24</v>
      </c>
      <c r="C521" s="5" t="s">
        <v>101</v>
      </c>
      <c r="D521" s="20" t="s">
        <v>29</v>
      </c>
      <c r="E521" s="35"/>
      <c r="F521" s="29" cm="1">
        <f t="array" ref="F521">IF(V521 &lt;&gt; "", V521, IFERROR(_xlfn.SINGLE(INDEX($G$1:G520,SUMPRODUCT(MAX(($W$1:W520=W521)*(ROW($W$1:W520))))))+IF(D521="Fiscal",30,90),""))</f>
        <v>45951</v>
      </c>
      <c r="G521" s="21">
        <v>45942</v>
      </c>
      <c r="H521" s="15">
        <f t="shared" si="224"/>
        <v>45952</v>
      </c>
      <c r="I521" s="15">
        <v>45947</v>
      </c>
      <c r="J521" s="32" t="s">
        <v>208</v>
      </c>
      <c r="K521" s="15">
        <f t="shared" si="225"/>
        <v>45962</v>
      </c>
      <c r="L521" s="15">
        <v>45964</v>
      </c>
      <c r="M521" s="15">
        <f t="shared" si="226"/>
        <v>45967</v>
      </c>
      <c r="N521" s="13">
        <v>45967</v>
      </c>
      <c r="O521" s="2" t="str">
        <f>IFERROR(IF(tblColetas[[#This Row],[Status Coleta]]="Reprovado","Reprovado",IF(ISERROR(SEARCH("Poço",D521)),IF(N521="","Erro",IF(Q521="Reprovado","",WORKDAY(N521,IF(D521="Operacional",10,3),FERIADOS!$A$3:$A$119))),"-")),"-")</f>
        <v>-</v>
      </c>
      <c r="P521" s="21"/>
      <c r="Q521" s="7"/>
      <c r="R521" s="13"/>
      <c r="S521" s="30"/>
      <c r="T521" s="43"/>
      <c r="W521" t="str">
        <f t="shared" si="214"/>
        <v>CDAPoço 7-BAZ-04Poço PVT</v>
      </c>
      <c r="X5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2" spans="1:24" ht="12.5" x14ac:dyDescent="0.25">
      <c r="A522" s="10"/>
      <c r="B522" s="19" t="s">
        <v>46</v>
      </c>
      <c r="C522" s="5" t="s">
        <v>63</v>
      </c>
      <c r="D522" s="20" t="s">
        <v>26</v>
      </c>
      <c r="E522" s="35"/>
      <c r="F522" s="29" cm="1">
        <f t="array" ref="F522">IF(V522 &lt;&gt; "", V522, IFERROR(_xlfn.SINGLE(INDEX($G$1:G521,SUMPRODUCT(MAX(($W$1:W521=W522)*(ROW($W$1:W521))))))+IF(D522="Fiscal",30,90),""))</f>
        <v>45935</v>
      </c>
      <c r="G522" s="21">
        <v>45923</v>
      </c>
      <c r="H522" s="15">
        <f t="shared" si="224"/>
        <v>45933</v>
      </c>
      <c r="I522" s="15">
        <v>45933</v>
      </c>
      <c r="J522" s="32" t="s">
        <v>207</v>
      </c>
      <c r="K522" s="15">
        <f t="shared" si="225"/>
        <v>45943</v>
      </c>
      <c r="L522" s="15">
        <v>45945</v>
      </c>
      <c r="M522" s="15">
        <f t="shared" si="226"/>
        <v>45948</v>
      </c>
      <c r="N522" s="13">
        <v>45948</v>
      </c>
      <c r="O522" s="2" t="str">
        <f>IFERROR(IF(tblColetas[[#This Row],[Status Coleta]]="Reprovado","Reprovado",IF(ISERROR(SEARCH("Poço",D522)),IF(N522="","Erro",IF(Q522="Reprovado","",WORKDAY(N522,IF(D522="Operacional",10,3),FERIADOS!$A$3:$A$119))),"-")),"-")</f>
        <v>-</v>
      </c>
      <c r="P522" s="21"/>
      <c r="Q522" s="7" t="s">
        <v>37</v>
      </c>
      <c r="R522" s="13"/>
      <c r="S522" s="30"/>
      <c r="T522" s="43"/>
      <c r="W522" t="str">
        <f t="shared" si="214"/>
        <v>CDMPoço LL-48 (P-01)Poço CG</v>
      </c>
      <c r="X5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3" spans="1:24" ht="12.5" x14ac:dyDescent="0.25">
      <c r="A523" s="10"/>
      <c r="B523" s="19" t="s">
        <v>46</v>
      </c>
      <c r="C523" s="5" t="s">
        <v>63</v>
      </c>
      <c r="D523" s="20" t="s">
        <v>29</v>
      </c>
      <c r="E523" s="35"/>
      <c r="F523" s="29" cm="1">
        <f t="array" ref="F523">IF(V523 &lt;&gt; "", V523, IFERROR(_xlfn.SINGLE(INDEX($G$1:G522,SUMPRODUCT(MAX(($W$1:W522=W523)*(ROW($W$1:W522))))))+IF(D523="Fiscal",30,90),""))</f>
        <v>45935</v>
      </c>
      <c r="G523" s="21">
        <v>45923</v>
      </c>
      <c r="H523" s="15">
        <f t="shared" si="224"/>
        <v>45933</v>
      </c>
      <c r="I523" s="15">
        <v>45933</v>
      </c>
      <c r="J523" s="32" t="s">
        <v>207</v>
      </c>
      <c r="K523" s="15">
        <f t="shared" si="225"/>
        <v>45943</v>
      </c>
      <c r="L523" s="15">
        <v>45945</v>
      </c>
      <c r="M523" s="15">
        <f t="shared" si="226"/>
        <v>45948</v>
      </c>
      <c r="N523" s="13">
        <v>45948</v>
      </c>
      <c r="O523" s="2" t="str">
        <f>IFERROR(IF(tblColetas[[#This Row],[Status Coleta]]="Reprovado","Reprovado",IF(ISERROR(SEARCH("Poço",D523)),IF(N523="","Erro",IF(Q523="Reprovado","",WORKDAY(N523,IF(D523="Operacional",10,3),FERIADOS!$A$3:$A$119))),"-")),"-")</f>
        <v>-</v>
      </c>
      <c r="P523" s="21"/>
      <c r="Q523" s="7" t="s">
        <v>37</v>
      </c>
      <c r="R523" s="13"/>
      <c r="S523" s="30"/>
      <c r="T523" s="43"/>
      <c r="W523" t="str">
        <f t="shared" si="214"/>
        <v>CDMPoço LL-48 (P-01)Poço PVT</v>
      </c>
      <c r="X5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4" spans="1:24" ht="12.5" x14ac:dyDescent="0.25">
      <c r="A524" s="10"/>
      <c r="B524" s="19" t="s">
        <v>46</v>
      </c>
      <c r="C524" s="5" t="s">
        <v>92</v>
      </c>
      <c r="D524" s="20" t="s">
        <v>26</v>
      </c>
      <c r="E524" s="35"/>
      <c r="F524" s="29" cm="1">
        <f t="array" ref="F524">IF(V524 &lt;&gt; "", V524, IFERROR(_xlfn.SINGLE(INDEX($G$1:G523,SUMPRODUCT(MAX(($W$1:W523=W524)*(ROW($W$1:W523))))))+IF(D524="Fiscal",30,90),""))</f>
        <v>45943</v>
      </c>
      <c r="G524" s="21">
        <v>45924</v>
      </c>
      <c r="H524" s="15">
        <f t="shared" si="224"/>
        <v>45934</v>
      </c>
      <c r="I524" s="15">
        <v>45933</v>
      </c>
      <c r="J524" s="32" t="s">
        <v>207</v>
      </c>
      <c r="K524" s="15">
        <f t="shared" si="225"/>
        <v>45944</v>
      </c>
      <c r="L524" s="15">
        <v>45945</v>
      </c>
      <c r="M524" s="15">
        <f t="shared" si="226"/>
        <v>45949</v>
      </c>
      <c r="N524" s="13">
        <v>45948</v>
      </c>
      <c r="O524" s="2" t="str">
        <f>IFERROR(IF(tblColetas[[#This Row],[Status Coleta]]="Reprovado","Reprovado",IF(ISERROR(SEARCH("Poço",D524)),IF(N524="","Erro",IF(Q524="Reprovado","",WORKDAY(N524,IF(D524="Operacional",10,3),FERIADOS!$A$3:$A$119))),"-")),"-")</f>
        <v>-</v>
      </c>
      <c r="P524" s="21"/>
      <c r="Q524" s="7" t="s">
        <v>37</v>
      </c>
      <c r="R524" s="13"/>
      <c r="S524" s="30"/>
      <c r="T524" s="43"/>
      <c r="W524" t="str">
        <f t="shared" si="214"/>
        <v>CDMPoço LL-12 (P-05)Poço CG</v>
      </c>
      <c r="X5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5" spans="1:24" ht="12.5" x14ac:dyDescent="0.25">
      <c r="A525" s="10"/>
      <c r="B525" s="19" t="s">
        <v>46</v>
      </c>
      <c r="C525" s="5" t="s">
        <v>92</v>
      </c>
      <c r="D525" s="20" t="s">
        <v>29</v>
      </c>
      <c r="E525" s="35"/>
      <c r="F525" s="29" cm="1">
        <f t="array" ref="F525">IF(V525 &lt;&gt; "", V525, IFERROR(_xlfn.SINGLE(INDEX($G$1:G524,SUMPRODUCT(MAX(($W$1:W524=W525)*(ROW($W$1:W524))))))+IF(D525="Fiscal",30,90),""))</f>
        <v>45943</v>
      </c>
      <c r="G525" s="21">
        <v>45924</v>
      </c>
      <c r="H525" s="15">
        <f t="shared" si="224"/>
        <v>45934</v>
      </c>
      <c r="I525" s="15">
        <v>45933</v>
      </c>
      <c r="J525" s="32" t="s">
        <v>207</v>
      </c>
      <c r="K525" s="15">
        <f t="shared" si="225"/>
        <v>45944</v>
      </c>
      <c r="L525" s="15">
        <v>45945</v>
      </c>
      <c r="M525" s="15">
        <f t="shared" si="226"/>
        <v>45949</v>
      </c>
      <c r="N525" s="13">
        <v>45948</v>
      </c>
      <c r="O525" s="2" t="str">
        <f>IFERROR(IF(tblColetas[[#This Row],[Status Coleta]]="Reprovado","Reprovado",IF(ISERROR(SEARCH("Poço",D525)),IF(N525="","Erro",IF(Q525="Reprovado","",WORKDAY(N525,IF(D525="Operacional",10,3),FERIADOS!$A$3:$A$119))),"-")),"-")</f>
        <v>-</v>
      </c>
      <c r="P525" s="21"/>
      <c r="Q525" s="7" t="s">
        <v>37</v>
      </c>
      <c r="R525" s="13"/>
      <c r="S525" s="30"/>
      <c r="T525" s="43"/>
      <c r="W525" t="str">
        <f t="shared" si="214"/>
        <v>CDMPoço LL-12 (P-05)Poço PVT</v>
      </c>
      <c r="X5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6" spans="1:24" ht="12.5" x14ac:dyDescent="0.25">
      <c r="A526" s="10"/>
      <c r="B526" s="19" t="s">
        <v>145</v>
      </c>
      <c r="C526" s="5" t="s">
        <v>166</v>
      </c>
      <c r="D526" s="20" t="s">
        <v>26</v>
      </c>
      <c r="E526" s="35"/>
      <c r="F526" s="29" cm="1">
        <f t="array" ref="F526">IF(V526 &lt;&gt; "", V526, IFERROR(_xlfn.SINGLE(INDEX($G$1:G525,SUMPRODUCT(MAX(($W$1:W525=W526)*(ROW($W$1:W525))))))+IF(D526="Fiscal",30,90),""))</f>
        <v>45949</v>
      </c>
      <c r="G526" s="21">
        <v>45943</v>
      </c>
      <c r="H526" s="15">
        <f t="shared" ref="H526:H531" si="227">IF(G526="","Erro", G526+10)</f>
        <v>45953</v>
      </c>
      <c r="I526" s="15">
        <v>45956</v>
      </c>
      <c r="J526" s="32" t="s">
        <v>209</v>
      </c>
      <c r="K526" s="15">
        <f t="shared" ref="K526:K531" si="228">IF(G526="","Erro",G526+20)</f>
        <v>45963</v>
      </c>
      <c r="L526" s="15">
        <v>45964</v>
      </c>
      <c r="M526" s="15">
        <f t="shared" ref="M526:M531" si="229">IF(G526="","Erro",G526+IF(D526="Operacional",45,25))</f>
        <v>45968</v>
      </c>
      <c r="N526" s="13">
        <v>45968</v>
      </c>
      <c r="O526" s="2" t="str">
        <f>IFERROR(IF(tblColetas[[#This Row],[Status Coleta]]="Reprovado","Reprovado",IF(ISERROR(SEARCH("Poço",D526)),IF(N526="","Erro",IF(Q526="Reprovado","",WORKDAY(N526,IF(D526="Operacional",10,3),FERIADOS!$A$3:$A$119))),"-")),"-")</f>
        <v>-</v>
      </c>
      <c r="P526" s="21"/>
      <c r="Q526" s="7" t="s">
        <v>37</v>
      </c>
      <c r="R526" s="13"/>
      <c r="S526" s="30"/>
      <c r="T526" s="43"/>
      <c r="W526" t="str">
        <f t="shared" si="214"/>
        <v>ATDPoço 7-BUZ-74D-RJS (P-5)Poço CG</v>
      </c>
      <c r="X5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7" spans="1:24" ht="12.5" x14ac:dyDescent="0.25">
      <c r="A527" s="10"/>
      <c r="B527" s="19" t="s">
        <v>145</v>
      </c>
      <c r="C527" s="5" t="s">
        <v>166</v>
      </c>
      <c r="D527" s="20" t="s">
        <v>29</v>
      </c>
      <c r="E527" s="35"/>
      <c r="F527" s="29" cm="1">
        <f t="array" ref="F527">IF(V527 &lt;&gt; "", V527, IFERROR(_xlfn.SINGLE(INDEX($G$1:G526,SUMPRODUCT(MAX(($W$1:W526=W527)*(ROW($W$1:W526))))))+IF(D527="Fiscal",30,90),""))</f>
        <v>45949</v>
      </c>
      <c r="G527" s="21">
        <v>45943</v>
      </c>
      <c r="H527" s="15">
        <f t="shared" si="227"/>
        <v>45953</v>
      </c>
      <c r="I527" s="15">
        <v>45956</v>
      </c>
      <c r="J527" s="32" t="s">
        <v>209</v>
      </c>
      <c r="K527" s="15">
        <f t="shared" si="228"/>
        <v>45963</v>
      </c>
      <c r="L527" s="15">
        <v>45964</v>
      </c>
      <c r="M527" s="15">
        <f t="shared" si="229"/>
        <v>45968</v>
      </c>
      <c r="N527" s="13">
        <v>45968</v>
      </c>
      <c r="O527" s="2" t="str">
        <f>IFERROR(IF(tblColetas[[#This Row],[Status Coleta]]="Reprovado","Reprovado",IF(ISERROR(SEARCH("Poço",D527)),IF(N527="","Erro",IF(Q527="Reprovado","",WORKDAY(N527,IF(D527="Operacional",10,3),FERIADOS!$A$3:$A$119))),"-")),"-")</f>
        <v>-</v>
      </c>
      <c r="P527" s="21"/>
      <c r="Q527" s="7" t="s">
        <v>37</v>
      </c>
      <c r="R527" s="13"/>
      <c r="S527" s="30"/>
      <c r="T527" s="43"/>
      <c r="W527" t="str">
        <f t="shared" si="214"/>
        <v>ATDPoço 7-BUZ-74D-RJS (P-5)Poço PVT</v>
      </c>
      <c r="X5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8" spans="1:24" ht="12.5" x14ac:dyDescent="0.25">
      <c r="A528" s="10"/>
      <c r="B528" s="19" t="s">
        <v>46</v>
      </c>
      <c r="C528" s="5" t="s">
        <v>116</v>
      </c>
      <c r="D528" s="20" t="s">
        <v>26</v>
      </c>
      <c r="E528" s="35"/>
      <c r="F528" s="29" cm="1">
        <f t="array" ref="F528">IF(V528 &lt;&gt; "", V528, IFERROR(_xlfn.SINGLE(INDEX($G$1:G527,SUMPRODUCT(MAX(($W$1:W527=W528)*(ROW($W$1:W527))))))+IF(D528="Fiscal",30,90),""))</f>
        <v>45952</v>
      </c>
      <c r="G528" s="21">
        <v>45877</v>
      </c>
      <c r="H528" s="15">
        <f t="shared" si="227"/>
        <v>45887</v>
      </c>
      <c r="I528" s="15">
        <v>45881</v>
      </c>
      <c r="J528" s="32" t="s">
        <v>210</v>
      </c>
      <c r="K528" s="15">
        <f t="shared" si="228"/>
        <v>45897</v>
      </c>
      <c r="L528" s="15">
        <v>45888</v>
      </c>
      <c r="M528" s="15">
        <f t="shared" si="229"/>
        <v>45902</v>
      </c>
      <c r="N528" s="13">
        <v>45902</v>
      </c>
      <c r="O528" s="2" t="str">
        <f>IFERROR(IF(tblColetas[[#This Row],[Status Coleta]]="Reprovado","Reprovado",IF(ISERROR(SEARCH("Poço",D528)),IF(N528="","Erro",IF(Q528="Reprovado","",WORKDAY(N528,IF(D528="Operacional",10,3),FERIADOS!$A$3:$A$119))),"-")),"-")</f>
        <v>-</v>
      </c>
      <c r="P528" s="21"/>
      <c r="Q528" s="7" t="s">
        <v>37</v>
      </c>
      <c r="R528" s="13"/>
      <c r="S528" s="30"/>
      <c r="T528" s="43"/>
      <c r="W528" t="str">
        <f t="shared" si="214"/>
        <v>CDMPoço LL-58 (P-03)Poço CG</v>
      </c>
      <c r="X5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29" spans="1:24" ht="12.5" x14ac:dyDescent="0.25">
      <c r="A529" s="10"/>
      <c r="B529" s="19" t="s">
        <v>46</v>
      </c>
      <c r="C529" s="5" t="s">
        <v>116</v>
      </c>
      <c r="D529" s="20" t="s">
        <v>29</v>
      </c>
      <c r="E529" s="35"/>
      <c r="F529" s="29" cm="1">
        <f t="array" ref="F529">IF(V529 &lt;&gt; "", V529, IFERROR(_xlfn.SINGLE(INDEX($G$1:G528,SUMPRODUCT(MAX(($W$1:W528=W529)*(ROW($W$1:W528))))))+IF(D529="Fiscal",30,90),""))</f>
        <v>45952</v>
      </c>
      <c r="G529" s="21">
        <v>45877</v>
      </c>
      <c r="H529" s="15">
        <f t="shared" si="227"/>
        <v>45887</v>
      </c>
      <c r="I529" s="15">
        <v>45881</v>
      </c>
      <c r="J529" s="32" t="s">
        <v>210</v>
      </c>
      <c r="K529" s="15">
        <f t="shared" si="228"/>
        <v>45897</v>
      </c>
      <c r="L529" s="15">
        <v>45888</v>
      </c>
      <c r="M529" s="15">
        <f t="shared" si="229"/>
        <v>45902</v>
      </c>
      <c r="N529" s="13">
        <v>45902</v>
      </c>
      <c r="O529" s="2" t="str">
        <f>IFERROR(IF(tblColetas[[#This Row],[Status Coleta]]="Reprovado","Reprovado",IF(ISERROR(SEARCH("Poço",D529)),IF(N529="","Erro",IF(Q529="Reprovado","",WORKDAY(N529,IF(D529="Operacional",10,3),FERIADOS!$A$3:$A$119))),"-")),"-")</f>
        <v>-</v>
      </c>
      <c r="P529" s="21"/>
      <c r="Q529" s="7" t="s">
        <v>37</v>
      </c>
      <c r="R529" s="13"/>
      <c r="S529" s="30"/>
      <c r="T529" s="43"/>
      <c r="W529" t="str">
        <f t="shared" si="214"/>
        <v>CDMPoço LL-58 (P-03)Poço PVT</v>
      </c>
      <c r="X5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0" spans="1:24" ht="12.5" x14ac:dyDescent="0.25">
      <c r="A530" s="10"/>
      <c r="B530" s="19" t="s">
        <v>38</v>
      </c>
      <c r="C530" s="5" t="s">
        <v>65</v>
      </c>
      <c r="D530" s="20" t="s">
        <v>26</v>
      </c>
      <c r="E530" s="35"/>
      <c r="F530" s="29" cm="1">
        <f t="array" ref="F530">IF(V530 &lt;&gt; "", V530, IFERROR(_xlfn.SINGLE(INDEX($G$1:G529,SUMPRODUCT(MAX(($W$1:W529=W530)*(ROW($W$1:W529))))))+IF(D530="Fiscal",30,90),""))</f>
        <v>45952</v>
      </c>
      <c r="G530" s="21">
        <v>45931</v>
      </c>
      <c r="H530" s="15">
        <f t="shared" si="227"/>
        <v>45941</v>
      </c>
      <c r="I530" s="15">
        <v>45935</v>
      </c>
      <c r="J530" s="32" t="s">
        <v>203</v>
      </c>
      <c r="K530" s="15">
        <f t="shared" si="228"/>
        <v>45951</v>
      </c>
      <c r="L530" s="15">
        <v>45945</v>
      </c>
      <c r="M530" s="15">
        <f t="shared" si="229"/>
        <v>45956</v>
      </c>
      <c r="N530" s="13">
        <v>45954</v>
      </c>
      <c r="O530" s="2" t="str">
        <f>IFERROR(IF(tblColetas[[#This Row],[Status Coleta]]="Reprovado","Reprovado",IF(ISERROR(SEARCH("Poço",D530)),IF(N530="","Erro",IF(Q530="Reprovado","",WORKDAY(N530,IF(D530="Operacional",10,3),FERIADOS!$A$3:$A$119))),"-")),"-")</f>
        <v>-</v>
      </c>
      <c r="P530" s="21"/>
      <c r="Q530" s="7"/>
      <c r="R530" s="13"/>
      <c r="S530" s="30"/>
      <c r="T530" s="43"/>
      <c r="W530" t="str">
        <f t="shared" si="214"/>
        <v>CDPPoço LL-22 (P-8)Poço CG</v>
      </c>
      <c r="X5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1" spans="1:24" ht="12.5" x14ac:dyDescent="0.25">
      <c r="A531" s="10"/>
      <c r="B531" s="19" t="s">
        <v>38</v>
      </c>
      <c r="C531" s="5" t="s">
        <v>65</v>
      </c>
      <c r="D531" s="20" t="s">
        <v>29</v>
      </c>
      <c r="E531" s="35"/>
      <c r="F531" s="29" cm="1">
        <f t="array" ref="F531">IF(V531 &lt;&gt; "", V531, IFERROR(_xlfn.SINGLE(INDEX($G$1:G530,SUMPRODUCT(MAX(($W$1:W530=W531)*(ROW($W$1:W530))))))+IF(D531="Fiscal",30,90),""))</f>
        <v>45952</v>
      </c>
      <c r="G531" s="21">
        <v>45931</v>
      </c>
      <c r="H531" s="15">
        <f t="shared" si="227"/>
        <v>45941</v>
      </c>
      <c r="I531" s="15">
        <v>45935</v>
      </c>
      <c r="J531" s="32" t="s">
        <v>203</v>
      </c>
      <c r="K531" s="15">
        <f t="shared" si="228"/>
        <v>45951</v>
      </c>
      <c r="L531" s="15">
        <v>45945</v>
      </c>
      <c r="M531" s="15">
        <f t="shared" si="229"/>
        <v>45956</v>
      </c>
      <c r="N531" s="13">
        <v>45954</v>
      </c>
      <c r="O531" s="2" t="str">
        <f>IFERROR(IF(tblColetas[[#This Row],[Status Coleta]]="Reprovado","Reprovado",IF(ISERROR(SEARCH("Poço",D531)),IF(N531="","Erro",IF(Q531="Reprovado","",WORKDAY(N531,IF(D531="Operacional",10,3),FERIADOS!$A$3:$A$119))),"-")),"-")</f>
        <v>-</v>
      </c>
      <c r="P531" s="21"/>
      <c r="Q531" s="7"/>
      <c r="R531" s="13"/>
      <c r="S531" s="30"/>
      <c r="T531" s="43"/>
      <c r="W531" t="str">
        <f t="shared" si="214"/>
        <v>CDPPoço LL-22 (P-8)Poço PVT</v>
      </c>
      <c r="X5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2" spans="1:24" ht="12.5" x14ac:dyDescent="0.25">
      <c r="A532" s="10"/>
      <c r="B532" s="19" t="s">
        <v>192</v>
      </c>
      <c r="C532" s="5" t="s">
        <v>112</v>
      </c>
      <c r="D532" s="20" t="s">
        <v>72</v>
      </c>
      <c r="E532" s="35"/>
      <c r="F532" s="29" cm="1">
        <f t="array" ref="F532">IF(V532 &lt;&gt; "", V532, IFERROR(_xlfn.SINGLE(INDEX($G$1:G531,SUMPRODUCT(MAX(($W$1:W531=W532)*(ROW($W$1:W531))))))+IF(D532="Fiscal",30,90),""))</f>
        <v>45889</v>
      </c>
      <c r="G532" s="21">
        <v>45886</v>
      </c>
      <c r="H532" s="15">
        <f t="shared" ref="H532:H537" si="230">IF(G532="","Erro", G532+10)</f>
        <v>45896</v>
      </c>
      <c r="I532" s="15"/>
      <c r="J532" s="32"/>
      <c r="K532" s="15">
        <f t="shared" ref="K532:K537" si="231">IF(G532="","Erro",G532+20)</f>
        <v>45906</v>
      </c>
      <c r="L532" s="15"/>
      <c r="M532" s="15">
        <f t="shared" ref="M532:M537" si="232">IF(G532="","Erro",G532+IF(D532="Operacional",45,25))</f>
        <v>45911</v>
      </c>
      <c r="N532" s="13">
        <v>45911</v>
      </c>
      <c r="O532" s="2">
        <f>IFERROR(IF(tblColetas[[#This Row],[Status Coleta]]="Reprovado","Reprovado",IF(ISERROR(SEARCH("Poço",D532)),IF(N532="","Erro",IF(Q532="Reprovado","",WORKDAY(N532,IF(D532="Operacional",10,3),FERIADOS!$A$3:$A$119))),"-")),"-")</f>
        <v>45916</v>
      </c>
      <c r="P532" s="21">
        <v>45916</v>
      </c>
      <c r="Q532" s="7" t="s">
        <v>37</v>
      </c>
      <c r="R532" s="13"/>
      <c r="S532" s="30"/>
      <c r="T532" s="43"/>
      <c r="W532" t="str">
        <f t="shared" si="214"/>
        <v>ADG776-AP-0006 (HP Flare)Fiscal</v>
      </c>
      <c r="X5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3" spans="1:24" ht="12.5" x14ac:dyDescent="0.25">
      <c r="A533" s="10"/>
      <c r="B533" s="19" t="s">
        <v>192</v>
      </c>
      <c r="C533" s="5" t="s">
        <v>193</v>
      </c>
      <c r="D533" s="20" t="s">
        <v>72</v>
      </c>
      <c r="E533" s="35"/>
      <c r="F533" s="29" cm="1">
        <f t="array" ref="F533">IF(V533 &lt;&gt; "", V533, IFERROR(_xlfn.SINGLE(INDEX($G$1:G532,SUMPRODUCT(MAX(($W$1:W532=W533)*(ROW($W$1:W532))))))+IF(D533="Fiscal",30,90),""))</f>
        <v>45889</v>
      </c>
      <c r="G533" s="21">
        <v>45886</v>
      </c>
      <c r="H533" s="15">
        <f t="shared" si="230"/>
        <v>45896</v>
      </c>
      <c r="I533" s="15"/>
      <c r="J533" s="32"/>
      <c r="K533" s="15">
        <f t="shared" si="231"/>
        <v>45906</v>
      </c>
      <c r="L533" s="15"/>
      <c r="M533" s="15">
        <f t="shared" si="232"/>
        <v>45911</v>
      </c>
      <c r="N533" s="13">
        <v>45911</v>
      </c>
      <c r="O533" s="2" t="str">
        <f>IFERROR(IF(tblColetas[[#This Row],[Status Coleta]]="Reprovado","Reprovado",IF(ISERROR(SEARCH("Poço",D533)),IF(N533="","Erro",IF(Q533="Reprovado","",WORKDAY(N533,IF(D533="Operacional",10,3),FERIADOS!$A$3:$A$119))),"-")),"-")</f>
        <v>Reprovado</v>
      </c>
      <c r="P533" s="21"/>
      <c r="Q533" s="7" t="s">
        <v>81</v>
      </c>
      <c r="R533" s="13"/>
      <c r="S533" s="33" t="s">
        <v>211</v>
      </c>
      <c r="T533" s="43"/>
      <c r="W533" t="str">
        <f t="shared" si="214"/>
        <v>ADG776-AP-0026 (LP Flare)Fiscal</v>
      </c>
      <c r="X5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4" spans="1:24" ht="12.5" x14ac:dyDescent="0.25">
      <c r="A534" s="10"/>
      <c r="B534" s="19" t="s">
        <v>192</v>
      </c>
      <c r="C534" s="5" t="s">
        <v>194</v>
      </c>
      <c r="D534" s="20" t="s">
        <v>72</v>
      </c>
      <c r="E534" s="35"/>
      <c r="F534" s="29" cm="1">
        <f t="array" ref="F534">IF(V534 &lt;&gt; "", V534, IFERROR(_xlfn.SINGLE(INDEX($G$1:G533,SUMPRODUCT(MAX(($W$1:W533=W534)*(ROW($W$1:W533))))))+IF(D534="Fiscal",30,90),""))</f>
        <v>45889</v>
      </c>
      <c r="G534" s="21">
        <v>45886</v>
      </c>
      <c r="H534" s="15">
        <f t="shared" si="230"/>
        <v>45896</v>
      </c>
      <c r="I534" s="15"/>
      <c r="J534" s="32"/>
      <c r="K534" s="15">
        <f t="shared" si="231"/>
        <v>45906</v>
      </c>
      <c r="L534" s="15"/>
      <c r="M534" s="15">
        <f t="shared" si="232"/>
        <v>45911</v>
      </c>
      <c r="N534" s="13">
        <v>45911</v>
      </c>
      <c r="O534" s="2">
        <f>IFERROR(IF(tblColetas[[#This Row],[Status Coleta]]="Reprovado","Reprovado",IF(ISERROR(SEARCH("Poço",D534)),IF(N534="","Erro",IF(Q534="Reprovado","",WORKDAY(N534,IF(D534="Operacional",10,3),FERIADOS!$A$3:$A$119))),"-")),"-")</f>
        <v>45916</v>
      </c>
      <c r="P534" s="21">
        <v>45916</v>
      </c>
      <c r="Q534" s="7" t="s">
        <v>37</v>
      </c>
      <c r="R534" s="13"/>
      <c r="S534" s="30"/>
      <c r="T534" s="43"/>
      <c r="W534" t="str">
        <f t="shared" si="214"/>
        <v>ADG777-AP-1212 (Fuel Gas)Fiscal</v>
      </c>
      <c r="X5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5" spans="1:24" ht="12.5" x14ac:dyDescent="0.25">
      <c r="A535" s="10"/>
      <c r="B535" s="19" t="s">
        <v>192</v>
      </c>
      <c r="C535" s="5" t="s">
        <v>195</v>
      </c>
      <c r="D535" s="20" t="s">
        <v>72</v>
      </c>
      <c r="E535" s="35"/>
      <c r="F535" s="29" cm="1">
        <f t="array" ref="F535">IF(V535 &lt;&gt; "", V535, IFERROR(_xlfn.SINGLE(INDEX($G$1:G534,SUMPRODUCT(MAX(($W$1:W534=W535)*(ROW($W$1:W534))))))+IF(D535="Fiscal",30,90),""))</f>
        <v>45889</v>
      </c>
      <c r="G535" s="21">
        <v>45886</v>
      </c>
      <c r="H535" s="15">
        <f t="shared" si="230"/>
        <v>45896</v>
      </c>
      <c r="I535" s="15"/>
      <c r="J535" s="32"/>
      <c r="K535" s="15">
        <f t="shared" si="231"/>
        <v>45906</v>
      </c>
      <c r="L535" s="15"/>
      <c r="M535" s="15">
        <f t="shared" si="232"/>
        <v>45911</v>
      </c>
      <c r="N535" s="13">
        <v>45911</v>
      </c>
      <c r="O535" s="2" t="str">
        <f>IFERROR(IF(tblColetas[[#This Row],[Status Coleta]]="Reprovado","Reprovado",IF(ISERROR(SEARCH("Poço",D535)),IF(N535="","Erro",IF(Q535="Reprovado","",WORKDAY(N535,IF(D535="Operacional",10,3),FERIADOS!$A$3:$A$119))),"-")),"-")</f>
        <v>Reprovado</v>
      </c>
      <c r="P535" s="21"/>
      <c r="Q535" s="7" t="s">
        <v>81</v>
      </c>
      <c r="R535" s="13"/>
      <c r="S535" s="33" t="s">
        <v>127</v>
      </c>
      <c r="T535" s="43"/>
      <c r="W535" t="str">
        <f t="shared" si="214"/>
        <v>ADG771-AP-0225 (Flare Assist)Fiscal</v>
      </c>
      <c r="X5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6" spans="1:24" ht="12.5" x14ac:dyDescent="0.25">
      <c r="A536" s="10"/>
      <c r="B536" s="19" t="s">
        <v>31</v>
      </c>
      <c r="C536" s="5" t="s">
        <v>87</v>
      </c>
      <c r="D536" s="20" t="s">
        <v>26</v>
      </c>
      <c r="E536" s="35"/>
      <c r="F536" s="29" cm="1">
        <f t="array" ref="F536">IF(V536 &lt;&gt; "", V536, IFERROR(_xlfn.SINGLE(INDEX($G$1:G535,SUMPRODUCT(MAX(($W$1:W535=W536)*(ROW($W$1:W535))))))+IF(D536="Fiscal",30,90),""))</f>
        <v>45925</v>
      </c>
      <c r="G536" s="21">
        <v>45889</v>
      </c>
      <c r="H536" s="15">
        <f t="shared" si="230"/>
        <v>45899</v>
      </c>
      <c r="I536" s="15">
        <v>45896</v>
      </c>
      <c r="J536" s="32" t="s">
        <v>168</v>
      </c>
      <c r="K536" s="15">
        <f t="shared" si="231"/>
        <v>45909</v>
      </c>
      <c r="L536" s="15">
        <v>45904</v>
      </c>
      <c r="M536" s="15">
        <f t="shared" si="232"/>
        <v>45914</v>
      </c>
      <c r="N536" s="13">
        <v>45912</v>
      </c>
      <c r="O536" s="2" t="str">
        <f>IFERROR(IF(tblColetas[[#This Row],[Status Coleta]]="Reprovado","Reprovado",IF(ISERROR(SEARCH("Poço",D536)),IF(N536="","Erro",IF(Q536="Reprovado","",WORKDAY(N536,IF(D536="Operacional",10,3),FERIADOS!$A$3:$A$119))),"-")),"-")</f>
        <v>-</v>
      </c>
      <c r="P536" s="21"/>
      <c r="Q536" s="7" t="s">
        <v>37</v>
      </c>
      <c r="R536" s="13"/>
      <c r="S536" s="30"/>
      <c r="T536" s="43"/>
      <c r="W536" t="str">
        <f t="shared" si="214"/>
        <v>CDIPoço SPH-8 (P-4)Poço CG</v>
      </c>
      <c r="X5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7" spans="1:24" ht="12.5" x14ac:dyDescent="0.25">
      <c r="A537" s="10"/>
      <c r="B537" s="19" t="s">
        <v>31</v>
      </c>
      <c r="C537" s="5" t="s">
        <v>87</v>
      </c>
      <c r="D537" s="20" t="s">
        <v>29</v>
      </c>
      <c r="E537" s="35"/>
      <c r="F537" s="29" cm="1">
        <f t="array" ref="F537">IF(V537 &lt;&gt; "", V537, IFERROR(_xlfn.SINGLE(INDEX($G$1:G536,SUMPRODUCT(MAX(($W$1:W536=W537)*(ROW($W$1:W536))))))+IF(D537="Fiscal",30,90),""))</f>
        <v>45925</v>
      </c>
      <c r="G537" s="21">
        <v>45889</v>
      </c>
      <c r="H537" s="15">
        <f t="shared" si="230"/>
        <v>45899</v>
      </c>
      <c r="I537" s="15">
        <v>45896</v>
      </c>
      <c r="J537" s="32" t="s">
        <v>168</v>
      </c>
      <c r="K537" s="15">
        <f t="shared" si="231"/>
        <v>45909</v>
      </c>
      <c r="L537" s="15">
        <v>45904</v>
      </c>
      <c r="M537" s="15">
        <f t="shared" si="232"/>
        <v>45914</v>
      </c>
      <c r="N537" s="13">
        <v>45912</v>
      </c>
      <c r="O537" s="2" t="str">
        <f>IFERROR(IF(tblColetas[[#This Row],[Status Coleta]]="Reprovado","Reprovado",IF(ISERROR(SEARCH("Poço",D537)),IF(N537="","Erro",IF(Q537="Reprovado","",WORKDAY(N537,IF(D537="Operacional",10,3),FERIADOS!$A$3:$A$119))),"-")),"-")</f>
        <v>-</v>
      </c>
      <c r="P537" s="21"/>
      <c r="Q537" s="7" t="s">
        <v>37</v>
      </c>
      <c r="R537" s="13"/>
      <c r="S537" s="30"/>
      <c r="T537" s="43"/>
      <c r="W537" t="str">
        <f t="shared" si="214"/>
        <v>CDIPoço SPH-8 (P-4)Poço PVT</v>
      </c>
      <c r="X5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8" spans="1:24" ht="12.5" x14ac:dyDescent="0.25">
      <c r="A538" s="10"/>
      <c r="B538" s="19" t="s">
        <v>145</v>
      </c>
      <c r="C538" s="5" t="s">
        <v>212</v>
      </c>
      <c r="D538" s="20" t="s">
        <v>26</v>
      </c>
      <c r="E538" s="35"/>
      <c r="F538" s="29" t="str" cm="1">
        <f t="array" ref="F538">IF(V538 &lt;&gt; "", V538, IFERROR(_xlfn.SINGLE(INDEX($G$1:G537,SUMPRODUCT(MAX(($W$1:W537=W538)*(ROW($W$1:W537))))))+IF(D538="Fiscal",30,90),""))</f>
        <v/>
      </c>
      <c r="G538" s="21">
        <v>45852</v>
      </c>
      <c r="H538" s="15">
        <f t="shared" ref="H538:H544" si="233">IF(G538="","Erro", G538+10)</f>
        <v>45862</v>
      </c>
      <c r="I538" s="15">
        <v>45859</v>
      </c>
      <c r="J538" s="32" t="s">
        <v>197</v>
      </c>
      <c r="K538" s="15">
        <f t="shared" ref="K538:K544" si="234">IF(G538="","Erro",G538+20)</f>
        <v>45872</v>
      </c>
      <c r="L538" s="15">
        <v>45868</v>
      </c>
      <c r="M538" s="15">
        <f t="shared" ref="M538:M544" si="235">IF(G538="","Erro",G538+IF(D538="Operacional",45,25))</f>
        <v>45877</v>
      </c>
      <c r="N538" s="13">
        <v>45877</v>
      </c>
      <c r="O538" s="2" t="str">
        <f>IFERROR(IF(tblColetas[[#This Row],[Status Coleta]]="Reprovado","Reprovado",IF(ISERROR(SEARCH("Poço",D538)),IF(N538="","Erro",IF(Q538="Reprovado","",WORKDAY(N538,IF(D538="Operacional",10,3),FERIADOS!$A$3:$A$119))),"-")),"-")</f>
        <v>-</v>
      </c>
      <c r="P538" s="21"/>
      <c r="Q538" s="7" t="s">
        <v>37</v>
      </c>
      <c r="R538" s="13"/>
      <c r="S538" s="30"/>
      <c r="T538" s="43"/>
      <c r="W538" t="str">
        <f t="shared" si="214"/>
        <v>ATDPoço 7-BUZ-85D-RJS (P-7)Poço CG</v>
      </c>
      <c r="X5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39" spans="1:24" ht="12.5" x14ac:dyDescent="0.25">
      <c r="A539" s="10"/>
      <c r="B539" s="19" t="s">
        <v>145</v>
      </c>
      <c r="C539" s="5" t="s">
        <v>212</v>
      </c>
      <c r="D539" s="20" t="s">
        <v>29</v>
      </c>
      <c r="E539" s="35"/>
      <c r="F539" s="29" t="str" cm="1">
        <f t="array" ref="F539">IF(V539 &lt;&gt; "", V539, IFERROR(_xlfn.SINGLE(INDEX($G$1:G538,SUMPRODUCT(MAX(($W$1:W538=W539)*(ROW($W$1:W538))))))+IF(D539="Fiscal",30,90),""))</f>
        <v/>
      </c>
      <c r="G539" s="21">
        <v>45852</v>
      </c>
      <c r="H539" s="15">
        <f t="shared" si="233"/>
        <v>45862</v>
      </c>
      <c r="I539" s="15">
        <v>45859</v>
      </c>
      <c r="J539" s="32" t="s">
        <v>197</v>
      </c>
      <c r="K539" s="15">
        <f t="shared" si="234"/>
        <v>45872</v>
      </c>
      <c r="L539" s="15">
        <v>45868</v>
      </c>
      <c r="M539" s="15">
        <f t="shared" si="235"/>
        <v>45877</v>
      </c>
      <c r="N539" s="13">
        <v>45877</v>
      </c>
      <c r="O539" s="2" t="str">
        <f>IFERROR(IF(tblColetas[[#This Row],[Status Coleta]]="Reprovado","Reprovado",IF(ISERROR(SEARCH("Poço",D539)),IF(N539="","Erro",IF(Q539="Reprovado","",WORKDAY(N539,IF(D539="Operacional",10,3),FERIADOS!$A$3:$A$119))),"-")),"-")</f>
        <v>-</v>
      </c>
      <c r="P539" s="21"/>
      <c r="Q539" s="7" t="s">
        <v>37</v>
      </c>
      <c r="R539" s="13"/>
      <c r="S539" s="30"/>
      <c r="T539" s="43"/>
      <c r="W539" t="str">
        <f t="shared" si="214"/>
        <v>ATDPoço 7-BUZ-85D-RJS (P-7)Poço PVT</v>
      </c>
      <c r="X5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0" spans="1:24" ht="12.5" x14ac:dyDescent="0.25">
      <c r="A540" s="10"/>
      <c r="B540" s="8" t="s">
        <v>52</v>
      </c>
      <c r="C540" s="5" t="s">
        <v>112</v>
      </c>
      <c r="D540" s="9" t="s">
        <v>72</v>
      </c>
      <c r="E540" s="36"/>
      <c r="F540" s="29" cm="1">
        <f t="array" ref="F540">IF(V540 &lt;&gt; "", V540, IFERROR(_xlfn.SINGLE(INDEX($G$1:G539,SUMPRODUCT(MAX(($W$1:W539=W540)*(ROW($W$1:W539))))))+IF(D540="Fiscal",30,90),""))</f>
        <v>45892</v>
      </c>
      <c r="G540" s="13">
        <v>45882</v>
      </c>
      <c r="H540" s="15">
        <f t="shared" si="233"/>
        <v>45892</v>
      </c>
      <c r="I540" s="15"/>
      <c r="J540" s="32"/>
      <c r="K540" s="15">
        <f t="shared" si="234"/>
        <v>45902</v>
      </c>
      <c r="L540" s="15"/>
      <c r="M540" s="15">
        <f t="shared" si="235"/>
        <v>45907</v>
      </c>
      <c r="N540" s="13">
        <v>45905</v>
      </c>
      <c r="O540" s="2">
        <f>IFERROR(IF(tblColetas[[#This Row],[Status Coleta]]="Reprovado","Reprovado",IF(ISERROR(SEARCH("Poço",D540)),IF(N540="","Erro",IF(Q540="Reprovado","",WORKDAY(N540,IF(D540="Operacional",10,3),FERIADOS!$A$3:$A$119))),"-")),"-")</f>
        <v>45910</v>
      </c>
      <c r="P540" s="13">
        <v>45909</v>
      </c>
      <c r="Q540" s="7" t="s">
        <v>37</v>
      </c>
      <c r="R540" s="13"/>
      <c r="S540" s="30"/>
      <c r="T540" s="43"/>
      <c r="W540" t="str">
        <f t="shared" si="214"/>
        <v>SEP776-AP-0006 (HP Flare)Fiscal</v>
      </c>
      <c r="X5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1" spans="1:24" ht="12.5" x14ac:dyDescent="0.25">
      <c r="A541" s="10"/>
      <c r="B541" s="8" t="s">
        <v>52</v>
      </c>
      <c r="C541" s="5" t="s">
        <v>113</v>
      </c>
      <c r="D541" s="9" t="s">
        <v>72</v>
      </c>
      <c r="E541" s="36"/>
      <c r="F541" s="29" cm="1">
        <f t="array" ref="F541">IF(V541 &lt;&gt; "", V541, IFERROR(_xlfn.SINGLE(INDEX($G$1:G540,SUMPRODUCT(MAX(($W$1:W540=W541)*(ROW($W$1:W540))))))+IF(D541="Fiscal",30,90),""))</f>
        <v>45892</v>
      </c>
      <c r="G541" s="13">
        <v>45882</v>
      </c>
      <c r="H541" s="15">
        <f t="shared" si="233"/>
        <v>45892</v>
      </c>
      <c r="I541" s="15"/>
      <c r="J541" s="32"/>
      <c r="K541" s="15">
        <f t="shared" si="234"/>
        <v>45902</v>
      </c>
      <c r="L541" s="15"/>
      <c r="M541" s="15">
        <f t="shared" si="235"/>
        <v>45907</v>
      </c>
      <c r="N541" s="13">
        <v>45905</v>
      </c>
      <c r="O541" s="2">
        <f>IFERROR(IF(tblColetas[[#This Row],[Status Coleta]]="Reprovado","Reprovado",IF(ISERROR(SEARCH("Poço",D541)),IF(N541="","Erro",IF(Q541="Reprovado","",WORKDAY(N541,IF(D541="Operacional",10,3),FERIADOS!$A$3:$A$119))),"-")),"-")</f>
        <v>45910</v>
      </c>
      <c r="P541" s="13">
        <v>45909</v>
      </c>
      <c r="Q541" s="7" t="s">
        <v>37</v>
      </c>
      <c r="R541" s="13"/>
      <c r="S541" s="30"/>
      <c r="T541" s="43"/>
      <c r="W541" t="str">
        <f t="shared" si="214"/>
        <v>SEP776-AP-0030 (LP Flare)Fiscal</v>
      </c>
      <c r="X5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2" spans="1:24" ht="12.5" x14ac:dyDescent="0.25">
      <c r="A542" s="10"/>
      <c r="B542" s="8" t="s">
        <v>52</v>
      </c>
      <c r="C542" s="5" t="s">
        <v>114</v>
      </c>
      <c r="D542" s="9" t="s">
        <v>72</v>
      </c>
      <c r="E542" s="36"/>
      <c r="F542" s="29" cm="1">
        <f t="array" ref="F542">IF(V542 &lt;&gt; "", V542, IFERROR(_xlfn.SINGLE(INDEX($G$1:G541,SUMPRODUCT(MAX(($W$1:W541=W542)*(ROW($W$1:W541))))))+IF(D542="Fiscal",30,90),""))</f>
        <v>45892</v>
      </c>
      <c r="G542" s="13">
        <v>45882</v>
      </c>
      <c r="H542" s="15">
        <f t="shared" si="233"/>
        <v>45892</v>
      </c>
      <c r="I542" s="15"/>
      <c r="J542" s="32"/>
      <c r="K542" s="15">
        <f t="shared" si="234"/>
        <v>45902</v>
      </c>
      <c r="L542" s="15"/>
      <c r="M542" s="15">
        <f t="shared" si="235"/>
        <v>45907</v>
      </c>
      <c r="N542" s="13">
        <v>45905</v>
      </c>
      <c r="O542" s="2">
        <f>IFERROR(IF(tblColetas[[#This Row],[Status Coleta]]="Reprovado","Reprovado",IF(ISERROR(SEARCH("Poço",D542)),IF(N542="","Erro",IF(Q542="Reprovado","",WORKDAY(N542,IF(D542="Operacional",10,3),FERIADOS!$A$3:$A$119))),"-")),"-")</f>
        <v>45910</v>
      </c>
      <c r="P542" s="13">
        <v>45909</v>
      </c>
      <c r="Q542" s="7" t="s">
        <v>37</v>
      </c>
      <c r="R542" s="13"/>
      <c r="S542" s="30"/>
      <c r="T542" s="43"/>
      <c r="W542" t="str">
        <f t="shared" ref="W542:W572" si="236">B542&amp;C542&amp;D542</f>
        <v>SEP777-AP-1104 (Fuel Gas)Fiscal</v>
      </c>
      <c r="X5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3" spans="1:24" ht="12.5" x14ac:dyDescent="0.25">
      <c r="A543" s="10"/>
      <c r="B543" s="8" t="s">
        <v>52</v>
      </c>
      <c r="C543" s="5" t="s">
        <v>115</v>
      </c>
      <c r="D543" s="9" t="s">
        <v>72</v>
      </c>
      <c r="E543" s="36"/>
      <c r="F543" s="29" cm="1">
        <f t="array" ref="F543">IF(V543 &lt;&gt; "", V543, IFERROR(_xlfn.SINGLE(INDEX($G$1:G542,SUMPRODUCT(MAX(($W$1:W542=W543)*(ROW($W$1:W542))))))+IF(D543="Fiscal",30,90),""))</f>
        <v>45892</v>
      </c>
      <c r="G543" s="13">
        <v>45882</v>
      </c>
      <c r="H543" s="15">
        <f t="shared" si="233"/>
        <v>45892</v>
      </c>
      <c r="I543" s="15"/>
      <c r="J543" s="32"/>
      <c r="K543" s="15">
        <f t="shared" si="234"/>
        <v>45902</v>
      </c>
      <c r="L543" s="15"/>
      <c r="M543" s="15">
        <f t="shared" si="235"/>
        <v>45907</v>
      </c>
      <c r="N543" s="13">
        <v>45905</v>
      </c>
      <c r="O543" s="2">
        <f>IFERROR(IF(tblColetas[[#This Row],[Status Coleta]]="Reprovado","Reprovado",IF(ISERROR(SEARCH("Poço",D543)),IF(N543="","Erro",IF(Q543="Reprovado","",WORKDAY(N543,IF(D543="Operacional",10,3),FERIADOS!$A$3:$A$119))),"-")),"-")</f>
        <v>45910</v>
      </c>
      <c r="P543" s="13">
        <v>45909</v>
      </c>
      <c r="Q543" s="7" t="s">
        <v>37</v>
      </c>
      <c r="R543" s="13"/>
      <c r="S543" s="30"/>
      <c r="T543" s="43"/>
      <c r="W543" t="str">
        <f t="shared" si="236"/>
        <v>SEP771-AP-0221 (Flare Assist)Fiscal</v>
      </c>
      <c r="X5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4" spans="1:24" ht="12.5" x14ac:dyDescent="0.25">
      <c r="A544" s="10"/>
      <c r="B544" s="8" t="s">
        <v>52</v>
      </c>
      <c r="C544" s="5" t="s">
        <v>121</v>
      </c>
      <c r="D544" s="9" t="s">
        <v>70</v>
      </c>
      <c r="E544" s="36"/>
      <c r="F544" s="29" cm="1">
        <f t="array" ref="F544">IF(V544 &lt;&gt; "", V544, IFERROR(_xlfn.SINGLE(INDEX($G$1:G543,SUMPRODUCT(MAX(($W$1:W543=W544)*(ROW($W$1:W543))))))+IF(D544="Fiscal",30,90),""))</f>
        <v>45923</v>
      </c>
      <c r="G544" s="13">
        <v>45882</v>
      </c>
      <c r="H544" s="15">
        <f t="shared" si="233"/>
        <v>45892</v>
      </c>
      <c r="I544" s="15"/>
      <c r="J544" s="32"/>
      <c r="K544" s="15">
        <f t="shared" si="234"/>
        <v>45902</v>
      </c>
      <c r="L544" s="15"/>
      <c r="M544" s="15">
        <f t="shared" si="235"/>
        <v>45907</v>
      </c>
      <c r="N544" s="13">
        <v>45905</v>
      </c>
      <c r="O544" s="2" t="str">
        <f>IFERROR(IF(tblColetas[[#This Row],[Status Coleta]]="Reprovado","Reprovado",IF(ISERROR(SEARCH("Poço",D544)),IF(N544="","Erro",IF(Q544="Reprovado","",WORKDAY(N544,IF(D544="Operacional",10,3),FERIADOS!$A$3:$A$119))),"-")),"-")</f>
        <v>Reprovado</v>
      </c>
      <c r="P544" s="13"/>
      <c r="Q544" s="7" t="s">
        <v>81</v>
      </c>
      <c r="R544" s="13"/>
      <c r="S544" s="33" t="s">
        <v>127</v>
      </c>
      <c r="T544" s="43"/>
      <c r="W544" t="str">
        <f t="shared" si="236"/>
        <v>SEP773-AP-0011 (Gas Lift Total)Gas Lift</v>
      </c>
      <c r="X5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5" spans="1:24" ht="12.5" x14ac:dyDescent="0.25">
      <c r="A545" s="10"/>
      <c r="B545" s="19" t="s">
        <v>38</v>
      </c>
      <c r="C545" s="5" t="s">
        <v>41</v>
      </c>
      <c r="D545" s="20" t="s">
        <v>26</v>
      </c>
      <c r="E545" s="35"/>
      <c r="F545" s="29" cm="1">
        <f t="array" ref="F545">IF(V545 &lt;&gt; "", V545, IFERROR(_xlfn.SINGLE(INDEX($G$1:G544,SUMPRODUCT(MAX(($W$1:W544=W545)*(ROW($W$1:W544))))))+IF(D545="Fiscal",30,90),""))</f>
        <v>45957</v>
      </c>
      <c r="G545" s="21">
        <v>45944</v>
      </c>
      <c r="H545" s="15">
        <f t="shared" ref="H545:H552" si="237">IF(G545="","Erro", G545+10)</f>
        <v>45954</v>
      </c>
      <c r="I545" s="15">
        <v>45947</v>
      </c>
      <c r="J545" s="32" t="s">
        <v>213</v>
      </c>
      <c r="K545" s="15">
        <f t="shared" ref="K545:K552" si="238">IF(G545="","Erro",G545+20)</f>
        <v>45964</v>
      </c>
      <c r="L545" s="15">
        <v>45960</v>
      </c>
      <c r="M545" s="15">
        <f t="shared" ref="M545:M552" si="239">IF(G545="","Erro",G545+IF(D545="Operacional",45,25))</f>
        <v>45969</v>
      </c>
      <c r="N545" s="13">
        <v>45968</v>
      </c>
      <c r="O545" s="2" t="str">
        <f>IFERROR(IF(tblColetas[[#This Row],[Status Coleta]]="Reprovado","Reprovado",IF(ISERROR(SEARCH("Poço",D545)),IF(N545="","Erro",IF(Q545="Reprovado","",WORKDAY(N545,IF(D545="Operacional",10,3),FERIADOS!$A$3:$A$119))),"-")),"-")</f>
        <v>-</v>
      </c>
      <c r="P545" s="21"/>
      <c r="Q545" s="7"/>
      <c r="R545" s="13"/>
      <c r="S545" s="30"/>
      <c r="T545" s="43"/>
      <c r="W545" t="str">
        <f t="shared" si="236"/>
        <v>CDPPoço LL-15 (P-3)Poço CG</v>
      </c>
      <c r="X5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6" spans="1:24" ht="12.5" x14ac:dyDescent="0.25">
      <c r="A546" s="10"/>
      <c r="B546" s="19" t="s">
        <v>38</v>
      </c>
      <c r="C546" s="5" t="s">
        <v>41</v>
      </c>
      <c r="D546" s="20" t="s">
        <v>29</v>
      </c>
      <c r="E546" s="35"/>
      <c r="F546" s="29" cm="1">
        <f t="array" ref="F546">IF(V546 &lt;&gt; "", V546, IFERROR(_xlfn.SINGLE(INDEX($G$1:G545,SUMPRODUCT(MAX(($W$1:W545=W546)*(ROW($W$1:W545))))))+IF(D546="Fiscal",30,90),""))</f>
        <v>45957</v>
      </c>
      <c r="G546" s="21">
        <v>45944</v>
      </c>
      <c r="H546" s="15">
        <f t="shared" si="237"/>
        <v>45954</v>
      </c>
      <c r="I546" s="15">
        <v>45947</v>
      </c>
      <c r="J546" s="32" t="s">
        <v>213</v>
      </c>
      <c r="K546" s="15">
        <f t="shared" si="238"/>
        <v>45964</v>
      </c>
      <c r="L546" s="15">
        <v>45960</v>
      </c>
      <c r="M546" s="15">
        <f t="shared" si="239"/>
        <v>45969</v>
      </c>
      <c r="N546" s="13">
        <v>45968</v>
      </c>
      <c r="O546" s="2" t="str">
        <f>IFERROR(IF(tblColetas[[#This Row],[Status Coleta]]="Reprovado","Reprovado",IF(ISERROR(SEARCH("Poço",D546)),IF(N546="","Erro",IF(Q546="Reprovado","",WORKDAY(N546,IF(D546="Operacional",10,3),FERIADOS!$A$3:$A$119))),"-")),"-")</f>
        <v>-</v>
      </c>
      <c r="P546" s="21"/>
      <c r="Q546" s="7"/>
      <c r="R546" s="13"/>
      <c r="S546" s="30"/>
      <c r="T546" s="43"/>
      <c r="W546" t="str">
        <f t="shared" si="236"/>
        <v>CDPPoço LL-15 (P-3)Poço PVT</v>
      </c>
      <c r="X5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7" spans="1:24" ht="12.5" x14ac:dyDescent="0.25">
      <c r="A547" s="10"/>
      <c r="B547" s="19" t="s">
        <v>38</v>
      </c>
      <c r="C547" s="5" t="s">
        <v>96</v>
      </c>
      <c r="D547" s="20" t="s">
        <v>26</v>
      </c>
      <c r="E547" s="35"/>
      <c r="F547" s="29" cm="1">
        <f t="array" ref="F547">IF(V547 &lt;&gt; "", V547, IFERROR(_xlfn.SINGLE(INDEX($G$1:G546,SUMPRODUCT(MAX(($W$1:W546=W547)*(ROW($W$1:W546))))))+IF(D547="Fiscal",30,90),""))</f>
        <v>45956</v>
      </c>
      <c r="G547" s="21">
        <v>45940</v>
      </c>
      <c r="H547" s="15">
        <f t="shared" si="237"/>
        <v>45950</v>
      </c>
      <c r="I547" s="15">
        <v>45942</v>
      </c>
      <c r="J547" s="32" t="s">
        <v>214</v>
      </c>
      <c r="K547" s="15">
        <f t="shared" si="238"/>
        <v>45960</v>
      </c>
      <c r="L547" s="15">
        <v>45951</v>
      </c>
      <c r="M547" s="15">
        <f t="shared" si="239"/>
        <v>45965</v>
      </c>
      <c r="N547" s="13">
        <v>45965</v>
      </c>
      <c r="O547" s="2" t="str">
        <f>IFERROR(IF(tblColetas[[#This Row],[Status Coleta]]="Reprovado","Reprovado",IF(ISERROR(SEARCH("Poço",D547)),IF(N547="","Erro",IF(Q547="Reprovado","",WORKDAY(N547,IF(D547="Operacional",10,3),FERIADOS!$A$3:$A$119))),"-")),"-")</f>
        <v>-</v>
      </c>
      <c r="P547" s="21"/>
      <c r="Q547" s="7"/>
      <c r="R547" s="13"/>
      <c r="S547" s="30"/>
      <c r="T547" s="43"/>
      <c r="W547" t="str">
        <f t="shared" si="236"/>
        <v>CDPPoço TUP-120 (P-7)Poço CG</v>
      </c>
      <c r="X5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8" spans="1:24" ht="12.5" x14ac:dyDescent="0.25">
      <c r="A548" s="10"/>
      <c r="B548" s="19" t="s">
        <v>38</v>
      </c>
      <c r="C548" s="5" t="s">
        <v>96</v>
      </c>
      <c r="D548" s="20" t="s">
        <v>29</v>
      </c>
      <c r="E548" s="35"/>
      <c r="F548" s="29" cm="1">
        <f t="array" ref="F548">IF(V548 &lt;&gt; "", V548, IFERROR(_xlfn.SINGLE(INDEX($G$1:G547,SUMPRODUCT(MAX(($W$1:W547=W548)*(ROW($W$1:W547))))))+IF(D548="Fiscal",30,90),""))</f>
        <v>45956</v>
      </c>
      <c r="G548" s="21">
        <v>45940</v>
      </c>
      <c r="H548" s="15">
        <f t="shared" si="237"/>
        <v>45950</v>
      </c>
      <c r="I548" s="15">
        <v>45942</v>
      </c>
      <c r="J548" s="32" t="s">
        <v>214</v>
      </c>
      <c r="K548" s="15">
        <f t="shared" si="238"/>
        <v>45960</v>
      </c>
      <c r="L548" s="15">
        <v>45951</v>
      </c>
      <c r="M548" s="15">
        <f t="shared" si="239"/>
        <v>45965</v>
      </c>
      <c r="N548" s="13">
        <v>45965</v>
      </c>
      <c r="O548" s="2" t="str">
        <f>IFERROR(IF(tblColetas[[#This Row],[Status Coleta]]="Reprovado","Reprovado",IF(ISERROR(SEARCH("Poço",D548)),IF(N548="","Erro",IF(Q548="Reprovado","",WORKDAY(N548,IF(D548="Operacional",10,3),FERIADOS!$A$3:$A$119))),"-")),"-")</f>
        <v>-</v>
      </c>
      <c r="P548" s="21"/>
      <c r="Q548" s="7"/>
      <c r="R548" s="13"/>
      <c r="S548" s="30"/>
      <c r="T548" s="43"/>
      <c r="W548" t="str">
        <f t="shared" si="236"/>
        <v>CDPPoço TUP-120 (P-7)Poço PVT</v>
      </c>
      <c r="X5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49" spans="1:24" ht="12.5" x14ac:dyDescent="0.25">
      <c r="A549" s="10"/>
      <c r="B549" s="19" t="s">
        <v>46</v>
      </c>
      <c r="C549" s="5" t="s">
        <v>74</v>
      </c>
      <c r="D549" s="20" t="s">
        <v>72</v>
      </c>
      <c r="E549" s="35"/>
      <c r="F549" s="29" cm="1">
        <f t="array" ref="F549">IF(V549 &lt;&gt; "", V549, IFERROR(_xlfn.SINGLE(INDEX($G$1:G548,SUMPRODUCT(MAX(($W$1:W548=W549)*(ROW($W$1:W548))))))+IF(D549="Fiscal",30,90),""))</f>
        <v>45897</v>
      </c>
      <c r="G549" s="21">
        <v>45894</v>
      </c>
      <c r="H549" s="15">
        <f t="shared" si="237"/>
        <v>45904</v>
      </c>
      <c r="I549" s="15"/>
      <c r="J549" s="32"/>
      <c r="K549" s="15">
        <f t="shared" si="238"/>
        <v>45914</v>
      </c>
      <c r="L549" s="15"/>
      <c r="M549" s="15">
        <f t="shared" si="239"/>
        <v>45919</v>
      </c>
      <c r="N549" s="13">
        <v>45919</v>
      </c>
      <c r="O549" s="2">
        <f>IFERROR(IF(tblColetas[[#This Row],[Status Coleta]]="Reprovado","Reprovado",IF(ISERROR(SEARCH("Poço",D549)),IF(N549="","Erro",IF(Q549="Reprovado","",WORKDAY(N549,IF(D549="Operacional",10,3),FERIADOS!$A$3:$A$119))),"-")),"-")</f>
        <v>45924</v>
      </c>
      <c r="P549" s="21">
        <v>45923</v>
      </c>
      <c r="Q549" s="7" t="s">
        <v>37</v>
      </c>
      <c r="R549" s="13"/>
      <c r="S549" s="30"/>
      <c r="T549" s="43"/>
      <c r="W549" t="str">
        <f t="shared" si="236"/>
        <v>CDMT76-FT-0014 (HP Flare)Fiscal</v>
      </c>
      <c r="X5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0" spans="1:24" ht="12.5" x14ac:dyDescent="0.25">
      <c r="A550" s="10"/>
      <c r="B550" s="19" t="s">
        <v>46</v>
      </c>
      <c r="C550" s="5" t="s">
        <v>75</v>
      </c>
      <c r="D550" s="20" t="s">
        <v>72</v>
      </c>
      <c r="E550" s="35"/>
      <c r="F550" s="29" cm="1">
        <f t="array" ref="F550">IF(V550 &lt;&gt; "", V550, IFERROR(_xlfn.SINGLE(INDEX($G$1:G549,SUMPRODUCT(MAX(($W$1:W549=W550)*(ROW($W$1:W549))))))+IF(D550="Fiscal",30,90),""))</f>
        <v>45897</v>
      </c>
      <c r="G550" s="21">
        <v>45894</v>
      </c>
      <c r="H550" s="15">
        <f t="shared" si="237"/>
        <v>45904</v>
      </c>
      <c r="I550" s="15"/>
      <c r="J550" s="32"/>
      <c r="K550" s="15">
        <f t="shared" si="238"/>
        <v>45914</v>
      </c>
      <c r="L550" s="15"/>
      <c r="M550" s="15">
        <f t="shared" si="239"/>
        <v>45919</v>
      </c>
      <c r="N550" s="13">
        <v>45919</v>
      </c>
      <c r="O550" s="2">
        <f>IFERROR(IF(tblColetas[[#This Row],[Status Coleta]]="Reprovado","Reprovado",IF(ISERROR(SEARCH("Poço",D550)),IF(N550="","Erro",IF(Q550="Reprovado","",WORKDAY(N550,IF(D550="Operacional",10,3),FERIADOS!$A$3:$A$119))),"-")),"-")</f>
        <v>45924</v>
      </c>
      <c r="P550" s="21">
        <v>45923</v>
      </c>
      <c r="Q550" s="7" t="s">
        <v>37</v>
      </c>
      <c r="R550" s="13"/>
      <c r="S550" s="30"/>
      <c r="T550" s="43"/>
      <c r="W550" t="str">
        <f t="shared" si="236"/>
        <v>CDMT76-FT-0034 (LP Flare)Fiscal</v>
      </c>
      <c r="X5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1" spans="1:24" ht="12.5" x14ac:dyDescent="0.25">
      <c r="A551" s="10"/>
      <c r="B551" s="19" t="s">
        <v>46</v>
      </c>
      <c r="C551" s="5" t="s">
        <v>71</v>
      </c>
      <c r="D551" s="20" t="s">
        <v>72</v>
      </c>
      <c r="E551" s="35"/>
      <c r="F551" s="29" cm="1">
        <f t="array" ref="F551">IF(V551 &lt;&gt; "", V551, IFERROR(_xlfn.SINGLE(INDEX($G$1:G550,SUMPRODUCT(MAX(($W$1:W550=W551)*(ROW($W$1:W550))))))+IF(D551="Fiscal",30,90),""))</f>
        <v>45897</v>
      </c>
      <c r="G551" s="21">
        <v>45894</v>
      </c>
      <c r="H551" s="15">
        <f t="shared" si="237"/>
        <v>45904</v>
      </c>
      <c r="I551" s="15"/>
      <c r="J551" s="32"/>
      <c r="K551" s="15">
        <f t="shared" si="238"/>
        <v>45914</v>
      </c>
      <c r="L551" s="15"/>
      <c r="M551" s="15">
        <f t="shared" si="239"/>
        <v>45919</v>
      </c>
      <c r="N551" s="13">
        <v>45919</v>
      </c>
      <c r="O551" s="2">
        <f>IFERROR(IF(tblColetas[[#This Row],[Status Coleta]]="Reprovado","Reprovado",IF(ISERROR(SEARCH("Poço",D551)),IF(N551="","Erro",IF(Q551="Reprovado","",WORKDAY(N551,IF(D551="Operacional",10,3),FERIADOS!$A$3:$A$119))),"-")),"-")</f>
        <v>45924</v>
      </c>
      <c r="P551" s="21">
        <v>45923</v>
      </c>
      <c r="Q551" s="7" t="s">
        <v>37</v>
      </c>
      <c r="R551" s="13"/>
      <c r="S551" s="30"/>
      <c r="T551" s="43"/>
      <c r="W551" t="str">
        <f t="shared" si="236"/>
        <v>CDMT77-FT-0103 (Fuel Gas)Fiscal</v>
      </c>
      <c r="X5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2" spans="1:24" ht="12.5" x14ac:dyDescent="0.25">
      <c r="A552" s="10"/>
      <c r="B552" s="19" t="s">
        <v>46</v>
      </c>
      <c r="C552" s="5" t="s">
        <v>125</v>
      </c>
      <c r="D552" s="20" t="s">
        <v>72</v>
      </c>
      <c r="E552" s="35"/>
      <c r="F552" s="29" cm="1">
        <f t="array" ref="F552">IF(V552 &lt;&gt; "", V552, IFERROR(_xlfn.SINGLE(INDEX($G$1:G551,SUMPRODUCT(MAX(($W$1:W551=W552)*(ROW($W$1:W551))))))+IF(D552="Fiscal",30,90),""))</f>
        <v>45897</v>
      </c>
      <c r="G552" s="21">
        <v>45894</v>
      </c>
      <c r="H552" s="15">
        <f t="shared" si="237"/>
        <v>45904</v>
      </c>
      <c r="I552" s="15"/>
      <c r="J552" s="32"/>
      <c r="K552" s="15">
        <f t="shared" si="238"/>
        <v>45914</v>
      </c>
      <c r="L552" s="15"/>
      <c r="M552" s="15">
        <f t="shared" si="239"/>
        <v>45919</v>
      </c>
      <c r="N552" s="13">
        <v>45919</v>
      </c>
      <c r="O552" s="2">
        <f>IFERROR(IF(tblColetas[[#This Row],[Status Coleta]]="Reprovado","Reprovado",IF(ISERROR(SEARCH("Poço",D552)),IF(N552="","Erro",IF(Q552="Reprovado","",WORKDAY(N552,IF(D552="Operacional",10,3),FERIADOS!$A$3:$A$119))),"-")),"-")</f>
        <v>45924</v>
      </c>
      <c r="P552" s="21">
        <v>45923</v>
      </c>
      <c r="Q552" s="7" t="s">
        <v>37</v>
      </c>
      <c r="R552" s="13"/>
      <c r="S552" s="30"/>
      <c r="T552" s="43"/>
      <c r="W552" t="str">
        <f t="shared" si="236"/>
        <v>CDMT74-FT-6901 (Export Gas)Fiscal</v>
      </c>
      <c r="X5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3" spans="1:24" ht="12.5" x14ac:dyDescent="0.25">
      <c r="A553" s="10"/>
      <c r="B553" s="19" t="s">
        <v>38</v>
      </c>
      <c r="C553" s="5" t="s">
        <v>74</v>
      </c>
      <c r="D553" s="20" t="s">
        <v>72</v>
      </c>
      <c r="E553" s="35"/>
      <c r="F553" s="29" cm="1">
        <f t="array" ref="F553">IF(V553 &lt;&gt; "", V553, IFERROR(_xlfn.SINGLE(INDEX($G$1:G552,SUMPRODUCT(MAX(($W$1:W552=W553)*(ROW($W$1:W552))))))+IF(D553="Fiscal",30,90),""))</f>
        <v>45897</v>
      </c>
      <c r="G553" s="21">
        <v>45895</v>
      </c>
      <c r="H553" s="15">
        <f t="shared" ref="H553:H558" si="240">IF(G553="","Erro", G553+10)</f>
        <v>45905</v>
      </c>
      <c r="I553" s="15"/>
      <c r="J553" s="32"/>
      <c r="K553" s="15">
        <f t="shared" ref="K553:K558" si="241">IF(G553="","Erro",G553+20)</f>
        <v>45915</v>
      </c>
      <c r="L553" s="15"/>
      <c r="M553" s="15">
        <f t="shared" ref="M553:M558" si="242">IF(G553="","Erro",G553+IF(D553="Operacional",45,25))</f>
        <v>45920</v>
      </c>
      <c r="N553" s="13">
        <v>45919</v>
      </c>
      <c r="O553" s="2">
        <f>IFERROR(IF(tblColetas[[#This Row],[Status Coleta]]="Reprovado","Reprovado",IF(ISERROR(SEARCH("Poço",D553)),IF(N553="","Erro",IF(Q553="Reprovado","",WORKDAY(N553,IF(D553="Operacional",10,3),FERIADOS!$A$3:$A$119))),"-")),"-")</f>
        <v>45924</v>
      </c>
      <c r="P553" s="21">
        <v>45923</v>
      </c>
      <c r="Q553" s="7" t="s">
        <v>37</v>
      </c>
      <c r="R553" s="13"/>
      <c r="S553" s="30"/>
      <c r="T553" s="43"/>
      <c r="W553" t="str">
        <f t="shared" si="236"/>
        <v>CDPT76-FT-0014 (HP Flare)Fiscal</v>
      </c>
      <c r="X5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4" spans="1:24" ht="12.5" x14ac:dyDescent="0.25">
      <c r="A554" s="10"/>
      <c r="B554" s="19" t="s">
        <v>38</v>
      </c>
      <c r="C554" s="5" t="s">
        <v>75</v>
      </c>
      <c r="D554" s="20" t="s">
        <v>72</v>
      </c>
      <c r="E554" s="35"/>
      <c r="F554" s="29" cm="1">
        <f t="array" ref="F554">IF(V554 &lt;&gt; "", V554, IFERROR(_xlfn.SINGLE(INDEX($G$1:G553,SUMPRODUCT(MAX(($W$1:W553=W554)*(ROW($W$1:W553))))))+IF(D554="Fiscal",30,90),""))</f>
        <v>45897</v>
      </c>
      <c r="G554" s="21">
        <v>45895</v>
      </c>
      <c r="H554" s="15">
        <f t="shared" si="240"/>
        <v>45905</v>
      </c>
      <c r="I554" s="15"/>
      <c r="J554" s="32"/>
      <c r="K554" s="15">
        <f t="shared" si="241"/>
        <v>45915</v>
      </c>
      <c r="L554" s="15"/>
      <c r="M554" s="15">
        <f t="shared" si="242"/>
        <v>45920</v>
      </c>
      <c r="N554" s="13">
        <v>45919</v>
      </c>
      <c r="O554" s="2">
        <f>IFERROR(IF(tblColetas[[#This Row],[Status Coleta]]="Reprovado","Reprovado",IF(ISERROR(SEARCH("Poço",D554)),IF(N554="","Erro",IF(Q554="Reprovado","",WORKDAY(N554,IF(D554="Operacional",10,3),FERIADOS!$A$3:$A$119))),"-")),"-")</f>
        <v>45924</v>
      </c>
      <c r="P554" s="21">
        <v>45923</v>
      </c>
      <c r="Q554" s="7" t="s">
        <v>37</v>
      </c>
      <c r="R554" s="13"/>
      <c r="S554" s="30"/>
      <c r="T554" s="43"/>
      <c r="W554" t="str">
        <f t="shared" si="236"/>
        <v>CDPT76-FT-0034 (LP Flare)Fiscal</v>
      </c>
      <c r="X5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5" spans="1:24" ht="12.5" x14ac:dyDescent="0.25">
      <c r="A555" s="10"/>
      <c r="B555" s="19" t="s">
        <v>38</v>
      </c>
      <c r="C555" s="5" t="s">
        <v>71</v>
      </c>
      <c r="D555" s="20" t="s">
        <v>72</v>
      </c>
      <c r="E555" s="35"/>
      <c r="F555" s="29" cm="1">
        <f t="array" ref="F555">IF(V555 &lt;&gt; "", V555, IFERROR(_xlfn.SINGLE(INDEX($G$1:G554,SUMPRODUCT(MAX(($W$1:W554=W555)*(ROW($W$1:W554))))))+IF(D555="Fiscal",30,90),""))</f>
        <v>45897</v>
      </c>
      <c r="G555" s="21">
        <v>45895</v>
      </c>
      <c r="H555" s="15">
        <f t="shared" si="240"/>
        <v>45905</v>
      </c>
      <c r="I555" s="15"/>
      <c r="J555" s="32"/>
      <c r="K555" s="15">
        <f t="shared" si="241"/>
        <v>45915</v>
      </c>
      <c r="L555" s="15"/>
      <c r="M555" s="15">
        <f t="shared" si="242"/>
        <v>45920</v>
      </c>
      <c r="N555" s="13">
        <v>45919</v>
      </c>
      <c r="O555" s="2">
        <f>IFERROR(IF(tblColetas[[#This Row],[Status Coleta]]="Reprovado","Reprovado",IF(ISERROR(SEARCH("Poço",D555)),IF(N555="","Erro",IF(Q555="Reprovado","",WORKDAY(N555,IF(D555="Operacional",10,3),FERIADOS!$A$3:$A$119))),"-")),"-")</f>
        <v>45924</v>
      </c>
      <c r="P555" s="21">
        <v>45923</v>
      </c>
      <c r="Q555" s="7" t="s">
        <v>37</v>
      </c>
      <c r="R555" s="13"/>
      <c r="S555" s="30"/>
      <c r="T555" s="43"/>
      <c r="W555" t="str">
        <f t="shared" si="236"/>
        <v>CDPT77-FT-0103 (Fuel Gas)Fiscal</v>
      </c>
      <c r="X5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6" spans="1:24" ht="12.5" x14ac:dyDescent="0.25">
      <c r="A556" s="10"/>
      <c r="B556" s="19" t="s">
        <v>38</v>
      </c>
      <c r="C556" s="5" t="s">
        <v>98</v>
      </c>
      <c r="D556" s="20" t="s">
        <v>72</v>
      </c>
      <c r="E556" s="35"/>
      <c r="F556" s="29" cm="1">
        <f t="array" ref="F556">IF(V556 &lt;&gt; "", V556, IFERROR(_xlfn.SINGLE(INDEX($G$1:G555,SUMPRODUCT(MAX(($W$1:W555=W556)*(ROW($W$1:W555))))))+IF(D556="Fiscal",30,90),""))</f>
        <v>45897</v>
      </c>
      <c r="G556" s="21">
        <v>45895</v>
      </c>
      <c r="H556" s="15">
        <f t="shared" si="240"/>
        <v>45905</v>
      </c>
      <c r="I556" s="15"/>
      <c r="J556" s="32"/>
      <c r="K556" s="15">
        <f t="shared" si="241"/>
        <v>45915</v>
      </c>
      <c r="L556" s="15"/>
      <c r="M556" s="15">
        <f t="shared" si="242"/>
        <v>45920</v>
      </c>
      <c r="N556" s="13">
        <v>45919</v>
      </c>
      <c r="O556" s="2" t="str">
        <f>IFERROR(IF(tblColetas[[#This Row],[Status Coleta]]="Reprovado","Reprovado",IF(ISERROR(SEARCH("Poço",D556)),IF(N556="","Erro",IF(Q556="Reprovado","",WORKDAY(N556,IF(D556="Operacional",10,3),FERIADOS!$A$3:$A$119))),"-")),"-")</f>
        <v>Reprovado</v>
      </c>
      <c r="P556" s="21"/>
      <c r="Q556" s="7" t="s">
        <v>81</v>
      </c>
      <c r="R556" s="13"/>
      <c r="S556" s="33" t="s">
        <v>127</v>
      </c>
      <c r="T556" s="43"/>
      <c r="W556" t="str">
        <f t="shared" si="236"/>
        <v>CDPT74-FT-6701 (Export Gas)Fiscal</v>
      </c>
      <c r="X5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7" spans="1:24" ht="12.5" x14ac:dyDescent="0.25">
      <c r="A557" s="10"/>
      <c r="B557" s="19" t="s">
        <v>46</v>
      </c>
      <c r="C557" s="5" t="s">
        <v>55</v>
      </c>
      <c r="D557" s="20" t="s">
        <v>26</v>
      </c>
      <c r="E557" s="35"/>
      <c r="F557" s="29" cm="1">
        <f t="array" ref="F557">IF(V557 &lt;&gt; "", V557, IFERROR(_xlfn.SINGLE(INDEX($G$1:G556,SUMPRODUCT(MAX(($W$1:W556=W557)*(ROW($W$1:W556))))))+IF(D557="Fiscal",30,90),""))</f>
        <v>45945</v>
      </c>
      <c r="G557" s="21">
        <v>45925</v>
      </c>
      <c r="H557" s="15">
        <f t="shared" si="240"/>
        <v>45935</v>
      </c>
      <c r="I557" s="15">
        <v>45933</v>
      </c>
      <c r="J557" s="32" t="s">
        <v>207</v>
      </c>
      <c r="K557" s="15">
        <f t="shared" si="241"/>
        <v>45945</v>
      </c>
      <c r="L557" s="15">
        <v>45945</v>
      </c>
      <c r="M557" s="15">
        <f t="shared" si="242"/>
        <v>45950</v>
      </c>
      <c r="N557" s="13">
        <v>45950</v>
      </c>
      <c r="O557" s="2" t="str">
        <f>IFERROR(IF(tblColetas[[#This Row],[Status Coleta]]="Reprovado","Reprovado",IF(ISERROR(SEARCH("Poço",D557)),IF(N557="","Erro",IF(Q557="Reprovado","",WORKDAY(N557,IF(D557="Operacional",10,3),FERIADOS!$A$3:$A$119))),"-")),"-")</f>
        <v>-</v>
      </c>
      <c r="P557" s="21"/>
      <c r="Q557" s="7" t="s">
        <v>37</v>
      </c>
      <c r="R557" s="13"/>
      <c r="S557" s="30"/>
      <c r="T557" s="43"/>
      <c r="W557" t="str">
        <f t="shared" si="236"/>
        <v>CDMPoço TUP-128 (P-06)Poço CG</v>
      </c>
      <c r="X5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8" spans="1:24" ht="12.5" x14ac:dyDescent="0.25">
      <c r="A558" s="10"/>
      <c r="B558" s="19" t="s">
        <v>46</v>
      </c>
      <c r="C558" s="5" t="s">
        <v>55</v>
      </c>
      <c r="D558" s="20" t="s">
        <v>29</v>
      </c>
      <c r="E558" s="35"/>
      <c r="F558" s="29" cm="1">
        <f t="array" ref="F558">IF(V558 &lt;&gt; "", V558, IFERROR(_xlfn.SINGLE(INDEX($G$1:G557,SUMPRODUCT(MAX(($W$1:W557=W558)*(ROW($W$1:W557))))))+IF(D558="Fiscal",30,90),""))</f>
        <v>45945</v>
      </c>
      <c r="G558" s="21">
        <v>45925</v>
      </c>
      <c r="H558" s="15">
        <f t="shared" si="240"/>
        <v>45935</v>
      </c>
      <c r="I558" s="15">
        <v>45933</v>
      </c>
      <c r="J558" s="32" t="s">
        <v>207</v>
      </c>
      <c r="K558" s="15">
        <f t="shared" si="241"/>
        <v>45945</v>
      </c>
      <c r="L558" s="15">
        <v>45945</v>
      </c>
      <c r="M558" s="15">
        <f t="shared" si="242"/>
        <v>45950</v>
      </c>
      <c r="N558" s="13">
        <v>45950</v>
      </c>
      <c r="O558" s="2" t="str">
        <f>IFERROR(IF(tblColetas[[#This Row],[Status Coleta]]="Reprovado","Reprovado",IF(ISERROR(SEARCH("Poço",D558)),IF(N558="","Erro",IF(Q558="Reprovado","",WORKDAY(N558,IF(D558="Operacional",10,3),FERIADOS!$A$3:$A$119))),"-")),"-")</f>
        <v>-</v>
      </c>
      <c r="P558" s="21"/>
      <c r="Q558" s="7" t="s">
        <v>37</v>
      </c>
      <c r="R558" s="13"/>
      <c r="S558" s="30"/>
      <c r="T558" s="43"/>
      <c r="W558" t="str">
        <f t="shared" si="236"/>
        <v>CDMPoço TUP-128 (P-06)Poço PVT</v>
      </c>
      <c r="X5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59" spans="1:24" ht="12.5" x14ac:dyDescent="0.25">
      <c r="A559" s="10"/>
      <c r="B559" s="19" t="s">
        <v>31</v>
      </c>
      <c r="C559" s="5" t="s">
        <v>85</v>
      </c>
      <c r="D559" s="20" t="s">
        <v>26</v>
      </c>
      <c r="E559" s="35"/>
      <c r="F559" s="29" cm="1">
        <f t="array" ref="F559">IF(V559 &lt;&gt; "", V559, IFERROR(_xlfn.SINGLE(INDEX($G$1:G558,SUMPRODUCT(MAX(($W$1:W558=W559)*(ROW($W$1:W558))))))+IF(D559="Fiscal",30,90),""))</f>
        <v>45962</v>
      </c>
      <c r="G559" s="21">
        <v>45955</v>
      </c>
      <c r="H559" s="15">
        <f t="shared" ref="H559:H564" si="243">IF(G559="","Erro", G559+10)</f>
        <v>45965</v>
      </c>
      <c r="I559" s="15">
        <v>45959</v>
      </c>
      <c r="J559" s="32" t="s">
        <v>215</v>
      </c>
      <c r="K559" s="15">
        <f t="shared" ref="K559:K564" si="244">IF(G559="","Erro",G559+20)</f>
        <v>45975</v>
      </c>
      <c r="L559" s="15">
        <v>45968</v>
      </c>
      <c r="M559" s="15">
        <f t="shared" ref="M559:M564" si="245">IF(G559="","Erro",G559+IF(D559="Operacional",45,25))</f>
        <v>45980</v>
      </c>
      <c r="N559" s="13">
        <v>45980</v>
      </c>
      <c r="O559" s="2" t="str">
        <f>IFERROR(IF(tblColetas[[#This Row],[Status Coleta]]="Reprovado","Reprovado",IF(ISERROR(SEARCH("Poço",D559)),IF(N559="","Erro",IF(Q559="Reprovado","",WORKDAY(N559,IF(D559="Operacional",10,3),FERIADOS!$A$3:$A$119))),"-")),"-")</f>
        <v>-</v>
      </c>
      <c r="P559" s="21"/>
      <c r="Q559" s="7" t="s">
        <v>37</v>
      </c>
      <c r="R559" s="13"/>
      <c r="S559" s="30"/>
      <c r="T559" s="43"/>
      <c r="W559" t="str">
        <f t="shared" si="236"/>
        <v>CDIPoço SPH-17 (P-9)Poço CG</v>
      </c>
      <c r="X5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0" spans="1:24" ht="12.5" x14ac:dyDescent="0.25">
      <c r="A560" s="10"/>
      <c r="B560" s="19" t="s">
        <v>31</v>
      </c>
      <c r="C560" s="5" t="s">
        <v>85</v>
      </c>
      <c r="D560" s="20" t="s">
        <v>29</v>
      </c>
      <c r="E560" s="35"/>
      <c r="F560" s="29" cm="1">
        <f t="array" ref="F560">IF(V560 &lt;&gt; "", V560, IFERROR(_xlfn.SINGLE(INDEX($G$1:G559,SUMPRODUCT(MAX(($W$1:W559=W560)*(ROW($W$1:W559))))))+IF(D560="Fiscal",30,90),""))</f>
        <v>45962</v>
      </c>
      <c r="G560" s="21">
        <v>45955</v>
      </c>
      <c r="H560" s="15">
        <f t="shared" si="243"/>
        <v>45965</v>
      </c>
      <c r="I560" s="15">
        <v>45959</v>
      </c>
      <c r="J560" s="32" t="s">
        <v>215</v>
      </c>
      <c r="K560" s="15">
        <f t="shared" si="244"/>
        <v>45975</v>
      </c>
      <c r="L560" s="15">
        <v>45968</v>
      </c>
      <c r="M560" s="15">
        <f t="shared" si="245"/>
        <v>45980</v>
      </c>
      <c r="N560" s="13">
        <v>45980</v>
      </c>
      <c r="O560" s="2" t="str">
        <f>IFERROR(IF(tblColetas[[#This Row],[Status Coleta]]="Reprovado","Reprovado",IF(ISERROR(SEARCH("Poço",D560)),IF(N560="","Erro",IF(Q560="Reprovado","",WORKDAY(N560,IF(D560="Operacional",10,3),FERIADOS!$A$3:$A$119))),"-")),"-")</f>
        <v>-</v>
      </c>
      <c r="P560" s="21"/>
      <c r="Q560" s="7" t="s">
        <v>37</v>
      </c>
      <c r="R560" s="13"/>
      <c r="S560" s="30"/>
      <c r="T560" s="43"/>
      <c r="W560" t="str">
        <f t="shared" si="236"/>
        <v>CDIPoço SPH-17 (P-9)Poço PVT</v>
      </c>
      <c r="X5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1" spans="1:24" ht="12.5" x14ac:dyDescent="0.25">
      <c r="A561" s="10"/>
      <c r="B561" s="19" t="s">
        <v>34</v>
      </c>
      <c r="C561" s="5" t="s">
        <v>89</v>
      </c>
      <c r="D561" s="20" t="s">
        <v>26</v>
      </c>
      <c r="E561" s="35"/>
      <c r="F561" s="29" cm="1">
        <f t="array" ref="F561">IF(V561 &lt;&gt; "", V561, IFERROR(_xlfn.SINGLE(INDEX($G$1:G560,SUMPRODUCT(MAX(($W$1:W560=W561)*(ROW($W$1:W560))))))+IF(D561="Fiscal",30,90),""))</f>
        <v>45960</v>
      </c>
      <c r="G561" s="21">
        <v>45898</v>
      </c>
      <c r="H561" s="15">
        <f t="shared" si="243"/>
        <v>45908</v>
      </c>
      <c r="I561" s="15">
        <v>45900</v>
      </c>
      <c r="J561" s="32" t="s">
        <v>214</v>
      </c>
      <c r="K561" s="15">
        <f t="shared" si="244"/>
        <v>45918</v>
      </c>
      <c r="L561" s="15">
        <v>45908</v>
      </c>
      <c r="M561" s="15">
        <f t="shared" si="245"/>
        <v>45923</v>
      </c>
      <c r="N561" s="13">
        <v>45923</v>
      </c>
      <c r="O561" s="2" t="str">
        <f>IFERROR(IF(tblColetas[[#This Row],[Status Coleta]]="Reprovado","Reprovado",IF(ISERROR(SEARCH("Poço",D561)),IF(N561="","Erro",IF(Q561="Reprovado","",WORKDAY(N561,IF(D561="Operacional",10,3),FERIADOS!$A$3:$A$119))),"-")),"-")</f>
        <v>-</v>
      </c>
      <c r="P561" s="21"/>
      <c r="Q561" s="7" t="s">
        <v>37</v>
      </c>
      <c r="R561" s="13"/>
      <c r="S561" s="30"/>
      <c r="T561" s="43"/>
      <c r="W561" t="str">
        <f t="shared" si="236"/>
        <v>CDSPoço LL-46 (P-01)Poço CG</v>
      </c>
      <c r="X5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2" spans="1:24" ht="12.5" x14ac:dyDescent="0.25">
      <c r="A562" s="10"/>
      <c r="B562" s="19" t="s">
        <v>34</v>
      </c>
      <c r="C562" s="5" t="s">
        <v>89</v>
      </c>
      <c r="D562" s="20" t="s">
        <v>29</v>
      </c>
      <c r="E562" s="35"/>
      <c r="F562" s="29" cm="1">
        <f t="array" ref="F562">IF(V562 &lt;&gt; "", V562, IFERROR(_xlfn.SINGLE(INDEX($G$1:G561,SUMPRODUCT(MAX(($W$1:W561=W562)*(ROW($W$1:W561))))))+IF(D562="Fiscal",30,90),""))</f>
        <v>45960</v>
      </c>
      <c r="G562" s="21">
        <v>45898</v>
      </c>
      <c r="H562" s="15">
        <f t="shared" si="243"/>
        <v>45908</v>
      </c>
      <c r="I562" s="15">
        <v>45900</v>
      </c>
      <c r="J562" s="32" t="s">
        <v>214</v>
      </c>
      <c r="K562" s="15">
        <f t="shared" si="244"/>
        <v>45918</v>
      </c>
      <c r="L562" s="15">
        <v>45908</v>
      </c>
      <c r="M562" s="15">
        <f t="shared" si="245"/>
        <v>45923</v>
      </c>
      <c r="N562" s="13">
        <v>45923</v>
      </c>
      <c r="O562" s="2" t="str">
        <f>IFERROR(IF(tblColetas[[#This Row],[Status Coleta]]="Reprovado","Reprovado",IF(ISERROR(SEARCH("Poço",D562)),IF(N562="","Erro",IF(Q562="Reprovado","",WORKDAY(N562,IF(D562="Operacional",10,3),FERIADOS!$A$3:$A$119))),"-")),"-")</f>
        <v>-</v>
      </c>
      <c r="P562" s="21"/>
      <c r="Q562" s="7" t="s">
        <v>37</v>
      </c>
      <c r="R562" s="13"/>
      <c r="S562" s="30"/>
      <c r="T562" s="43"/>
      <c r="W562" t="str">
        <f t="shared" si="236"/>
        <v>CDSPoço LL-46 (P-01)Poço PVT</v>
      </c>
      <c r="X5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3" spans="1:24" ht="12.5" x14ac:dyDescent="0.25">
      <c r="A563" s="10"/>
      <c r="B563" s="19" t="s">
        <v>31</v>
      </c>
      <c r="C563" s="5" t="s">
        <v>79</v>
      </c>
      <c r="D563" s="20" t="s">
        <v>26</v>
      </c>
      <c r="E563" s="35"/>
      <c r="F563" s="29" cm="1">
        <f t="array" ref="F563">IF(V563 &lt;&gt; "", V563, IFERROR(_xlfn.SINGLE(INDEX($G$1:G562,SUMPRODUCT(MAX(($W$1:W562=W563)*(ROW($W$1:W562))))))+IF(D563="Fiscal",30,90),""))</f>
        <v>45963</v>
      </c>
      <c r="G563" s="21">
        <v>45957</v>
      </c>
      <c r="H563" s="15">
        <f t="shared" si="243"/>
        <v>45967</v>
      </c>
      <c r="I563" s="15">
        <v>45959</v>
      </c>
      <c r="J563" s="32" t="s">
        <v>215</v>
      </c>
      <c r="K563" s="15">
        <f t="shared" si="244"/>
        <v>45977</v>
      </c>
      <c r="L563" s="15">
        <v>45968</v>
      </c>
      <c r="M563" s="15">
        <f t="shared" si="245"/>
        <v>45982</v>
      </c>
      <c r="N563" s="13">
        <v>45982</v>
      </c>
      <c r="O563" s="2" t="str">
        <f>IFERROR(IF(tblColetas[[#This Row],[Status Coleta]]="Reprovado","Reprovado",IF(ISERROR(SEARCH("Poço",D563)),IF(N563="","Erro",IF(Q563="Reprovado","",WORKDAY(N563,IF(D563="Operacional",10,3),FERIADOS!$A$3:$A$119))),"-")),"-")</f>
        <v>-</v>
      </c>
      <c r="P563" s="21"/>
      <c r="Q563" s="7"/>
      <c r="R563" s="13"/>
      <c r="S563" s="30"/>
      <c r="T563" s="43"/>
      <c r="W563" t="str">
        <f t="shared" si="236"/>
        <v>CDIPoço SPH-14 (P-6)Poço CG</v>
      </c>
      <c r="X5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4" spans="1:24" ht="12.5" x14ac:dyDescent="0.25">
      <c r="A564" s="10"/>
      <c r="B564" s="19" t="s">
        <v>31</v>
      </c>
      <c r="C564" s="5" t="s">
        <v>79</v>
      </c>
      <c r="D564" s="20" t="s">
        <v>29</v>
      </c>
      <c r="E564" s="35"/>
      <c r="F564" s="29" cm="1">
        <f t="array" ref="F564">IF(V564 &lt;&gt; "", V564, IFERROR(_xlfn.SINGLE(INDEX($G$1:G563,SUMPRODUCT(MAX(($W$1:W563=W564)*(ROW($W$1:W563))))))+IF(D564="Fiscal",30,90),""))</f>
        <v>45963</v>
      </c>
      <c r="G564" s="21">
        <v>45957</v>
      </c>
      <c r="H564" s="15">
        <f t="shared" si="243"/>
        <v>45967</v>
      </c>
      <c r="I564" s="15">
        <v>45959</v>
      </c>
      <c r="J564" s="32" t="s">
        <v>215</v>
      </c>
      <c r="K564" s="15">
        <f t="shared" si="244"/>
        <v>45977</v>
      </c>
      <c r="L564" s="15">
        <v>45968</v>
      </c>
      <c r="M564" s="15">
        <f t="shared" si="245"/>
        <v>45982</v>
      </c>
      <c r="N564" s="13">
        <v>45982</v>
      </c>
      <c r="O564" s="2" t="str">
        <f>IFERROR(IF(tblColetas[[#This Row],[Status Coleta]]="Reprovado","Reprovado",IF(ISERROR(SEARCH("Poço",D564)),IF(N564="","Erro",IF(Q564="Reprovado","",WORKDAY(N564,IF(D564="Operacional",10,3),FERIADOS!$A$3:$A$119))),"-")),"-")</f>
        <v>-</v>
      </c>
      <c r="P564" s="21"/>
      <c r="Q564" s="7"/>
      <c r="R564" s="13"/>
      <c r="S564" s="30"/>
      <c r="T564" s="43"/>
      <c r="W564" t="str">
        <f t="shared" si="236"/>
        <v>CDIPoço SPH-14 (P-6)Poço PVT</v>
      </c>
      <c r="X5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5" spans="1:24" ht="12.5" x14ac:dyDescent="0.25">
      <c r="A565" s="10"/>
      <c r="B565" s="19" t="s">
        <v>145</v>
      </c>
      <c r="C565" s="5" t="s">
        <v>212</v>
      </c>
      <c r="D565" s="20" t="s">
        <v>26</v>
      </c>
      <c r="E565" s="35"/>
      <c r="F565" s="29" cm="1">
        <f t="array" ref="F565">IF(V565 &lt;&gt; "", V565, IFERROR(_xlfn.SINGLE(INDEX($G$1:G564,SUMPRODUCT(MAX(($W$1:W564=W565)*(ROW($W$1:W564))))))+IF(D565="Fiscal",30,90),""))</f>
        <v>45942</v>
      </c>
      <c r="G565" s="21">
        <v>45864</v>
      </c>
      <c r="H565" s="15">
        <f t="shared" ref="H565:H572" si="246">IF(G565="","Erro", G565+10)</f>
        <v>45874</v>
      </c>
      <c r="I565" s="15">
        <v>45871</v>
      </c>
      <c r="J565" s="32" t="s">
        <v>216</v>
      </c>
      <c r="K565" s="15">
        <f t="shared" ref="K565:K572" si="247">IF(G565="","Erro",G565+20)</f>
        <v>45884</v>
      </c>
      <c r="L565" s="15">
        <v>45875</v>
      </c>
      <c r="M565" s="15">
        <f t="shared" ref="M565:M572" si="248">IF(G565="","Erro",G565+IF(D565="Operacional",45,25))</f>
        <v>45889</v>
      </c>
      <c r="N565" s="13">
        <v>45889</v>
      </c>
      <c r="O565" s="2" t="str">
        <f>IFERROR(IF(tblColetas[[#This Row],[Status Coleta]]="Reprovado","Reprovado",IF(ISERROR(SEARCH("Poço",D565)),IF(N565="","Erro",IF(Q565="Reprovado","",WORKDAY(N565,IF(D565="Operacional",10,3),FERIADOS!$A$3:$A$119))),"-")),"-")</f>
        <v>-</v>
      </c>
      <c r="P565" s="21"/>
      <c r="Q565" s="7" t="s">
        <v>37</v>
      </c>
      <c r="R565" s="13"/>
      <c r="S565" s="30"/>
      <c r="T565" s="43"/>
      <c r="W565" t="str">
        <f t="shared" si="236"/>
        <v>ATDPoço 7-BUZ-85D-RJS (P-7)Poço CG</v>
      </c>
      <c r="X5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6" spans="1:24" ht="12.5" x14ac:dyDescent="0.25">
      <c r="A566" s="10"/>
      <c r="B566" s="19" t="s">
        <v>145</v>
      </c>
      <c r="C566" s="5" t="s">
        <v>212</v>
      </c>
      <c r="D566" s="20" t="s">
        <v>29</v>
      </c>
      <c r="E566" s="35"/>
      <c r="F566" s="29" cm="1">
        <f t="array" ref="F566">IF(V566 &lt;&gt; "", V566, IFERROR(_xlfn.SINGLE(INDEX($G$1:G565,SUMPRODUCT(MAX(($W$1:W565=W566)*(ROW($W$1:W565))))))+IF(D566="Fiscal",30,90),""))</f>
        <v>45942</v>
      </c>
      <c r="G566" s="21">
        <v>45864</v>
      </c>
      <c r="H566" s="15">
        <f t="shared" si="246"/>
        <v>45874</v>
      </c>
      <c r="I566" s="15">
        <v>45871</v>
      </c>
      <c r="J566" s="32" t="s">
        <v>216</v>
      </c>
      <c r="K566" s="15">
        <f t="shared" si="247"/>
        <v>45884</v>
      </c>
      <c r="L566" s="15">
        <v>45875</v>
      </c>
      <c r="M566" s="15">
        <f t="shared" si="248"/>
        <v>45889</v>
      </c>
      <c r="N566" s="13">
        <v>45889</v>
      </c>
      <c r="O566" s="2" t="str">
        <f>IFERROR(IF(tblColetas[[#This Row],[Status Coleta]]="Reprovado","Reprovado",IF(ISERROR(SEARCH("Poço",D566)),IF(N566="","Erro",IF(Q566="Reprovado","",WORKDAY(N566,IF(D566="Operacional",10,3),FERIADOS!$A$3:$A$119))),"-")),"-")</f>
        <v>-</v>
      </c>
      <c r="P566" s="21"/>
      <c r="Q566" s="7" t="s">
        <v>37</v>
      </c>
      <c r="R566" s="13"/>
      <c r="S566" s="30"/>
      <c r="T566" s="43"/>
      <c r="W566" t="str">
        <f t="shared" si="236"/>
        <v>ATDPoço 7-BUZ-85D-RJS (P-7)Poço PVT</v>
      </c>
      <c r="X5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7" spans="1:24" ht="12.5" x14ac:dyDescent="0.25">
      <c r="A567" s="10"/>
      <c r="B567" s="19" t="s">
        <v>145</v>
      </c>
      <c r="C567" s="5" t="s">
        <v>212</v>
      </c>
      <c r="D567" s="20" t="s">
        <v>26</v>
      </c>
      <c r="E567" s="35"/>
      <c r="F567" s="29" cm="1">
        <f t="array" ref="F567">IF(V567 &lt;&gt; "", V567, IFERROR(_xlfn.SINGLE(INDEX($G$1:G566,SUMPRODUCT(MAX(($W$1:W566=W567)*(ROW($W$1:W566))))))+IF(D567="Fiscal",30,90),""))</f>
        <v>45954</v>
      </c>
      <c r="G567" s="21">
        <v>45906</v>
      </c>
      <c r="H567" s="15">
        <f t="shared" si="246"/>
        <v>45916</v>
      </c>
      <c r="I567" s="15">
        <v>45914</v>
      </c>
      <c r="J567" s="32" t="s">
        <v>217</v>
      </c>
      <c r="K567" s="15">
        <f t="shared" si="247"/>
        <v>45926</v>
      </c>
      <c r="L567" s="15">
        <v>45923</v>
      </c>
      <c r="M567" s="15">
        <f t="shared" si="248"/>
        <v>45931</v>
      </c>
      <c r="N567" s="13">
        <v>45931</v>
      </c>
      <c r="O567" s="2" t="str">
        <f>IFERROR(IF(tblColetas[[#This Row],[Status Coleta]]="Reprovado","Reprovado",IF(ISERROR(SEARCH("Poço",D567)),IF(N567="","Erro",IF(Q567="Reprovado","",WORKDAY(N567,IF(D567="Operacional",10,3),FERIADOS!$A$3:$A$119))),"-")),"-")</f>
        <v>-</v>
      </c>
      <c r="P567" s="21"/>
      <c r="Q567" s="7" t="s">
        <v>37</v>
      </c>
      <c r="R567" s="13"/>
      <c r="S567" s="30"/>
      <c r="T567" s="43"/>
      <c r="W567" t="str">
        <f t="shared" si="236"/>
        <v>ATDPoço 7-BUZ-85D-RJS (P-7)Poço CG</v>
      </c>
      <c r="X5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8" spans="1:24" ht="12.5" x14ac:dyDescent="0.25">
      <c r="A568" s="10"/>
      <c r="B568" s="19" t="s">
        <v>145</v>
      </c>
      <c r="C568" s="5" t="s">
        <v>212</v>
      </c>
      <c r="D568" s="20" t="s">
        <v>29</v>
      </c>
      <c r="E568" s="35"/>
      <c r="F568" s="29" cm="1">
        <f t="array" ref="F568">IF(V568 &lt;&gt; "", V568, IFERROR(_xlfn.SINGLE(INDEX($G$1:G567,SUMPRODUCT(MAX(($W$1:W567=W568)*(ROW($W$1:W567))))))+IF(D568="Fiscal",30,90),""))</f>
        <v>45954</v>
      </c>
      <c r="G568" s="21">
        <v>45906</v>
      </c>
      <c r="H568" s="15">
        <f t="shared" si="246"/>
        <v>45916</v>
      </c>
      <c r="I568" s="15">
        <v>45914</v>
      </c>
      <c r="J568" s="32" t="s">
        <v>217</v>
      </c>
      <c r="K568" s="15">
        <f t="shared" si="247"/>
        <v>45926</v>
      </c>
      <c r="L568" s="15">
        <v>45923</v>
      </c>
      <c r="M568" s="15">
        <f t="shared" si="248"/>
        <v>45931</v>
      </c>
      <c r="N568" s="13">
        <v>45931</v>
      </c>
      <c r="O568" s="2" t="str">
        <f>IFERROR(IF(tblColetas[[#This Row],[Status Coleta]]="Reprovado","Reprovado",IF(ISERROR(SEARCH("Poço",D568)),IF(N568="","Erro",IF(Q568="Reprovado","",WORKDAY(N568,IF(D568="Operacional",10,3),FERIADOS!$A$3:$A$119))),"-")),"-")</f>
        <v>-</v>
      </c>
      <c r="P568" s="21"/>
      <c r="Q568" s="7" t="s">
        <v>37</v>
      </c>
      <c r="R568" s="13"/>
      <c r="S568" s="30"/>
      <c r="T568" s="43"/>
      <c r="W568" t="str">
        <f t="shared" si="236"/>
        <v>ATDPoço 7-BUZ-85D-RJS (P-7)Poço PVT</v>
      </c>
      <c r="X5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69" spans="1:24" ht="12.5" x14ac:dyDescent="0.25">
      <c r="A569" s="10"/>
      <c r="B569" s="19" t="s">
        <v>31</v>
      </c>
      <c r="C569" s="5" t="s">
        <v>95</v>
      </c>
      <c r="D569" s="20" t="s">
        <v>26</v>
      </c>
      <c r="E569" s="35"/>
      <c r="F569" s="29" cm="1">
        <f t="array" ref="F569">IF(V569 &lt;&gt; "", V569, IFERROR(_xlfn.SINGLE(INDEX($G$1:G568,SUMPRODUCT(MAX(($W$1:W568=W569)*(ROW($W$1:W568))))))+IF(D569="Fiscal",30,90),""))</f>
        <v>45964</v>
      </c>
      <c r="G569" s="21">
        <v>45959</v>
      </c>
      <c r="H569" s="15">
        <f t="shared" si="246"/>
        <v>45969</v>
      </c>
      <c r="I569" s="15">
        <v>45964</v>
      </c>
      <c r="J569" s="32" t="s">
        <v>186</v>
      </c>
      <c r="K569" s="15">
        <f t="shared" si="247"/>
        <v>45979</v>
      </c>
      <c r="L569" s="15">
        <v>45979</v>
      </c>
      <c r="M569" s="15">
        <f t="shared" si="248"/>
        <v>45984</v>
      </c>
      <c r="N569" s="13">
        <v>45982</v>
      </c>
      <c r="O569" s="2" t="str">
        <f>IFERROR(IF(tblColetas[[#This Row],[Status Coleta]]="Reprovado","Reprovado",IF(ISERROR(SEARCH("Poço",D569)),IF(N569="","Erro",IF(Q569="Reprovado","",WORKDAY(N569,IF(D569="Operacional",10,3),FERIADOS!$A$3:$A$119))),"-")),"-")</f>
        <v>Reprovado</v>
      </c>
      <c r="P569" s="21"/>
      <c r="Q569" s="7" t="s">
        <v>81</v>
      </c>
      <c r="R569" s="13"/>
      <c r="S569" s="30"/>
      <c r="T569" s="43"/>
      <c r="W569" t="str">
        <f t="shared" si="236"/>
        <v>CDIPoço SPH-20 (P-5)Poço CG</v>
      </c>
      <c r="X5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0" spans="1:24" ht="12.5" x14ac:dyDescent="0.25">
      <c r="A570" s="10"/>
      <c r="B570" s="19" t="s">
        <v>31</v>
      </c>
      <c r="C570" s="5" t="s">
        <v>95</v>
      </c>
      <c r="D570" s="20" t="s">
        <v>29</v>
      </c>
      <c r="E570" s="35"/>
      <c r="F570" s="29" cm="1">
        <f t="array" ref="F570">IF(V570 &lt;&gt; "", V570, IFERROR(_xlfn.SINGLE(INDEX($G$1:G569,SUMPRODUCT(MAX(($W$1:W569=W570)*(ROW($W$1:W569))))))+IF(D570="Fiscal",30,90),""))</f>
        <v>45964</v>
      </c>
      <c r="G570" s="21">
        <v>45959</v>
      </c>
      <c r="H570" s="15">
        <f t="shared" si="246"/>
        <v>45969</v>
      </c>
      <c r="I570" s="15">
        <v>45964</v>
      </c>
      <c r="J570" s="32" t="s">
        <v>186</v>
      </c>
      <c r="K570" s="15">
        <f t="shared" si="247"/>
        <v>45979</v>
      </c>
      <c r="L570" s="15">
        <v>45979</v>
      </c>
      <c r="M570" s="15">
        <f t="shared" si="248"/>
        <v>45984</v>
      </c>
      <c r="N570" s="13">
        <v>45982</v>
      </c>
      <c r="O570" s="2" t="str">
        <f>IFERROR(IF(tblColetas[[#This Row],[Status Coleta]]="Reprovado","Reprovado",IF(ISERROR(SEARCH("Poço",D570)),IF(N570="","Erro",IF(Q570="Reprovado","",WORKDAY(N570,IF(D570="Operacional",10,3),FERIADOS!$A$3:$A$119))),"-")),"-")</f>
        <v>-</v>
      </c>
      <c r="P570" s="21"/>
      <c r="Q570" s="7" t="s">
        <v>37</v>
      </c>
      <c r="R570" s="13"/>
      <c r="S570" s="30"/>
      <c r="T570" s="43"/>
      <c r="W570" t="str">
        <f t="shared" si="236"/>
        <v>CDIPoço SPH-20 (P-5)Poço PVT</v>
      </c>
      <c r="X5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1" spans="1:24" ht="12.5" x14ac:dyDescent="0.25">
      <c r="A571" s="10"/>
      <c r="B571" s="19" t="s">
        <v>38</v>
      </c>
      <c r="C571" s="5" t="s">
        <v>50</v>
      </c>
      <c r="D571" s="20" t="s">
        <v>29</v>
      </c>
      <c r="E571" s="35"/>
      <c r="F571" s="29" cm="1">
        <f t="array" ref="F571">IF(V571 &lt;&gt; "", V571, IFERROR(_xlfn.SINGLE(INDEX($G$1:G570,SUMPRODUCT(MAX(($W$1:W570=W571)*(ROW($W$1:W570))))))+IF(D571="Fiscal",30,90),""))</f>
        <v>45964</v>
      </c>
      <c r="G571" s="21">
        <v>45931</v>
      </c>
      <c r="H571" s="15">
        <f t="shared" si="246"/>
        <v>45941</v>
      </c>
      <c r="I571" s="15">
        <v>45935</v>
      </c>
      <c r="J571" s="32" t="s">
        <v>203</v>
      </c>
      <c r="K571" s="15">
        <f t="shared" si="247"/>
        <v>45951</v>
      </c>
      <c r="L571" s="15">
        <v>45945</v>
      </c>
      <c r="M571" s="15">
        <f t="shared" si="248"/>
        <v>45956</v>
      </c>
      <c r="N571" s="13">
        <v>45954</v>
      </c>
      <c r="O571" s="2" t="str">
        <f>IFERROR(IF(tblColetas[[#This Row],[Status Coleta]]="Reprovado","Reprovado",IF(ISERROR(SEARCH("Poço",D571)),IF(N571="","Erro",IF(Q571="Reprovado","",WORKDAY(N571,IF(D571="Operacional",10,3),FERIADOS!$A$3:$A$119))),"-")),"-")</f>
        <v>-</v>
      </c>
      <c r="P571" s="21"/>
      <c r="Q571" s="7"/>
      <c r="R571" s="13"/>
      <c r="S571" s="30"/>
      <c r="T571" s="43"/>
      <c r="W571" t="str">
        <f t="shared" si="236"/>
        <v>CDPPoço LL-28 (P-1)Poço PVT</v>
      </c>
      <c r="X5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2" spans="1:24" ht="12.5" x14ac:dyDescent="0.25">
      <c r="A572" s="8"/>
      <c r="B572" s="19" t="s">
        <v>38</v>
      </c>
      <c r="C572" s="5" t="s">
        <v>50</v>
      </c>
      <c r="D572" s="20" t="s">
        <v>26</v>
      </c>
      <c r="E572" s="35"/>
      <c r="F572" s="29" cm="1">
        <f t="array" ref="F572">IF(V572 &lt;&gt; "", V572, IFERROR(_xlfn.SINGLE(INDEX($G$1:G571,SUMPRODUCT(MAX(($W$1:W571=W572)*(ROW($W$1:W571))))))+IF(D572="Fiscal",30,90),""))</f>
        <v>45964</v>
      </c>
      <c r="G572" s="21">
        <v>45931</v>
      </c>
      <c r="H572" s="15">
        <f t="shared" si="246"/>
        <v>45941</v>
      </c>
      <c r="I572" s="15">
        <v>45935</v>
      </c>
      <c r="J572" s="32" t="s">
        <v>203</v>
      </c>
      <c r="K572" s="15">
        <f t="shared" si="247"/>
        <v>45951</v>
      </c>
      <c r="L572" s="15">
        <v>45945</v>
      </c>
      <c r="M572" s="15">
        <f t="shared" si="248"/>
        <v>45956</v>
      </c>
      <c r="N572" s="13">
        <v>45954</v>
      </c>
      <c r="O572" s="2" t="str">
        <f>IFERROR(IF(tblColetas[[#This Row],[Status Coleta]]="Reprovado","Reprovado",IF(ISERROR(SEARCH("Poço",D572)),IF(N572="","Erro",IF(Q572="Reprovado","",WORKDAY(N572,IF(D572="Operacional",10,3),FERIADOS!$A$3:$A$119))),"-")),"-")</f>
        <v>-</v>
      </c>
      <c r="P572" s="21"/>
      <c r="Q572" s="7"/>
      <c r="R572" s="13"/>
      <c r="S572" s="30"/>
      <c r="T572" s="43"/>
      <c r="W572" t="str">
        <f t="shared" si="236"/>
        <v>CDPPoço LL-28 (P-1)Poço CG</v>
      </c>
      <c r="X5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3" spans="1:24" ht="12.5" x14ac:dyDescent="0.25">
      <c r="A573" s="19"/>
      <c r="B573" s="19" t="s">
        <v>24</v>
      </c>
      <c r="C573" s="5" t="s">
        <v>76</v>
      </c>
      <c r="D573" s="20" t="s">
        <v>72</v>
      </c>
      <c r="E573" s="35"/>
      <c r="F573" s="29" cm="1">
        <f t="array" ref="F573">IF(V573 &lt;&gt; "", V573, IFERROR(_xlfn.SINGLE(INDEX($G$1:G572,SUMPRODUCT(MAX(($W$1:W572=W573)*(ROW($W$1:W572))))))+IF(D573="Fiscal",30,90),""))</f>
        <v>45881</v>
      </c>
      <c r="G573" s="21">
        <v>45879</v>
      </c>
      <c r="H573" s="15">
        <f t="shared" ref="H573:H583" si="249">IF(G573="","Erro", G573+10)</f>
        <v>45889</v>
      </c>
      <c r="I573" s="15">
        <v>45883</v>
      </c>
      <c r="J573" s="32" t="s">
        <v>126</v>
      </c>
      <c r="K573" s="15">
        <f t="shared" ref="K573:K583" si="250">IF(G573="","Erro",G573+20)</f>
        <v>45899</v>
      </c>
      <c r="L573" s="15">
        <v>45890</v>
      </c>
      <c r="M573" s="15">
        <f t="shared" ref="M573:M583" si="251">IF(G573="","Erro",G573+IF(D573="Operacional",45,25))</f>
        <v>45904</v>
      </c>
      <c r="N573" s="13">
        <v>45904</v>
      </c>
      <c r="O573" s="2">
        <f>IFERROR(IF(tblColetas[[#This Row],[Status Coleta]]="Reprovado","Reprovado",IF(ISERROR(SEARCH("Poço",D573)),IF(N573="","Erro",IF(Q573="Reprovado","",WORKDAY(N573,IF(D573="Operacional",10,3),FERIADOS!$A$3:$A$119))),"-")),"-")</f>
        <v>45909</v>
      </c>
      <c r="P573" s="21">
        <v>45909</v>
      </c>
      <c r="Q573" s="7" t="s">
        <v>37</v>
      </c>
      <c r="R573" s="13"/>
      <c r="S573" s="30"/>
      <c r="T573" s="43"/>
      <c r="W573" t="str">
        <f t="shared" ref="W573:W583" si="252">B573&amp;C573&amp;D573</f>
        <v>CDAM74-FT-005 (Export gas)Fiscal</v>
      </c>
      <c r="X5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4" spans="1:24" ht="12.5" x14ac:dyDescent="0.25">
      <c r="A574" s="19"/>
      <c r="B574" s="19" t="s">
        <v>24</v>
      </c>
      <c r="C574" s="5" t="s">
        <v>78</v>
      </c>
      <c r="D574" s="20" t="s">
        <v>72</v>
      </c>
      <c r="E574" s="35"/>
      <c r="F574" s="29" cm="1">
        <f t="array" ref="F574">IF(V574 &lt;&gt; "", V574, IFERROR(_xlfn.SINGLE(INDEX($G$1:G573,SUMPRODUCT(MAX(($W$1:W573=W574)*(ROW($W$1:W573))))))+IF(D574="Fiscal",30,90),""))</f>
        <v>45881</v>
      </c>
      <c r="G574" s="21">
        <v>45879</v>
      </c>
      <c r="H574" s="15">
        <f t="shared" si="249"/>
        <v>45889</v>
      </c>
      <c r="I574" s="15">
        <v>45883</v>
      </c>
      <c r="J574" s="32" t="s">
        <v>126</v>
      </c>
      <c r="K574" s="15">
        <f t="shared" si="250"/>
        <v>45899</v>
      </c>
      <c r="L574" s="15">
        <v>45890</v>
      </c>
      <c r="M574" s="15">
        <f t="shared" si="251"/>
        <v>45904</v>
      </c>
      <c r="N574" s="13">
        <v>45904</v>
      </c>
      <c r="O574" s="2">
        <f>IFERROR(IF(tblColetas[[#This Row],[Status Coleta]]="Reprovado","Reprovado",IF(ISERROR(SEARCH("Poço",D574)),IF(N574="","Erro",IF(Q574="Reprovado","",WORKDAY(N574,IF(D574="Operacional",10,3),FERIADOS!$A$3:$A$119))),"-")),"-")</f>
        <v>45909</v>
      </c>
      <c r="P574" s="21">
        <v>45909</v>
      </c>
      <c r="Q574" s="7" t="s">
        <v>37</v>
      </c>
      <c r="R574" s="13"/>
      <c r="S574" s="30"/>
      <c r="T574" s="43"/>
      <c r="W574" t="str">
        <f t="shared" si="252"/>
        <v>CDAT77-FT-001 (Fuel Gas)Fiscal</v>
      </c>
      <c r="X5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5" spans="1:24" ht="12.5" x14ac:dyDescent="0.25">
      <c r="A575" s="8"/>
      <c r="B575" s="8" t="s">
        <v>31</v>
      </c>
      <c r="C575" s="5" t="s">
        <v>122</v>
      </c>
      <c r="D575" s="9" t="s">
        <v>72</v>
      </c>
      <c r="E575" s="36"/>
      <c r="F575" s="29" cm="1">
        <f t="array" ref="F575">IF(V575 &lt;&gt; "", V575, IFERROR(_xlfn.SINGLE(INDEX($G$1:G574,SUMPRODUCT(MAX(($W$1:W574=W575)*(ROW($W$1:W574))))))+IF(D575="Fiscal",30,90),""))</f>
        <v>45904</v>
      </c>
      <c r="G575" s="13">
        <v>45904</v>
      </c>
      <c r="H575" s="15">
        <f t="shared" si="249"/>
        <v>45914</v>
      </c>
      <c r="I575" s="15"/>
      <c r="J575" s="32"/>
      <c r="K575" s="15">
        <f t="shared" si="250"/>
        <v>45924</v>
      </c>
      <c r="L575" s="15"/>
      <c r="M575" s="15">
        <f t="shared" si="251"/>
        <v>45929</v>
      </c>
      <c r="N575" s="13">
        <v>45929</v>
      </c>
      <c r="O575" s="2">
        <f>IFERROR(IF(tblColetas[[#This Row],[Status Coleta]]="Reprovado","Reprovado",IF(ISERROR(SEARCH("Poço",D575)),IF(N575="","Erro",IF(Q575="Reprovado","",WORKDAY(N575,IF(D575="Operacional",10,3),FERIADOS!$A$3:$A$119))),"-")),"-")</f>
        <v>45932</v>
      </c>
      <c r="P575" s="13">
        <v>45932</v>
      </c>
      <c r="Q575" s="7" t="s">
        <v>37</v>
      </c>
      <c r="R575" s="13"/>
      <c r="S575" s="30"/>
      <c r="T575" s="43"/>
      <c r="W575" t="str">
        <f t="shared" si="252"/>
        <v>CDIT77-FT-6911 (Export gas)Fiscal</v>
      </c>
      <c r="X5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6" spans="1:24" ht="12.5" x14ac:dyDescent="0.25">
      <c r="A576" s="8"/>
      <c r="B576" s="8" t="s">
        <v>31</v>
      </c>
      <c r="C576" s="5" t="s">
        <v>71</v>
      </c>
      <c r="D576" s="9" t="s">
        <v>72</v>
      </c>
      <c r="E576" s="36"/>
      <c r="F576" s="29" cm="1">
        <f t="array" ref="F576">IF(V576 &lt;&gt; "", V576, IFERROR(_xlfn.SINGLE(INDEX($G$1:G575,SUMPRODUCT(MAX(($W$1:W575=W576)*(ROW($W$1:W575))))))+IF(D576="Fiscal",30,90),""))</f>
        <v>45905</v>
      </c>
      <c r="G576" s="13">
        <v>45905</v>
      </c>
      <c r="H576" s="15">
        <f t="shared" si="249"/>
        <v>45915</v>
      </c>
      <c r="I576" s="15"/>
      <c r="J576" s="32"/>
      <c r="K576" s="15">
        <f t="shared" si="250"/>
        <v>45925</v>
      </c>
      <c r="L576" s="15"/>
      <c r="M576" s="15">
        <f t="shared" si="251"/>
        <v>45930</v>
      </c>
      <c r="N576" s="13">
        <v>45930</v>
      </c>
      <c r="O576" s="2">
        <f>IFERROR(IF(tblColetas[[#This Row],[Status Coleta]]="Reprovado","Reprovado",IF(ISERROR(SEARCH("Poço",D576)),IF(N576="","Erro",IF(Q576="Reprovado","",WORKDAY(N576,IF(D576="Operacional",10,3),FERIADOS!$A$3:$A$119))),"-")),"-")</f>
        <v>45933</v>
      </c>
      <c r="P576" s="13">
        <v>45932</v>
      </c>
      <c r="Q576" s="7" t="s">
        <v>37</v>
      </c>
      <c r="R576" s="13"/>
      <c r="S576" s="30"/>
      <c r="T576" s="43"/>
      <c r="W576" t="str">
        <f t="shared" si="252"/>
        <v>CDIT77-FT-0103 (Fuel Gas)Fiscal</v>
      </c>
      <c r="X5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7" spans="1:24" ht="12.5" x14ac:dyDescent="0.25">
      <c r="A577" s="8"/>
      <c r="B577" s="8" t="s">
        <v>31</v>
      </c>
      <c r="C577" s="5" t="s">
        <v>74</v>
      </c>
      <c r="D577" s="9" t="s">
        <v>72</v>
      </c>
      <c r="E577" s="36"/>
      <c r="F577" s="29" cm="1">
        <f t="array" ref="F577">IF(V577 &lt;&gt; "", V577, IFERROR(_xlfn.SINGLE(INDEX($G$1:G576,SUMPRODUCT(MAX(($W$1:W576=W577)*(ROW($W$1:W576))))))+IF(D577="Fiscal",30,90),""))</f>
        <v>45906</v>
      </c>
      <c r="G577" s="13">
        <v>45905</v>
      </c>
      <c r="H577" s="15">
        <f t="shared" si="249"/>
        <v>45915</v>
      </c>
      <c r="I577" s="15"/>
      <c r="J577" s="32"/>
      <c r="K577" s="15">
        <f t="shared" si="250"/>
        <v>45925</v>
      </c>
      <c r="L577" s="15"/>
      <c r="M577" s="15">
        <f t="shared" si="251"/>
        <v>45930</v>
      </c>
      <c r="N577" s="13">
        <v>45930</v>
      </c>
      <c r="O577" s="2">
        <f>IFERROR(IF(tblColetas[[#This Row],[Status Coleta]]="Reprovado","Reprovado",IF(ISERROR(SEARCH("Poço",D577)),IF(N577="","Erro",IF(Q577="Reprovado","",WORKDAY(N577,IF(D577="Operacional",10,3),FERIADOS!$A$3:$A$119))),"-")),"-")</f>
        <v>45933</v>
      </c>
      <c r="P577" s="13">
        <v>45932</v>
      </c>
      <c r="Q577" s="7" t="s">
        <v>37</v>
      </c>
      <c r="R577" s="13"/>
      <c r="S577" s="30"/>
      <c r="T577" s="43"/>
      <c r="W577" t="str">
        <f t="shared" si="252"/>
        <v>CDIT76-FT-0014 (HP Flare)Fiscal</v>
      </c>
      <c r="X5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8" spans="1:24" ht="12.5" x14ac:dyDescent="0.25">
      <c r="A578" s="8"/>
      <c r="B578" s="8" t="s">
        <v>31</v>
      </c>
      <c r="C578" s="5" t="s">
        <v>75</v>
      </c>
      <c r="D578" s="9" t="s">
        <v>72</v>
      </c>
      <c r="E578" s="36"/>
      <c r="F578" s="29" cm="1">
        <f t="array" ref="F578">IF(V578 &lt;&gt; "", V578, IFERROR(_xlfn.SINGLE(INDEX($G$1:G577,SUMPRODUCT(MAX(($W$1:W577=W578)*(ROW($W$1:W577))))))+IF(D578="Fiscal",30,90),""))</f>
        <v>45906</v>
      </c>
      <c r="G578" s="13">
        <v>45905</v>
      </c>
      <c r="H578" s="15">
        <f t="shared" si="249"/>
        <v>45915</v>
      </c>
      <c r="I578" s="15"/>
      <c r="J578" s="32"/>
      <c r="K578" s="15">
        <f t="shared" si="250"/>
        <v>45925</v>
      </c>
      <c r="L578" s="15"/>
      <c r="M578" s="15">
        <f t="shared" si="251"/>
        <v>45930</v>
      </c>
      <c r="N578" s="13">
        <v>45930</v>
      </c>
      <c r="O578" s="2">
        <f>IFERROR(IF(tblColetas[[#This Row],[Status Coleta]]="Reprovado","Reprovado",IF(ISERROR(SEARCH("Poço",D578)),IF(N578="","Erro",IF(Q578="Reprovado","",WORKDAY(N578,IF(D578="Operacional",10,3),FERIADOS!$A$3:$A$119))),"-")),"-")</f>
        <v>45933</v>
      </c>
      <c r="P578" s="13">
        <v>45932</v>
      </c>
      <c r="Q578" s="7" t="s">
        <v>37</v>
      </c>
      <c r="R578" s="13"/>
      <c r="S578" s="30"/>
      <c r="T578" s="43"/>
      <c r="W578" t="str">
        <f t="shared" si="252"/>
        <v>CDIT76-FT-0034 (LP Flare)Fiscal</v>
      </c>
      <c r="X5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79" spans="1:24" ht="12.5" x14ac:dyDescent="0.25">
      <c r="A579" s="8"/>
      <c r="B579" s="8" t="s">
        <v>31</v>
      </c>
      <c r="C579" s="5" t="s">
        <v>69</v>
      </c>
      <c r="D579" s="9" t="s">
        <v>70</v>
      </c>
      <c r="E579" s="36"/>
      <c r="F579" s="29" cm="1">
        <f t="array" ref="F579">IF(V579 &lt;&gt; "", V579, IFERROR(_xlfn.SINGLE(INDEX($G$1:G578,SUMPRODUCT(MAX(($W$1:W578=W579)*(ROW($W$1:W578))))))+IF(D579="Fiscal",30,90),""))</f>
        <v>45964</v>
      </c>
      <c r="G579" s="13">
        <v>45932</v>
      </c>
      <c r="H579" s="15">
        <f t="shared" si="249"/>
        <v>45942</v>
      </c>
      <c r="I579" s="15"/>
      <c r="J579" s="32"/>
      <c r="K579" s="15">
        <f t="shared" si="250"/>
        <v>45952</v>
      </c>
      <c r="L579" s="15"/>
      <c r="M579" s="15">
        <f t="shared" si="251"/>
        <v>45957</v>
      </c>
      <c r="N579" s="13">
        <v>45957</v>
      </c>
      <c r="O579" s="2">
        <f>IFERROR(IF(tblColetas[[#This Row],[Status Coleta]]="Reprovado","Reprovado",IF(ISERROR(SEARCH("Poço",D579)),IF(N579="","Erro",IF(Q579="Reprovado","",WORKDAY(N579,IF(D579="Operacional",10,3),FERIADOS!$A$3:$A$119))),"-")),"-")</f>
        <v>45960</v>
      </c>
      <c r="P579" s="13">
        <v>45959</v>
      </c>
      <c r="Q579" s="7" t="s">
        <v>37</v>
      </c>
      <c r="R579" s="13"/>
      <c r="S579" s="30"/>
      <c r="T579" s="43"/>
      <c r="W579" t="str">
        <f t="shared" si="252"/>
        <v>CDIT73-AP-0001 (Gas Lift)Gas Lift</v>
      </c>
      <c r="X5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0" spans="1:24" ht="12.5" x14ac:dyDescent="0.25">
      <c r="A580" s="8"/>
      <c r="B580" s="8" t="s">
        <v>34</v>
      </c>
      <c r="C580" s="5" t="s">
        <v>71</v>
      </c>
      <c r="D580" s="9" t="s">
        <v>72</v>
      </c>
      <c r="E580" s="36"/>
      <c r="F580" s="29" cm="1">
        <f t="array" ref="F580">IF(V580 &lt;&gt; "", V580, IFERROR(_xlfn.SINGLE(INDEX($G$1:G579,SUMPRODUCT(MAX(($W$1:W579=W580)*(ROW($W$1:W579))))))+IF(D580="Fiscal",30,90),""))</f>
        <v>45905</v>
      </c>
      <c r="G580" s="13">
        <v>45903</v>
      </c>
      <c r="H580" s="15">
        <f t="shared" si="249"/>
        <v>45913</v>
      </c>
      <c r="I580" s="15"/>
      <c r="J580" s="32"/>
      <c r="K580" s="15">
        <f t="shared" si="250"/>
        <v>45923</v>
      </c>
      <c r="L580" s="15"/>
      <c r="M580" s="15">
        <f t="shared" si="251"/>
        <v>45928</v>
      </c>
      <c r="N580" s="13">
        <v>45926</v>
      </c>
      <c r="O580" s="2">
        <f>IFERROR(IF(tblColetas[[#This Row],[Status Coleta]]="Reprovado","Reprovado",IF(ISERROR(SEARCH("Poço",D580)),IF(N580="","Erro",IF(Q580="Reprovado","",WORKDAY(N580,IF(D580="Operacional",10,3),FERIADOS!$A$3:$A$119))),"-")),"-")</f>
        <v>45931</v>
      </c>
      <c r="P580" s="13">
        <v>45930</v>
      </c>
      <c r="Q580" s="7" t="s">
        <v>37</v>
      </c>
      <c r="R580" s="13"/>
      <c r="S580" s="30"/>
      <c r="T580" s="43"/>
      <c r="W580" t="str">
        <f t="shared" si="252"/>
        <v>CDST77-FT-0103 (Fuel Gas)Fiscal</v>
      </c>
      <c r="X5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1" spans="1:24" ht="12.5" x14ac:dyDescent="0.25">
      <c r="A581" s="8"/>
      <c r="B581" s="8" t="s">
        <v>34</v>
      </c>
      <c r="C581" s="5" t="s">
        <v>73</v>
      </c>
      <c r="D581" s="9" t="s">
        <v>72</v>
      </c>
      <c r="E581" s="36"/>
      <c r="F581" s="29" cm="1">
        <f t="array" ref="F581">IF(V581 &lt;&gt; "", V581, IFERROR(_xlfn.SINGLE(INDEX($G$1:G580,SUMPRODUCT(MAX(($W$1:W580=W581)*(ROW($W$1:W580))))))+IF(D581="Fiscal",30,90),""))</f>
        <v>45905</v>
      </c>
      <c r="G581" s="13">
        <v>45903</v>
      </c>
      <c r="H581" s="15">
        <f t="shared" si="249"/>
        <v>45913</v>
      </c>
      <c r="I581" s="15"/>
      <c r="J581" s="32"/>
      <c r="K581" s="15">
        <f t="shared" si="250"/>
        <v>45923</v>
      </c>
      <c r="L581" s="15"/>
      <c r="M581" s="15">
        <f t="shared" si="251"/>
        <v>45928</v>
      </c>
      <c r="N581" s="13">
        <v>45926</v>
      </c>
      <c r="O581" s="2">
        <f>IFERROR(IF(tblColetas[[#This Row],[Status Coleta]]="Reprovado","Reprovado",IF(ISERROR(SEARCH("Poço",D581)),IF(N581="","Erro",IF(Q581="Reprovado","",WORKDAY(N581,IF(D581="Operacional",10,3),FERIADOS!$A$3:$A$119))),"-")),"-")</f>
        <v>45931</v>
      </c>
      <c r="P581" s="13">
        <v>45930</v>
      </c>
      <c r="Q581" s="7" t="s">
        <v>37</v>
      </c>
      <c r="R581" s="13"/>
      <c r="S581" s="30"/>
      <c r="T581" s="43"/>
      <c r="W581" t="str">
        <f t="shared" si="252"/>
        <v>CDST74-AX-6911 (Export Gas)Fiscal</v>
      </c>
      <c r="X5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2" spans="1:24" ht="12.5" x14ac:dyDescent="0.25">
      <c r="A582" s="8"/>
      <c r="B582" s="8" t="s">
        <v>34</v>
      </c>
      <c r="C582" s="5" t="s">
        <v>74</v>
      </c>
      <c r="D582" s="9" t="s">
        <v>72</v>
      </c>
      <c r="E582" s="36"/>
      <c r="F582" s="29" cm="1">
        <f t="array" ref="F582">IF(V582 &lt;&gt; "", V582, IFERROR(_xlfn.SINGLE(INDEX($G$1:G581,SUMPRODUCT(MAX(($W$1:W581=W582)*(ROW($W$1:W581))))))+IF(D582="Fiscal",30,90),""))</f>
        <v>45905</v>
      </c>
      <c r="G582" s="13">
        <v>45903</v>
      </c>
      <c r="H582" s="15">
        <f t="shared" si="249"/>
        <v>45913</v>
      </c>
      <c r="I582" s="15"/>
      <c r="J582" s="32"/>
      <c r="K582" s="15">
        <f t="shared" si="250"/>
        <v>45923</v>
      </c>
      <c r="L582" s="15"/>
      <c r="M582" s="15">
        <f t="shared" si="251"/>
        <v>45928</v>
      </c>
      <c r="N582" s="13">
        <v>45926</v>
      </c>
      <c r="O582" s="2">
        <f>IFERROR(IF(tblColetas[[#This Row],[Status Coleta]]="Reprovado","Reprovado",IF(ISERROR(SEARCH("Poço",D582)),IF(N582="","Erro",IF(Q582="Reprovado","",WORKDAY(N582,IF(D582="Operacional",10,3),FERIADOS!$A$3:$A$119))),"-")),"-")</f>
        <v>45931</v>
      </c>
      <c r="P582" s="13">
        <v>45930</v>
      </c>
      <c r="Q582" s="7" t="s">
        <v>37</v>
      </c>
      <c r="R582" s="13"/>
      <c r="S582" s="30"/>
      <c r="T582" s="43"/>
      <c r="W582" t="str">
        <f t="shared" si="252"/>
        <v>CDST76-FT-0014 (HP Flare)Fiscal</v>
      </c>
      <c r="X5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3" spans="1:24" ht="12.5" x14ac:dyDescent="0.25">
      <c r="A583" s="8"/>
      <c r="B583" s="8" t="s">
        <v>34</v>
      </c>
      <c r="C583" s="5" t="s">
        <v>75</v>
      </c>
      <c r="D583" s="9" t="s">
        <v>72</v>
      </c>
      <c r="E583" s="36"/>
      <c r="F583" s="29" cm="1">
        <f t="array" ref="F583">IF(V583 &lt;&gt; "", V583, IFERROR(_xlfn.SINGLE(INDEX($G$1:G582,SUMPRODUCT(MAX(($W$1:W582=W583)*(ROW($W$1:W582))))))+IF(D583="Fiscal",30,90),""))</f>
        <v>45905</v>
      </c>
      <c r="G583" s="13">
        <v>45903</v>
      </c>
      <c r="H583" s="15">
        <f t="shared" si="249"/>
        <v>45913</v>
      </c>
      <c r="I583" s="15"/>
      <c r="J583" s="32"/>
      <c r="K583" s="15">
        <f t="shared" si="250"/>
        <v>45923</v>
      </c>
      <c r="L583" s="15"/>
      <c r="M583" s="15">
        <f t="shared" si="251"/>
        <v>45928</v>
      </c>
      <c r="N583" s="13">
        <v>45926</v>
      </c>
      <c r="O583" s="2">
        <f>IFERROR(IF(tblColetas[[#This Row],[Status Coleta]]="Reprovado","Reprovado",IF(ISERROR(SEARCH("Poço",D583)),IF(N583="","Erro",IF(Q583="Reprovado","",WORKDAY(N583,IF(D583="Operacional",10,3),FERIADOS!$A$3:$A$119))),"-")),"-")</f>
        <v>45931</v>
      </c>
      <c r="P583" s="13">
        <v>45930</v>
      </c>
      <c r="Q583" s="7" t="s">
        <v>37</v>
      </c>
      <c r="R583" s="13"/>
      <c r="S583" s="30"/>
      <c r="T583" s="43"/>
      <c r="W583" t="str">
        <f t="shared" si="252"/>
        <v>CDST76-FT-0034 (LP Flare)Fiscal</v>
      </c>
      <c r="X5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4" spans="1:24" ht="12.5" x14ac:dyDescent="0.25">
      <c r="A584" s="8"/>
      <c r="B584" s="8" t="s">
        <v>24</v>
      </c>
      <c r="C584" s="5" t="s">
        <v>76</v>
      </c>
      <c r="D584" s="9" t="s">
        <v>72</v>
      </c>
      <c r="E584" s="36"/>
      <c r="F584" s="29" cm="1">
        <f t="array" ref="F584">IF(V584 &lt;&gt; "", V584, IFERROR(_xlfn.SINGLE(INDEX($G$1:G583,SUMPRODUCT(MAX(($W$1:W583=W584)*(ROW($W$1:W583))))))+IF(D584="Fiscal",30,90),""))</f>
        <v>45909</v>
      </c>
      <c r="G584" s="13">
        <v>45908</v>
      </c>
      <c r="H584" s="15">
        <f t="shared" ref="H584:H596" si="253">IF(G584="","Erro", G584+10)</f>
        <v>45918</v>
      </c>
      <c r="I584" s="15">
        <v>45918</v>
      </c>
      <c r="J584" s="32" t="s">
        <v>218</v>
      </c>
      <c r="K584" s="15">
        <f t="shared" ref="K584:K596" si="254">IF(G584="","Erro",G584+20)</f>
        <v>45928</v>
      </c>
      <c r="L584" s="15">
        <v>45925</v>
      </c>
      <c r="M584" s="15">
        <f t="shared" ref="M584:M596" si="255">IF(G584="","Erro",G584+IF(D584="Operacional",45,25))</f>
        <v>45933</v>
      </c>
      <c r="N584" s="13">
        <v>45933</v>
      </c>
      <c r="O584" s="2">
        <f>IFERROR(IF(tblColetas[[#This Row],[Status Coleta]]="Reprovado","Reprovado",IF(ISERROR(SEARCH("Poço",D584)),IF(N584="","Erro",IF(Q584="Reprovado","",WORKDAY(N584,IF(D584="Operacional",10,3),FERIADOS!$A$3:$A$119))),"-")),"-")</f>
        <v>45938</v>
      </c>
      <c r="P584" s="13">
        <v>45937</v>
      </c>
      <c r="Q584" s="7" t="s">
        <v>37</v>
      </c>
      <c r="R584" s="13"/>
      <c r="S584" s="30"/>
      <c r="T584" s="43"/>
      <c r="W584" t="str">
        <f t="shared" ref="W584:W596" si="256">B584&amp;C584&amp;D584</f>
        <v>CDAM74-FT-005 (Export gas)Fiscal</v>
      </c>
      <c r="X5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5" spans="1:24" ht="12.5" x14ac:dyDescent="0.25">
      <c r="A585" s="8"/>
      <c r="B585" s="8" t="s">
        <v>24</v>
      </c>
      <c r="C585" s="5" t="s">
        <v>78</v>
      </c>
      <c r="D585" s="9" t="s">
        <v>72</v>
      </c>
      <c r="E585" s="36"/>
      <c r="F585" s="29" cm="1">
        <f t="array" ref="F585">IF(V585 &lt;&gt; "", V585, IFERROR(_xlfn.SINGLE(INDEX($G$1:G584,SUMPRODUCT(MAX(($W$1:W584=W585)*(ROW($W$1:W584))))))+IF(D585="Fiscal",30,90),""))</f>
        <v>45909</v>
      </c>
      <c r="G585" s="13">
        <v>45908</v>
      </c>
      <c r="H585" s="15">
        <f t="shared" si="253"/>
        <v>45918</v>
      </c>
      <c r="I585" s="15">
        <v>45918</v>
      </c>
      <c r="J585" s="32" t="s">
        <v>218</v>
      </c>
      <c r="K585" s="15">
        <f t="shared" si="254"/>
        <v>45928</v>
      </c>
      <c r="L585" s="15">
        <v>45925</v>
      </c>
      <c r="M585" s="15">
        <f t="shared" si="255"/>
        <v>45933</v>
      </c>
      <c r="N585" s="13">
        <v>45933</v>
      </c>
      <c r="O585" s="2">
        <f>IFERROR(IF(tblColetas[[#This Row],[Status Coleta]]="Reprovado","Reprovado",IF(ISERROR(SEARCH("Poço",D585)),IF(N585="","Erro",IF(Q585="Reprovado","",WORKDAY(N585,IF(D585="Operacional",10,3),FERIADOS!$A$3:$A$119))),"-")),"-")</f>
        <v>45938</v>
      </c>
      <c r="P585" s="13">
        <v>45937</v>
      </c>
      <c r="Q585" s="7" t="s">
        <v>37</v>
      </c>
      <c r="R585" s="13"/>
      <c r="S585" s="30"/>
      <c r="T585" s="43"/>
      <c r="W585" t="str">
        <f t="shared" si="256"/>
        <v>CDAT77-FT-001 (Fuel Gas)Fiscal</v>
      </c>
      <c r="X5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6" spans="1:24" ht="12.5" x14ac:dyDescent="0.25">
      <c r="A586" s="8"/>
      <c r="B586" s="8" t="s">
        <v>145</v>
      </c>
      <c r="C586" s="5" t="s">
        <v>146</v>
      </c>
      <c r="D586" s="9" t="s">
        <v>72</v>
      </c>
      <c r="E586" s="36"/>
      <c r="F586" s="29" cm="1">
        <f t="array" ref="F586">IF(V586 &lt;&gt; "", V586, IFERROR(_xlfn.SINGLE(INDEX($G$1:G585,SUMPRODUCT(MAX(($W$1:W585=W586)*(ROW($W$1:W585))))))+IF(D586="Fiscal",30,90),""))</f>
        <v>45907</v>
      </c>
      <c r="G586" s="13">
        <v>45905</v>
      </c>
      <c r="H586" s="15">
        <f t="shared" si="253"/>
        <v>45915</v>
      </c>
      <c r="I586" s="15"/>
      <c r="J586" s="32"/>
      <c r="K586" s="15">
        <f t="shared" si="254"/>
        <v>45925</v>
      </c>
      <c r="L586" s="15"/>
      <c r="M586" s="15">
        <f t="shared" si="255"/>
        <v>45930</v>
      </c>
      <c r="N586" s="13">
        <v>45930</v>
      </c>
      <c r="O586" s="2">
        <f>IFERROR(IF(tblColetas[[#This Row],[Status Coleta]]="Reprovado","Reprovado",IF(ISERROR(SEARCH("Poço",D586)),IF(N586="","Erro",IF(Q586="Reprovado","",WORKDAY(N586,IF(D586="Operacional",10,3),FERIADOS!$A$3:$A$119))),"-")),"-")</f>
        <v>45933</v>
      </c>
      <c r="P586" s="13">
        <v>45932</v>
      </c>
      <c r="Q586" s="7" t="s">
        <v>37</v>
      </c>
      <c r="R586" s="13"/>
      <c r="S586" s="30"/>
      <c r="T586" s="43"/>
      <c r="W586" t="str">
        <f t="shared" si="256"/>
        <v>ATD777-AP-1403 (Fuel Gas to Flare Stack)Fiscal</v>
      </c>
      <c r="X5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7" spans="1:24" ht="12.5" x14ac:dyDescent="0.25">
      <c r="A587" s="8"/>
      <c r="B587" s="8" t="s">
        <v>145</v>
      </c>
      <c r="C587" s="5" t="s">
        <v>147</v>
      </c>
      <c r="D587" s="9" t="s">
        <v>72</v>
      </c>
      <c r="E587" s="36"/>
      <c r="F587" s="29" cm="1">
        <f t="array" ref="F587">IF(V587 &lt;&gt; "", V587, IFERROR(_xlfn.SINGLE(INDEX($G$1:G586,SUMPRODUCT(MAX(($W$1:W586=W587)*(ROW($W$1:W586))))))+IF(D587="Fiscal",30,90),""))</f>
        <v>45907</v>
      </c>
      <c r="G587" s="13">
        <v>45905</v>
      </c>
      <c r="H587" s="15">
        <f t="shared" si="253"/>
        <v>45915</v>
      </c>
      <c r="I587" s="15"/>
      <c r="J587" s="32"/>
      <c r="K587" s="15">
        <f t="shared" si="254"/>
        <v>45925</v>
      </c>
      <c r="L587" s="15"/>
      <c r="M587" s="15">
        <f t="shared" si="255"/>
        <v>45930</v>
      </c>
      <c r="N587" s="13">
        <v>45930</v>
      </c>
      <c r="O587" s="2">
        <f>IFERROR(IF(tblColetas[[#This Row],[Status Coleta]]="Reprovado","Reprovado",IF(ISERROR(SEARCH("Poço",D587)),IF(N587="","Erro",IF(Q587="Reprovado","",WORKDAY(N587,IF(D587="Operacional",10,3),FERIADOS!$A$3:$A$119))),"-")),"-")</f>
        <v>45933</v>
      </c>
      <c r="P587" s="13">
        <v>45932</v>
      </c>
      <c r="Q587" s="7" t="s">
        <v>37</v>
      </c>
      <c r="R587" s="13"/>
      <c r="S587" s="30"/>
      <c r="T587" s="43"/>
      <c r="W587" t="str">
        <f t="shared" si="256"/>
        <v>ATD777-AP-1506 (Fuel Gas)Fiscal</v>
      </c>
      <c r="X5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8" spans="1:24" ht="12.5" x14ac:dyDescent="0.25">
      <c r="A588" s="8"/>
      <c r="B588" s="8" t="s">
        <v>145</v>
      </c>
      <c r="C588" s="5" t="s">
        <v>148</v>
      </c>
      <c r="D588" s="9" t="s">
        <v>72</v>
      </c>
      <c r="E588" s="36"/>
      <c r="F588" s="29" cm="1">
        <f t="array" ref="F588">IF(V588 &lt;&gt; "", V588, IFERROR(_xlfn.SINGLE(INDEX($G$1:G587,SUMPRODUCT(MAX(($W$1:W587=W588)*(ROW($W$1:W587))))))+IF(D588="Fiscal",30,90),""))</f>
        <v>45907</v>
      </c>
      <c r="G588" s="13">
        <v>45906</v>
      </c>
      <c r="H588" s="15">
        <f t="shared" si="253"/>
        <v>45916</v>
      </c>
      <c r="I588" s="15"/>
      <c r="J588" s="32"/>
      <c r="K588" s="15">
        <f t="shared" si="254"/>
        <v>45926</v>
      </c>
      <c r="L588" s="15"/>
      <c r="M588" s="15">
        <f t="shared" si="255"/>
        <v>45931</v>
      </c>
      <c r="N588" s="13">
        <v>45930</v>
      </c>
      <c r="O588" s="2">
        <f>IFERROR(IF(tblColetas[[#This Row],[Status Coleta]]="Reprovado","Reprovado",IF(ISERROR(SEARCH("Poço",D588)),IF(N588="","Erro",IF(Q588="Reprovado","",WORKDAY(N588,IF(D588="Operacional",10,3),FERIADOS!$A$3:$A$119))),"-")),"-")</f>
        <v>45933</v>
      </c>
      <c r="P588" s="13">
        <v>45932</v>
      </c>
      <c r="Q588" s="7" t="s">
        <v>37</v>
      </c>
      <c r="R588" s="13"/>
      <c r="S588" s="30"/>
      <c r="T588" s="43"/>
      <c r="W588" t="str">
        <f t="shared" si="256"/>
        <v>ATD776-AP-0018-2 (HP Flare)Fiscal</v>
      </c>
      <c r="X5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89" spans="1:24" ht="12.5" x14ac:dyDescent="0.25">
      <c r="A589" s="8"/>
      <c r="B589" s="8" t="s">
        <v>145</v>
      </c>
      <c r="C589" s="5" t="s">
        <v>149</v>
      </c>
      <c r="D589" s="9" t="s">
        <v>72</v>
      </c>
      <c r="E589" s="36"/>
      <c r="F589" s="29" cm="1">
        <f t="array" ref="F589">IF(V589 &lt;&gt; "", V589, IFERROR(_xlfn.SINGLE(INDEX($G$1:G588,SUMPRODUCT(MAX(($W$1:W588=W589)*(ROW($W$1:W588))))))+IF(D589="Fiscal",30,90),""))</f>
        <v>45907</v>
      </c>
      <c r="G589" s="13">
        <v>45905</v>
      </c>
      <c r="H589" s="15">
        <f t="shared" si="253"/>
        <v>45915</v>
      </c>
      <c r="I589" s="15"/>
      <c r="J589" s="32"/>
      <c r="K589" s="15">
        <f t="shared" si="254"/>
        <v>45925</v>
      </c>
      <c r="L589" s="15"/>
      <c r="M589" s="15">
        <f t="shared" si="255"/>
        <v>45930</v>
      </c>
      <c r="N589" s="13">
        <v>45930</v>
      </c>
      <c r="O589" s="2">
        <f>IFERROR(IF(tblColetas[[#This Row],[Status Coleta]]="Reprovado","Reprovado",IF(ISERROR(SEARCH("Poço",D589)),IF(N589="","Erro",IF(Q589="Reprovado","",WORKDAY(N589,IF(D589="Operacional",10,3),FERIADOS!$A$3:$A$119))),"-")),"-")</f>
        <v>45933</v>
      </c>
      <c r="P589" s="13">
        <v>45932</v>
      </c>
      <c r="Q589" s="7" t="s">
        <v>37</v>
      </c>
      <c r="R589" s="13"/>
      <c r="S589" s="30"/>
      <c r="T589" s="43"/>
      <c r="W589" t="str">
        <f t="shared" si="256"/>
        <v>ATD776-AP-0036-2 (LP Flare)Fiscal</v>
      </c>
      <c r="X5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0" spans="1:24" ht="12.5" x14ac:dyDescent="0.25">
      <c r="A590" s="8"/>
      <c r="B590" s="8" t="s">
        <v>145</v>
      </c>
      <c r="C590" s="5" t="s">
        <v>151</v>
      </c>
      <c r="D590" s="9" t="s">
        <v>72</v>
      </c>
      <c r="E590" s="36"/>
      <c r="F590" s="29" cm="1">
        <f t="array" ref="F590">IF(V590 &lt;&gt; "", V590, IFERROR(_xlfn.SINGLE(INDEX($G$1:G589,SUMPRODUCT(MAX(($W$1:W589=W590)*(ROW($W$1:W589))))))+IF(D590="Fiscal",30,90),""))</f>
        <v>45907</v>
      </c>
      <c r="G590" s="13">
        <v>45905</v>
      </c>
      <c r="H590" s="15">
        <f t="shared" si="253"/>
        <v>45915</v>
      </c>
      <c r="I590" s="15"/>
      <c r="J590" s="32"/>
      <c r="K590" s="15">
        <f t="shared" si="254"/>
        <v>45925</v>
      </c>
      <c r="L590" s="15"/>
      <c r="M590" s="15">
        <f t="shared" si="255"/>
        <v>45930</v>
      </c>
      <c r="N590" s="13">
        <v>45930</v>
      </c>
      <c r="O590" s="2">
        <f>IFERROR(IF(tblColetas[[#This Row],[Status Coleta]]="Reprovado","Reprovado",IF(ISERROR(SEARCH("Poço",D590)),IF(N590="","Erro",IF(Q590="Reprovado","",WORKDAY(N590,IF(D590="Operacional",10,3),FERIADOS!$A$3:$A$119))),"-")),"-")</f>
        <v>45933</v>
      </c>
      <c r="P590" s="13">
        <v>45932</v>
      </c>
      <c r="Q590" s="7" t="s">
        <v>37</v>
      </c>
      <c r="R590" s="13"/>
      <c r="S590" s="30"/>
      <c r="T590" s="43"/>
      <c r="W590" t="str">
        <f t="shared" si="256"/>
        <v>ATD776-AP-7001 (Flare Assist)Fiscal</v>
      </c>
      <c r="X5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1" spans="1:24" ht="12.5" x14ac:dyDescent="0.25">
      <c r="A591" s="8"/>
      <c r="B591" s="8" t="s">
        <v>52</v>
      </c>
      <c r="C591" s="5" t="s">
        <v>111</v>
      </c>
      <c r="D591" s="9" t="s">
        <v>26</v>
      </c>
      <c r="E591" s="36"/>
      <c r="F591" s="29" cm="1">
        <f t="array" ref="F591">IF(V591 &lt;&gt; "", V591, IFERROR(_xlfn.SINGLE(INDEX($G$1:G590,SUMPRODUCT(MAX(($W$1:W590=W591)*(ROW($W$1:W590))))))+IF(D591="Fiscal",30,90),""))</f>
        <v>45947</v>
      </c>
      <c r="G591" s="13">
        <v>45936</v>
      </c>
      <c r="H591" s="15">
        <f t="shared" si="253"/>
        <v>45946</v>
      </c>
      <c r="I591" s="15">
        <v>45936</v>
      </c>
      <c r="J591" s="32"/>
      <c r="K591" s="15">
        <f t="shared" si="254"/>
        <v>45956</v>
      </c>
      <c r="L591" s="15">
        <v>45936</v>
      </c>
      <c r="M591" s="15">
        <f t="shared" si="255"/>
        <v>45961</v>
      </c>
      <c r="N591" s="13">
        <v>45961</v>
      </c>
      <c r="O591" s="2" t="str">
        <f>IFERROR(IF(tblColetas[[#This Row],[Status Coleta]]="Reprovado","Reprovado",IF(ISERROR(SEARCH("Poço",D591)),IF(N591="","Erro",IF(Q591="Reprovado","",WORKDAY(N591,IF(D591="Operacional",10,3),FERIADOS!$A$3:$A$119))),"-")),"-")</f>
        <v>-</v>
      </c>
      <c r="P591" s="13"/>
      <c r="Q591" s="7" t="s">
        <v>37</v>
      </c>
      <c r="R591" s="13"/>
      <c r="S591" s="30"/>
      <c r="T591" s="43"/>
      <c r="W591" t="str">
        <f t="shared" si="256"/>
        <v>SEPPoço 3-RJS-739A P-6Poço CG</v>
      </c>
      <c r="X5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2" spans="1:24" ht="12.5" x14ac:dyDescent="0.25">
      <c r="A592" s="8"/>
      <c r="B592" s="8" t="s">
        <v>52</v>
      </c>
      <c r="C592" s="5" t="s">
        <v>111</v>
      </c>
      <c r="D592" s="9" t="s">
        <v>29</v>
      </c>
      <c r="E592" s="36"/>
      <c r="F592" s="29" cm="1">
        <f t="array" ref="F592">IF(V592 &lt;&gt; "", V592, IFERROR(_xlfn.SINGLE(INDEX($G$1:G591,SUMPRODUCT(MAX(($W$1:W591=W592)*(ROW($W$1:W591))))))+IF(D592="Fiscal",30,90),""))</f>
        <v>45947</v>
      </c>
      <c r="G592" s="13">
        <v>45936</v>
      </c>
      <c r="H592" s="15">
        <f t="shared" si="253"/>
        <v>45946</v>
      </c>
      <c r="I592" s="15">
        <v>45944</v>
      </c>
      <c r="J592" s="32" t="s">
        <v>172</v>
      </c>
      <c r="K592" s="15">
        <f t="shared" si="254"/>
        <v>45956</v>
      </c>
      <c r="L592" s="15">
        <v>45950</v>
      </c>
      <c r="M592" s="15">
        <f t="shared" si="255"/>
        <v>45961</v>
      </c>
      <c r="N592" s="13">
        <v>45961</v>
      </c>
      <c r="O592" s="2" t="str">
        <f>IFERROR(IF(tblColetas[[#This Row],[Status Coleta]]="Reprovado","Reprovado",IF(ISERROR(SEARCH("Poço",D592)),IF(N592="","Erro",IF(Q592="Reprovado","",WORKDAY(N592,IF(D592="Operacional",10,3),FERIADOS!$A$3:$A$119))),"-")),"-")</f>
        <v>-</v>
      </c>
      <c r="P592" s="13"/>
      <c r="Q592" s="7" t="s">
        <v>37</v>
      </c>
      <c r="R592" s="13"/>
      <c r="S592" s="30"/>
      <c r="T592" s="43"/>
      <c r="W592" t="str">
        <f t="shared" si="256"/>
        <v>SEPPoço 3-RJS-739A P-6Poço PVT</v>
      </c>
      <c r="X5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3" spans="1:24" ht="12.5" x14ac:dyDescent="0.25">
      <c r="A593" s="8"/>
      <c r="B593" s="8" t="s">
        <v>38</v>
      </c>
      <c r="C593" s="5" t="s">
        <v>39</v>
      </c>
      <c r="D593" s="9" t="s">
        <v>26</v>
      </c>
      <c r="E593" s="36"/>
      <c r="F593" s="29" cm="1">
        <f t="array" ref="F593">IF(V593 &lt;&gt; "", V593, IFERROR(_xlfn.SINGLE(INDEX($G$1:G592,SUMPRODUCT(MAX(($W$1:W592=W593)*(ROW($W$1:W592))))))+IF(D593="Fiscal",30,90),""))</f>
        <v>45969</v>
      </c>
      <c r="G593" s="13">
        <v>45959</v>
      </c>
      <c r="H593" s="15">
        <f t="shared" si="253"/>
        <v>45969</v>
      </c>
      <c r="I593" s="15">
        <v>45963</v>
      </c>
      <c r="J593" s="32" t="s">
        <v>219</v>
      </c>
      <c r="K593" s="15">
        <f t="shared" si="254"/>
        <v>45979</v>
      </c>
      <c r="L593" s="15">
        <v>45980</v>
      </c>
      <c r="M593" s="15">
        <f t="shared" si="255"/>
        <v>45984</v>
      </c>
      <c r="N593" s="13">
        <v>45982</v>
      </c>
      <c r="O593" s="2" t="str">
        <f>IFERROR(IF(tblColetas[[#This Row],[Status Coleta]]="Reprovado","Reprovado",IF(ISERROR(SEARCH("Poço",D593)),IF(N593="","Erro",IF(Q593="Reprovado","",WORKDAY(N593,IF(D593="Operacional",10,3),FERIADOS!$A$3:$A$119))),"-")),"-")</f>
        <v>-</v>
      </c>
      <c r="P593" s="13"/>
      <c r="Q593" s="7"/>
      <c r="R593" s="13"/>
      <c r="S593" s="30"/>
      <c r="T593" s="43"/>
      <c r="W593" t="str">
        <f t="shared" si="256"/>
        <v>CDPPoço LL-119 (P-02)Poço CG</v>
      </c>
      <c r="X5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4" spans="1:24" ht="12.5" x14ac:dyDescent="0.25">
      <c r="A594" s="8"/>
      <c r="B594" s="8" t="s">
        <v>38</v>
      </c>
      <c r="C594" s="5" t="s">
        <v>39</v>
      </c>
      <c r="D594" s="9" t="s">
        <v>29</v>
      </c>
      <c r="E594" s="36"/>
      <c r="F594" s="29" cm="1">
        <f t="array" ref="F594">IF(V594 &lt;&gt; "", V594, IFERROR(_xlfn.SINGLE(INDEX($G$1:G593,SUMPRODUCT(MAX(($W$1:W593=W594)*(ROW($W$1:W593))))))+IF(D594="Fiscal",30,90),""))</f>
        <v>45969</v>
      </c>
      <c r="G594" s="13">
        <v>45959</v>
      </c>
      <c r="H594" s="15">
        <f t="shared" si="253"/>
        <v>45969</v>
      </c>
      <c r="I594" s="15">
        <v>45963</v>
      </c>
      <c r="J594" s="32" t="s">
        <v>219</v>
      </c>
      <c r="K594" s="15">
        <f t="shared" si="254"/>
        <v>45979</v>
      </c>
      <c r="L594" s="15">
        <v>45980</v>
      </c>
      <c r="M594" s="15">
        <f t="shared" si="255"/>
        <v>45984</v>
      </c>
      <c r="N594" s="13">
        <v>45982</v>
      </c>
      <c r="O594" s="2" t="str">
        <f>IFERROR(IF(tblColetas[[#This Row],[Status Coleta]]="Reprovado","Reprovado",IF(ISERROR(SEARCH("Poço",D594)),IF(N594="","Erro",IF(Q594="Reprovado","",WORKDAY(N594,IF(D594="Operacional",10,3),FERIADOS!$A$3:$A$119))),"-")),"-")</f>
        <v>-</v>
      </c>
      <c r="P594" s="13"/>
      <c r="Q594" s="7"/>
      <c r="R594" s="13"/>
      <c r="S594" s="30"/>
      <c r="T594" s="43"/>
      <c r="W594" t="str">
        <f t="shared" si="256"/>
        <v>CDPPoço LL-119 (P-02)Poço PVT</v>
      </c>
      <c r="X5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5" spans="1:24" ht="12.5" x14ac:dyDescent="0.25">
      <c r="A595" s="8"/>
      <c r="B595" s="8" t="s">
        <v>52</v>
      </c>
      <c r="C595" s="5" t="s">
        <v>83</v>
      </c>
      <c r="D595" s="9" t="s">
        <v>26</v>
      </c>
      <c r="E595" s="36"/>
      <c r="F595" s="29" cm="1">
        <f t="array" ref="F595">IF(V595 &lt;&gt; "", V595, IFERROR(_xlfn.SINGLE(INDEX($G$1:G594,SUMPRODUCT(MAX(($W$1:W594=W595)*(ROW($W$1:W594))))))+IF(D595="Fiscal",30,90),""))</f>
        <v>45967</v>
      </c>
      <c r="G595" s="13">
        <v>45962</v>
      </c>
      <c r="H595" s="15">
        <f t="shared" si="253"/>
        <v>45972</v>
      </c>
      <c r="I595" s="15">
        <v>45967</v>
      </c>
      <c r="J595" s="32" t="s">
        <v>185</v>
      </c>
      <c r="K595" s="15">
        <f t="shared" si="254"/>
        <v>45982</v>
      </c>
      <c r="L595" s="15">
        <v>45980</v>
      </c>
      <c r="M595" s="15">
        <f t="shared" si="255"/>
        <v>45987</v>
      </c>
      <c r="N595" s="13">
        <v>45987</v>
      </c>
      <c r="O595" s="2" t="str">
        <f>IFERROR(IF(tblColetas[[#This Row],[Status Coleta]]="Reprovado","Reprovado",IF(ISERROR(SEARCH("Poço",D595)),IF(N595="","Erro",IF(Q595="Reprovado","",WORKDAY(N595,IF(D595="Operacional",10,3),FERIADOS!$A$3:$A$119))),"-")),"-")</f>
        <v>-</v>
      </c>
      <c r="P595" s="13"/>
      <c r="Q595" s="7"/>
      <c r="R595" s="13"/>
      <c r="S595" s="30"/>
      <c r="T595" s="43"/>
      <c r="W595" t="str">
        <f t="shared" si="256"/>
        <v>SEPPoço MRO-16 P-2Poço CG</v>
      </c>
      <c r="X5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6" spans="1:24" ht="12.5" x14ac:dyDescent="0.25">
      <c r="A596" s="8"/>
      <c r="B596" s="8" t="s">
        <v>52</v>
      </c>
      <c r="C596" s="5" t="s">
        <v>83</v>
      </c>
      <c r="D596" s="9" t="s">
        <v>29</v>
      </c>
      <c r="E596" s="36"/>
      <c r="F596" s="29" cm="1">
        <f t="array" ref="F596">IF(V596 &lt;&gt; "", V596, IFERROR(_xlfn.SINGLE(INDEX($G$1:G595,SUMPRODUCT(MAX(($W$1:W595=W596)*(ROW($W$1:W595))))))+IF(D596="Fiscal",30,90),""))</f>
        <v>45967</v>
      </c>
      <c r="G596" s="13">
        <v>45931</v>
      </c>
      <c r="H596" s="15">
        <f t="shared" si="253"/>
        <v>45941</v>
      </c>
      <c r="I596" s="15">
        <v>45944</v>
      </c>
      <c r="J596" s="32" t="s">
        <v>172</v>
      </c>
      <c r="K596" s="15">
        <f t="shared" si="254"/>
        <v>45951</v>
      </c>
      <c r="L596" s="15">
        <v>45950</v>
      </c>
      <c r="M596" s="15">
        <f t="shared" si="255"/>
        <v>45956</v>
      </c>
      <c r="N596" s="13">
        <v>45954</v>
      </c>
      <c r="O596" s="2" t="str">
        <f>IFERROR(IF(tblColetas[[#This Row],[Status Coleta]]="Reprovado","Reprovado",IF(ISERROR(SEARCH("Poço",D596)),IF(N596="","Erro",IF(Q596="Reprovado","",WORKDAY(N596,IF(D596="Operacional",10,3),FERIADOS!$A$3:$A$119))),"-")),"-")</f>
        <v>-</v>
      </c>
      <c r="P596" s="13"/>
      <c r="Q596" s="7"/>
      <c r="R596" s="13"/>
      <c r="S596" s="30"/>
      <c r="T596" s="43"/>
      <c r="W596" t="str">
        <f t="shared" si="256"/>
        <v>SEPPoço MRO-16 P-2Poço PVT</v>
      </c>
      <c r="X5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7" spans="1:24" ht="12.5" x14ac:dyDescent="0.25">
      <c r="A597" s="19"/>
      <c r="B597" s="19" t="s">
        <v>145</v>
      </c>
      <c r="C597" s="5" t="s">
        <v>189</v>
      </c>
      <c r="D597" s="20" t="s">
        <v>26</v>
      </c>
      <c r="E597" s="35"/>
      <c r="F597" s="29" cm="1">
        <f t="array" ref="F597">IF(V597 &lt;&gt; "", V597, IFERROR(_xlfn.SINGLE(INDEX($G$1:G596,SUMPRODUCT(MAX(($W$1:W596=W597)*(ROW($W$1:W596))))))+IF(D597="Fiscal",30,90),""))</f>
        <v>45971</v>
      </c>
      <c r="G597" s="21">
        <v>45963</v>
      </c>
      <c r="H597" s="15">
        <f t="shared" ref="H597:H603" si="257">IF(G597="","Erro", G597+10)</f>
        <v>45973</v>
      </c>
      <c r="I597" s="15">
        <v>45972</v>
      </c>
      <c r="J597" s="32" t="s">
        <v>140</v>
      </c>
      <c r="K597" s="15">
        <f t="shared" ref="K597:K603" si="258">IF(G597="","Erro",G597+20)</f>
        <v>45983</v>
      </c>
      <c r="L597" s="15">
        <v>45987</v>
      </c>
      <c r="M597" s="15">
        <f t="shared" ref="M597:M603" si="259">IF(G597="","Erro",G597+IF(D597="Operacional",45,25))</f>
        <v>45988</v>
      </c>
      <c r="N597" s="13">
        <v>45988</v>
      </c>
      <c r="O597" s="2" t="str">
        <f>IFERROR(IF(tblColetas[[#This Row],[Status Coleta]]="Reprovado","Reprovado",IF(ISERROR(SEARCH("Poço",D597)),IF(N597="","Erro",IF(Q597="Reprovado","",WORKDAY(N597,IF(D597="Operacional",10,3),FERIADOS!$A$3:$A$119))),"-")),"-")</f>
        <v>-</v>
      </c>
      <c r="P597" s="21"/>
      <c r="Q597" s="7"/>
      <c r="R597" s="13"/>
      <c r="S597" s="30"/>
      <c r="T597" s="43"/>
      <c r="W597" t="str">
        <f t="shared" ref="W597:W603" si="260">B597&amp;C597&amp;D597</f>
        <v>ATDPoço 7-BUZ-70D-RJS (P-1)Poço CG</v>
      </c>
      <c r="X5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8" spans="1:24" ht="12.5" x14ac:dyDescent="0.25">
      <c r="A598" s="19"/>
      <c r="B598" s="19" t="s">
        <v>145</v>
      </c>
      <c r="C598" s="5" t="s">
        <v>189</v>
      </c>
      <c r="D598" s="20" t="s">
        <v>29</v>
      </c>
      <c r="E598" s="35"/>
      <c r="F598" s="29" cm="1">
        <f t="array" ref="F598">IF(V598 &lt;&gt; "", V598, IFERROR(_xlfn.SINGLE(INDEX($G$1:G597,SUMPRODUCT(MAX(($W$1:W597=W598)*(ROW($W$1:W597))))))+IF(D598="Fiscal",30,90),""))</f>
        <v>45971</v>
      </c>
      <c r="G598" s="21">
        <v>45964</v>
      </c>
      <c r="H598" s="15">
        <f t="shared" si="257"/>
        <v>45974</v>
      </c>
      <c r="I598" s="15">
        <v>45972</v>
      </c>
      <c r="J598" s="32" t="s">
        <v>140</v>
      </c>
      <c r="K598" s="15">
        <f t="shared" si="258"/>
        <v>45984</v>
      </c>
      <c r="L598" s="15">
        <v>45987</v>
      </c>
      <c r="M598" s="15">
        <f t="shared" si="259"/>
        <v>45989</v>
      </c>
      <c r="N598" s="13">
        <v>45988</v>
      </c>
      <c r="O598" s="2" t="str">
        <f>IFERROR(IF(tblColetas[[#This Row],[Status Coleta]]="Reprovado","Reprovado",IF(ISERROR(SEARCH("Poço",D598)),IF(N598="","Erro",IF(Q598="Reprovado","",WORKDAY(N598,IF(D598="Operacional",10,3),FERIADOS!$A$3:$A$119))),"-")),"-")</f>
        <v>-</v>
      </c>
      <c r="P598" s="21"/>
      <c r="Q598" s="7"/>
      <c r="R598" s="13"/>
      <c r="S598" s="30"/>
      <c r="T598" s="43"/>
      <c r="W598" t="str">
        <f t="shared" si="260"/>
        <v>ATDPoço 7-BUZ-70D-RJS (P-1)Poço PVT</v>
      </c>
      <c r="X5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599" spans="1:24" ht="12.5" x14ac:dyDescent="0.25">
      <c r="A599" s="17"/>
      <c r="B599" s="17" t="s">
        <v>192</v>
      </c>
      <c r="C599" s="6" t="s">
        <v>220</v>
      </c>
      <c r="D599" s="18" t="s">
        <v>70</v>
      </c>
      <c r="E599" s="35"/>
      <c r="F599" s="25" t="str" cm="1">
        <f t="array" ref="F599">IF(V599 &lt;&gt; "", V599, IFERROR(_xlfn.SINGLE(INDEX($G$1:G598,SUMPRODUCT(MAX(($W$1:W598=W599)*(ROW($W$1:W598))))))+IF(D599="Fiscal",30,90),""))</f>
        <v/>
      </c>
      <c r="G599" s="16">
        <v>45859</v>
      </c>
      <c r="H599" s="15">
        <f t="shared" si="257"/>
        <v>45869</v>
      </c>
      <c r="I599" s="15"/>
      <c r="J599" s="32"/>
      <c r="K599" s="15">
        <f t="shared" si="258"/>
        <v>45879</v>
      </c>
      <c r="L599" s="15"/>
      <c r="M599" s="14">
        <f t="shared" si="259"/>
        <v>45884</v>
      </c>
      <c r="N599" s="12">
        <v>45884</v>
      </c>
      <c r="O599" s="1" t="str">
        <f>IFERROR(IF(tblColetas[[#This Row],[Status Coleta]]="Reprovado","Reprovado",IF(ISERROR(SEARCH("Poço",D599)),IF(N599="","Erro",IF(Q599="Reprovado","",WORKDAY(N599,IF(D599="Operacional",10,3),FERIADOS!$A$3:$A$119))),"-")),"-")</f>
        <v>Reprovado</v>
      </c>
      <c r="P599" s="16"/>
      <c r="Q599" s="7" t="s">
        <v>81</v>
      </c>
      <c r="R599" s="12"/>
      <c r="S599" s="28" t="s">
        <v>127</v>
      </c>
      <c r="T599" s="42"/>
      <c r="W599" t="str">
        <f t="shared" si="260"/>
        <v>ADG773-AP-0014 (Gas Lift)Gas Lift</v>
      </c>
      <c r="X5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0" spans="1:24" ht="12.5" x14ac:dyDescent="0.25">
      <c r="A600" s="10"/>
      <c r="B600" s="10" t="s">
        <v>145</v>
      </c>
      <c r="C600" s="6" t="s">
        <v>221</v>
      </c>
      <c r="D600" s="11" t="s">
        <v>26</v>
      </c>
      <c r="E600" s="36"/>
      <c r="F600" s="25" t="str" cm="1">
        <f t="array" ref="F600">IF(V600 &lt;&gt; "", V600, IFERROR(_xlfn.SINGLE(INDEX($G$1:G599,SUMPRODUCT(MAX(($W$1:W599=W600)*(ROW($W$1:W599))))))+IF(D600="Fiscal",30,90),""))</f>
        <v/>
      </c>
      <c r="G600" s="16">
        <v>45885</v>
      </c>
      <c r="H600" s="15">
        <f t="shared" si="257"/>
        <v>45895</v>
      </c>
      <c r="I600" s="15">
        <v>45889</v>
      </c>
      <c r="J600" s="32" t="s">
        <v>185</v>
      </c>
      <c r="K600" s="15">
        <f t="shared" si="258"/>
        <v>45905</v>
      </c>
      <c r="L600" s="15">
        <v>45894</v>
      </c>
      <c r="M600" s="14">
        <f t="shared" si="259"/>
        <v>45910</v>
      </c>
      <c r="N600" s="12">
        <v>45910</v>
      </c>
      <c r="O600" s="1" t="str">
        <f>IFERROR(IF(tblColetas[[#This Row],[Status Coleta]]="Reprovado","Reprovado",IF(ISERROR(SEARCH("Poço",D600)),IF(N600="","Erro",IF(Q600="Reprovado","",WORKDAY(N600,IF(D600="Operacional",10,3),FERIADOS!$A$3:$A$119))),"-")),"-")</f>
        <v>-</v>
      </c>
      <c r="P600" s="12"/>
      <c r="Q600" s="7" t="s">
        <v>37</v>
      </c>
      <c r="R600" s="12"/>
      <c r="S600" s="28"/>
      <c r="T600" s="42"/>
      <c r="W600" t="str">
        <f t="shared" si="260"/>
        <v>ATDPoço 9-RJS-716 (P-6)Poço CG</v>
      </c>
      <c r="X6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1" spans="1:24" ht="12.5" x14ac:dyDescent="0.25">
      <c r="A601" s="10"/>
      <c r="B601" s="10" t="s">
        <v>145</v>
      </c>
      <c r="C601" s="6" t="s">
        <v>221</v>
      </c>
      <c r="D601" s="11" t="s">
        <v>29</v>
      </c>
      <c r="E601" s="36"/>
      <c r="F601" s="25" t="str" cm="1">
        <f t="array" ref="F601">IF(V601 &lt;&gt; "", V601, IFERROR(_xlfn.SINGLE(INDEX($G$1:G600,SUMPRODUCT(MAX(($W$1:W600=W601)*(ROW($W$1:W600))))))+IF(D601="Fiscal",30,90),""))</f>
        <v/>
      </c>
      <c r="G601" s="16">
        <v>45885</v>
      </c>
      <c r="H601" s="15">
        <f t="shared" si="257"/>
        <v>45895</v>
      </c>
      <c r="I601" s="15">
        <v>45889</v>
      </c>
      <c r="J601" s="32" t="s">
        <v>185</v>
      </c>
      <c r="K601" s="15">
        <f t="shared" si="258"/>
        <v>45905</v>
      </c>
      <c r="L601" s="15">
        <v>45894</v>
      </c>
      <c r="M601" s="14">
        <f t="shared" si="259"/>
        <v>45910</v>
      </c>
      <c r="N601" s="12">
        <v>45910</v>
      </c>
      <c r="O601" s="1" t="str">
        <f>IFERROR(IF(tblColetas[[#This Row],[Status Coleta]]="Reprovado","Reprovado",IF(ISERROR(SEARCH("Poço",D601)),IF(N601="","Erro",IF(Q601="Reprovado","",WORKDAY(N601,IF(D601="Operacional",10,3),FERIADOS!$A$3:$A$119))),"-")),"-")</f>
        <v>-</v>
      </c>
      <c r="P601" s="12"/>
      <c r="Q601" s="7" t="s">
        <v>37</v>
      </c>
      <c r="R601" s="12"/>
      <c r="S601" s="28"/>
      <c r="T601" s="42"/>
      <c r="W601" t="str">
        <f t="shared" si="260"/>
        <v>ATDPoço 9-RJS-716 (P-6)Poço PVT</v>
      </c>
      <c r="X6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2" spans="1:24" ht="12.5" x14ac:dyDescent="0.25">
      <c r="A602" s="8"/>
      <c r="B602" s="8" t="s">
        <v>145</v>
      </c>
      <c r="C602" s="5" t="s">
        <v>221</v>
      </c>
      <c r="D602" s="9" t="s">
        <v>26</v>
      </c>
      <c r="E602" s="36"/>
      <c r="F602" s="29" cm="1">
        <f t="array" ref="F602">IF(V602 &lt;&gt; "", V602, IFERROR(_xlfn.SINGLE(INDEX($G$1:G601,SUMPRODUCT(MAX(($W$1:W601=W602)*(ROW($W$1:W601))))))+IF(D602="Fiscal",30,90),""))</f>
        <v>45975</v>
      </c>
      <c r="G602" s="13">
        <v>45972</v>
      </c>
      <c r="H602" s="15">
        <f t="shared" si="257"/>
        <v>45982</v>
      </c>
      <c r="I602" s="15">
        <v>45981</v>
      </c>
      <c r="J602" s="32"/>
      <c r="K602" s="15">
        <f t="shared" si="258"/>
        <v>45992</v>
      </c>
      <c r="L602" s="15">
        <v>45986</v>
      </c>
      <c r="M602" s="15">
        <f t="shared" si="259"/>
        <v>45997</v>
      </c>
      <c r="N602" s="13">
        <v>45996</v>
      </c>
      <c r="O602" s="2" t="str">
        <f>IFERROR(IF(tblColetas[[#This Row],[Status Coleta]]="Reprovado","Reprovado",IF(ISERROR(SEARCH("Poço",D602)),IF(N602="","Erro",IF(Q602="Reprovado","",WORKDAY(N602,IF(D602="Operacional",10,3),FERIADOS!$A$3:$A$119))),"-")),"-")</f>
        <v>-</v>
      </c>
      <c r="P602" s="13"/>
      <c r="Q602" s="7"/>
      <c r="R602" s="13"/>
      <c r="S602" s="30"/>
      <c r="T602" s="43"/>
      <c r="W602" t="str">
        <f t="shared" si="260"/>
        <v>ATDPoço 9-RJS-716 (P-6)Poço CG</v>
      </c>
      <c r="X6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3" spans="1:24" ht="12.5" x14ac:dyDescent="0.25">
      <c r="A603" s="8"/>
      <c r="B603" s="8" t="s">
        <v>145</v>
      </c>
      <c r="C603" s="5" t="s">
        <v>221</v>
      </c>
      <c r="D603" s="9" t="s">
        <v>29</v>
      </c>
      <c r="E603" s="36"/>
      <c r="F603" s="29" cm="1">
        <f t="array" ref="F603">IF(V603 &lt;&gt; "", V603, IFERROR(_xlfn.SINGLE(INDEX($G$1:G602,SUMPRODUCT(MAX(($W$1:W602=W603)*(ROW($W$1:W602))))))+IF(D603="Fiscal",30,90),""))</f>
        <v>45975</v>
      </c>
      <c r="G603" s="13">
        <v>45972</v>
      </c>
      <c r="H603" s="15">
        <f t="shared" si="257"/>
        <v>45982</v>
      </c>
      <c r="I603" s="15">
        <v>45981</v>
      </c>
      <c r="J603" s="32"/>
      <c r="K603" s="15">
        <f t="shared" si="258"/>
        <v>45992</v>
      </c>
      <c r="L603" s="15">
        <v>45986</v>
      </c>
      <c r="M603" s="15">
        <f t="shared" si="259"/>
        <v>45997</v>
      </c>
      <c r="N603" s="13">
        <v>45996</v>
      </c>
      <c r="O603" s="2" t="str">
        <f>IFERROR(IF(tblColetas[[#This Row],[Status Coleta]]="Reprovado","Reprovado",IF(ISERROR(SEARCH("Poço",D603)),IF(N603="","Erro",IF(Q603="Reprovado","",WORKDAY(N603,IF(D603="Operacional",10,3),FERIADOS!$A$3:$A$119))),"-")),"-")</f>
        <v>-</v>
      </c>
      <c r="P603" s="13"/>
      <c r="Q603" s="7"/>
      <c r="R603" s="13"/>
      <c r="S603" s="30"/>
      <c r="T603" s="43"/>
      <c r="W603" t="str">
        <f t="shared" si="260"/>
        <v>ATDPoço 9-RJS-716 (P-6)Poço PVT</v>
      </c>
      <c r="X6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4" spans="1:24" ht="12.5" x14ac:dyDescent="0.25">
      <c r="A604" s="19"/>
      <c r="B604" s="19" t="s">
        <v>52</v>
      </c>
      <c r="C604" s="5" t="s">
        <v>112</v>
      </c>
      <c r="D604" s="20" t="s">
        <v>72</v>
      </c>
      <c r="E604" s="35"/>
      <c r="F604" s="29" cm="1">
        <f t="array" ref="F604">IF(V604 &lt;&gt; "", V604, IFERROR(_xlfn.SINGLE(INDEX($G$1:G603,SUMPRODUCT(MAX(($W$1:W603=W604)*(ROW($W$1:W603))))))+IF(D604="Fiscal",30,90),""))</f>
        <v>45912</v>
      </c>
      <c r="G604" s="21">
        <v>45909</v>
      </c>
      <c r="H604" s="15">
        <f t="shared" ref="H604:H611" si="261">IF(G604="","Erro", G604+10)</f>
        <v>45919</v>
      </c>
      <c r="I604" s="15"/>
      <c r="J604" s="32"/>
      <c r="K604" s="15">
        <f t="shared" ref="K604:K611" si="262">IF(G604="","Erro",G604+20)</f>
        <v>45929</v>
      </c>
      <c r="L604" s="15"/>
      <c r="M604" s="15">
        <f t="shared" ref="M604:M611" si="263">IF(G604="","Erro",G604+IF(D604="Operacional",45,25))</f>
        <v>45934</v>
      </c>
      <c r="N604" s="13">
        <v>45933</v>
      </c>
      <c r="O604" s="2">
        <f>IFERROR(IF(tblColetas[[#This Row],[Status Coleta]]="Reprovado","Reprovado",IF(ISERROR(SEARCH("Poço",D604)),IF(N604="","Erro",IF(Q604="Reprovado","",WORKDAY(N604,IF(D604="Operacional",10,3),FERIADOS!$A$3:$A$119))),"-")),"-")</f>
        <v>45938</v>
      </c>
      <c r="P604" s="21">
        <v>45938</v>
      </c>
      <c r="Q604" s="7" t="s">
        <v>37</v>
      </c>
      <c r="R604" s="13"/>
      <c r="S604" s="30"/>
      <c r="T604" s="43"/>
      <c r="W604" t="str">
        <f t="shared" ref="W604:W611" si="264">B604&amp;C604&amp;D604</f>
        <v>SEP776-AP-0006 (HP Flare)Fiscal</v>
      </c>
      <c r="X6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5" spans="1:24" ht="12.5" x14ac:dyDescent="0.25">
      <c r="A605" s="19"/>
      <c r="B605" s="19" t="s">
        <v>52</v>
      </c>
      <c r="C605" s="5" t="s">
        <v>113</v>
      </c>
      <c r="D605" s="20" t="s">
        <v>72</v>
      </c>
      <c r="E605" s="35"/>
      <c r="F605" s="29" cm="1">
        <f t="array" ref="F605">IF(V605 &lt;&gt; "", V605, IFERROR(_xlfn.SINGLE(INDEX($G$1:G604,SUMPRODUCT(MAX(($W$1:W604=W605)*(ROW($W$1:W604))))))+IF(D605="Fiscal",30,90),""))</f>
        <v>45912</v>
      </c>
      <c r="G605" s="21">
        <v>45909</v>
      </c>
      <c r="H605" s="15">
        <f t="shared" si="261"/>
        <v>45919</v>
      </c>
      <c r="I605" s="15"/>
      <c r="J605" s="32"/>
      <c r="K605" s="15">
        <f t="shared" si="262"/>
        <v>45929</v>
      </c>
      <c r="L605" s="15"/>
      <c r="M605" s="15">
        <f t="shared" si="263"/>
        <v>45934</v>
      </c>
      <c r="N605" s="13">
        <v>45933</v>
      </c>
      <c r="O605" s="2">
        <f>IFERROR(IF(tblColetas[[#This Row],[Status Coleta]]="Reprovado","Reprovado",IF(ISERROR(SEARCH("Poço",D605)),IF(N605="","Erro",IF(Q605="Reprovado","",WORKDAY(N605,IF(D605="Operacional",10,3),FERIADOS!$A$3:$A$119))),"-")),"-")</f>
        <v>45938</v>
      </c>
      <c r="P605" s="21">
        <v>45938</v>
      </c>
      <c r="Q605" s="7" t="s">
        <v>37</v>
      </c>
      <c r="R605" s="13"/>
      <c r="S605" s="30"/>
      <c r="T605" s="43"/>
      <c r="W605" t="str">
        <f t="shared" si="264"/>
        <v>SEP776-AP-0030 (LP Flare)Fiscal</v>
      </c>
      <c r="X6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6" spans="1:24" ht="12.5" x14ac:dyDescent="0.25">
      <c r="A606" s="19"/>
      <c r="B606" s="19" t="s">
        <v>52</v>
      </c>
      <c r="C606" s="5" t="s">
        <v>114</v>
      </c>
      <c r="D606" s="20" t="s">
        <v>72</v>
      </c>
      <c r="E606" s="35"/>
      <c r="F606" s="29" cm="1">
        <f t="array" ref="F606">IF(V606 &lt;&gt; "", V606, IFERROR(_xlfn.SINGLE(INDEX($G$1:G605,SUMPRODUCT(MAX(($W$1:W605=W606)*(ROW($W$1:W605))))))+IF(D606="Fiscal",30,90),""))</f>
        <v>45912</v>
      </c>
      <c r="G606" s="21">
        <v>45909</v>
      </c>
      <c r="H606" s="15">
        <f t="shared" si="261"/>
        <v>45919</v>
      </c>
      <c r="I606" s="15"/>
      <c r="J606" s="32"/>
      <c r="K606" s="15">
        <f t="shared" si="262"/>
        <v>45929</v>
      </c>
      <c r="L606" s="15"/>
      <c r="M606" s="15">
        <f t="shared" si="263"/>
        <v>45934</v>
      </c>
      <c r="N606" s="13">
        <v>45933</v>
      </c>
      <c r="O606" s="2">
        <f>IFERROR(IF(tblColetas[[#This Row],[Status Coleta]]="Reprovado","Reprovado",IF(ISERROR(SEARCH("Poço",D606)),IF(N606="","Erro",IF(Q606="Reprovado","",WORKDAY(N606,IF(D606="Operacional",10,3),FERIADOS!$A$3:$A$119))),"-")),"-")</f>
        <v>45938</v>
      </c>
      <c r="P606" s="21">
        <v>45938</v>
      </c>
      <c r="Q606" s="7" t="s">
        <v>37</v>
      </c>
      <c r="R606" s="13"/>
      <c r="S606" s="30"/>
      <c r="T606" s="43"/>
      <c r="W606" t="str">
        <f t="shared" si="264"/>
        <v>SEP777-AP-1104 (Fuel Gas)Fiscal</v>
      </c>
      <c r="X6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7" spans="1:24" ht="12.5" x14ac:dyDescent="0.25">
      <c r="A607" s="19"/>
      <c r="B607" s="19" t="s">
        <v>52</v>
      </c>
      <c r="C607" s="5" t="s">
        <v>115</v>
      </c>
      <c r="D607" s="20" t="s">
        <v>72</v>
      </c>
      <c r="E607" s="35"/>
      <c r="F607" s="29" cm="1">
        <f t="array" ref="F607">IF(V607 &lt;&gt; "", V607, IFERROR(_xlfn.SINGLE(INDEX($G$1:G606,SUMPRODUCT(MAX(($W$1:W606=W607)*(ROW($W$1:W606))))))+IF(D607="Fiscal",30,90),""))</f>
        <v>45912</v>
      </c>
      <c r="G607" s="21">
        <v>45909</v>
      </c>
      <c r="H607" s="15">
        <f t="shared" si="261"/>
        <v>45919</v>
      </c>
      <c r="I607" s="15"/>
      <c r="J607" s="32"/>
      <c r="K607" s="15">
        <f t="shared" si="262"/>
        <v>45929</v>
      </c>
      <c r="L607" s="15"/>
      <c r="M607" s="15">
        <f t="shared" si="263"/>
        <v>45934</v>
      </c>
      <c r="N607" s="13">
        <v>45933</v>
      </c>
      <c r="O607" s="2" t="str">
        <f>IFERROR(IF(tblColetas[[#This Row],[Status Coleta]]="Reprovado","Reprovado",IF(ISERROR(SEARCH("Poço",D607)),IF(N607="","Erro",IF(Q607="Reprovado","",WORKDAY(N607,IF(D607="Operacional",10,3),FERIADOS!$A$3:$A$119))),"-")),"-")</f>
        <v>Reprovado</v>
      </c>
      <c r="P607" s="21"/>
      <c r="Q607" s="7" t="s">
        <v>81</v>
      </c>
      <c r="R607" s="13"/>
      <c r="S607" s="30"/>
      <c r="T607" s="43"/>
      <c r="W607" t="str">
        <f t="shared" si="264"/>
        <v>SEP771-AP-0221 (Flare Assist)Fiscal</v>
      </c>
      <c r="X6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8" spans="1:24" ht="12.5" x14ac:dyDescent="0.25">
      <c r="A608" s="19"/>
      <c r="B608" s="19" t="s">
        <v>52</v>
      </c>
      <c r="C608" s="5" t="s">
        <v>121</v>
      </c>
      <c r="D608" s="20" t="s">
        <v>70</v>
      </c>
      <c r="E608" s="35"/>
      <c r="F608" s="29" cm="1">
        <f t="array" ref="F608">IF(V608 &lt;&gt; "", V608, IFERROR(_xlfn.SINGLE(INDEX($G$1:G607,SUMPRODUCT(MAX(($W$1:W607=W608)*(ROW($W$1:W607))))))+IF(D608="Fiscal",30,90),""))</f>
        <v>45972</v>
      </c>
      <c r="G608" s="21">
        <v>45938</v>
      </c>
      <c r="H608" s="15">
        <f t="shared" si="261"/>
        <v>45948</v>
      </c>
      <c r="I608" s="15"/>
      <c r="J608" s="32"/>
      <c r="K608" s="15">
        <f t="shared" si="262"/>
        <v>45958</v>
      </c>
      <c r="L608" s="15"/>
      <c r="M608" s="15">
        <f t="shared" si="263"/>
        <v>45963</v>
      </c>
      <c r="N608" s="13">
        <v>45961</v>
      </c>
      <c r="O608" s="2" t="str">
        <f>IFERROR(IF(tblColetas[[#This Row],[Status Coleta]]="Reprovado","Reprovado",IF(ISERROR(SEARCH("Poço",D608)),IF(N608="","Erro",IF(Q608="Reprovado","",WORKDAY(N608,IF(D608="Operacional",10,3),FERIADOS!$A$3:$A$119))),"-")),"-")</f>
        <v>Reprovado</v>
      </c>
      <c r="P608" s="21"/>
      <c r="Q608" s="7" t="s">
        <v>81</v>
      </c>
      <c r="R608" s="13"/>
      <c r="S608" s="30"/>
      <c r="T608" s="43"/>
      <c r="W608" t="str">
        <f t="shared" si="264"/>
        <v>SEP773-AP-0011 (Gas Lift Total)Gas Lift</v>
      </c>
      <c r="X6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09" spans="1:24" ht="12.5" x14ac:dyDescent="0.25">
      <c r="A609" s="19"/>
      <c r="B609" s="19" t="s">
        <v>192</v>
      </c>
      <c r="C609" s="5" t="s">
        <v>220</v>
      </c>
      <c r="D609" s="20" t="s">
        <v>70</v>
      </c>
      <c r="E609" s="35"/>
      <c r="F609" s="29" cm="1">
        <f t="array" ref="F609">IF(V609 &lt;&gt; "", V609, IFERROR(_xlfn.SINGLE(INDEX($G$1:G608,SUMPRODUCT(MAX(($W$1:W608=W609)*(ROW($W$1:W608))))))+IF(D609="Fiscal",30,90),""))</f>
        <v>45949</v>
      </c>
      <c r="G609" s="21">
        <v>45886</v>
      </c>
      <c r="H609" s="15">
        <f t="shared" si="261"/>
        <v>45896</v>
      </c>
      <c r="I609" s="15"/>
      <c r="J609" s="32"/>
      <c r="K609" s="15">
        <f t="shared" si="262"/>
        <v>45906</v>
      </c>
      <c r="L609" s="15"/>
      <c r="M609" s="15">
        <f t="shared" si="263"/>
        <v>45911</v>
      </c>
      <c r="N609" s="13">
        <v>45911</v>
      </c>
      <c r="O609" s="2" t="str">
        <f>IFERROR(IF(tblColetas[[#This Row],[Status Coleta]]="Reprovado","Reprovado",IF(ISERROR(SEARCH("Poço",D609)),IF(N609="","Erro",IF(Q609="Reprovado","",WORKDAY(N609,IF(D609="Operacional",10,3),FERIADOS!$A$3:$A$119))),"-")),"-")</f>
        <v>Reprovado</v>
      </c>
      <c r="P609" s="21"/>
      <c r="Q609" s="7" t="s">
        <v>81</v>
      </c>
      <c r="R609" s="13"/>
      <c r="S609" s="33" t="s">
        <v>127</v>
      </c>
      <c r="T609" s="43"/>
      <c r="W609" t="str">
        <f t="shared" si="264"/>
        <v>ADG773-AP-0014 (Gas Lift)Gas Lift</v>
      </c>
      <c r="X6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0" spans="1:24" ht="12.5" x14ac:dyDescent="0.25">
      <c r="A610" s="8"/>
      <c r="B610" s="8" t="s">
        <v>34</v>
      </c>
      <c r="C610" s="5" t="s">
        <v>35</v>
      </c>
      <c r="D610" s="9" t="s">
        <v>26</v>
      </c>
      <c r="E610" s="36"/>
      <c r="F610" s="29" cm="1">
        <f t="array" ref="F610">IF(V610 &lt;&gt; "", V610, IFERROR(_xlfn.SINGLE(INDEX($G$1:G609,SUMPRODUCT(MAX(($W$1:W609=W610)*(ROW($W$1:W609))))))+IF(D610="Fiscal",30,90),""))</f>
        <v>45978</v>
      </c>
      <c r="G610" s="13">
        <v>45967</v>
      </c>
      <c r="H610" s="15">
        <f t="shared" si="261"/>
        <v>45977</v>
      </c>
      <c r="I610" s="15">
        <v>45973</v>
      </c>
      <c r="J610" s="32" t="s">
        <v>222</v>
      </c>
      <c r="K610" s="15">
        <f t="shared" si="262"/>
        <v>45987</v>
      </c>
      <c r="L610" s="15">
        <v>45989</v>
      </c>
      <c r="M610" s="15">
        <f t="shared" si="263"/>
        <v>45992</v>
      </c>
      <c r="N610" s="13">
        <v>45992</v>
      </c>
      <c r="O610" s="2" t="str">
        <f>IFERROR(IF(tblColetas[[#This Row],[Status Coleta]]="Reprovado","Reprovado",IF(ISERROR(SEARCH("Poço",D610)),IF(N610="","Erro",IF(Q610="Reprovado","",WORKDAY(N610,IF(D610="Operacional",10,3),FERIADOS!$A$3:$A$119))),"-")),"-")</f>
        <v>-</v>
      </c>
      <c r="P610" s="13"/>
      <c r="Q610" s="7" t="s">
        <v>37</v>
      </c>
      <c r="R610" s="13"/>
      <c r="S610" s="30"/>
      <c r="T610" s="43"/>
      <c r="W610" t="str">
        <f t="shared" si="264"/>
        <v>CDSPoço LL-07 (P-03)Poço CG</v>
      </c>
      <c r="X6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1" spans="1:24" ht="12.5" x14ac:dyDescent="0.25">
      <c r="A611" s="8"/>
      <c r="B611" s="8" t="s">
        <v>34</v>
      </c>
      <c r="C611" s="5" t="s">
        <v>35</v>
      </c>
      <c r="D611" s="9" t="s">
        <v>29</v>
      </c>
      <c r="E611" s="36"/>
      <c r="F611" s="29" cm="1">
        <f t="array" ref="F611">IF(V611 &lt;&gt; "", V611, IFERROR(_xlfn.SINGLE(INDEX($G$1:G610,SUMPRODUCT(MAX(($W$1:W610=W611)*(ROW($W$1:W610))))))+IF(D611="Fiscal",30,90),""))</f>
        <v>45978</v>
      </c>
      <c r="G611" s="13">
        <v>45967</v>
      </c>
      <c r="H611" s="15">
        <f t="shared" si="261"/>
        <v>45977</v>
      </c>
      <c r="I611" s="15">
        <v>45973</v>
      </c>
      <c r="J611" s="32" t="s">
        <v>222</v>
      </c>
      <c r="K611" s="15">
        <f t="shared" si="262"/>
        <v>45987</v>
      </c>
      <c r="L611" s="15">
        <v>45989</v>
      </c>
      <c r="M611" s="15">
        <f t="shared" si="263"/>
        <v>45992</v>
      </c>
      <c r="N611" s="13">
        <v>45992</v>
      </c>
      <c r="O611" s="2" t="str">
        <f>IFERROR(IF(tblColetas[[#This Row],[Status Coleta]]="Reprovado","Reprovado",IF(ISERROR(SEARCH("Poço",D611)),IF(N611="","Erro",IF(Q611="Reprovado","",WORKDAY(N611,IF(D611="Operacional",10,3),FERIADOS!$A$3:$A$119))),"-")),"-")</f>
        <v>Reprovado</v>
      </c>
      <c r="P611" s="13"/>
      <c r="Q611" s="7" t="s">
        <v>81</v>
      </c>
      <c r="R611" s="13"/>
      <c r="S611" s="30"/>
      <c r="T611" s="43"/>
      <c r="W611" t="str">
        <f t="shared" si="264"/>
        <v>CDSPoço LL-07 (P-03)Poço PVT</v>
      </c>
      <c r="X6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2" spans="1:24" ht="12.5" x14ac:dyDescent="0.25">
      <c r="A612" s="19"/>
      <c r="B612" s="19" t="s">
        <v>34</v>
      </c>
      <c r="C612" s="5" t="s">
        <v>91</v>
      </c>
      <c r="D612" s="20" t="s">
        <v>26</v>
      </c>
      <c r="E612" s="35"/>
      <c r="F612" s="29" cm="1">
        <f t="array" ref="F612">IF(V612 &lt;&gt; "", V612, IFERROR(_xlfn.SINGLE(INDEX($G$1:G611,SUMPRODUCT(MAX(($W$1:W611=W612)*(ROW($W$1:W611))))))+IF(D612="Fiscal",30,90),""))</f>
        <v>45971</v>
      </c>
      <c r="G612" s="21">
        <v>45960</v>
      </c>
      <c r="H612" s="15">
        <f t="shared" ref="H612:H618" si="265">IF(G612="","Erro", G612+10)</f>
        <v>45970</v>
      </c>
      <c r="I612" s="15">
        <v>45961</v>
      </c>
      <c r="J612" s="32" t="s">
        <v>223</v>
      </c>
      <c r="K612" s="15">
        <f t="shared" ref="K612:K618" si="266">IF(G612="","Erro",G612+20)</f>
        <v>45980</v>
      </c>
      <c r="L612" s="15">
        <v>45973</v>
      </c>
      <c r="M612" s="15">
        <f t="shared" ref="M612:M618" si="267">IF(G612="","Erro",G612+IF(D612="Operacional",45,25))</f>
        <v>45985</v>
      </c>
      <c r="N612" s="13">
        <v>45985</v>
      </c>
      <c r="O612" s="2" t="str">
        <f>IFERROR(IF(tblColetas[[#This Row],[Status Coleta]]="Reprovado","Reprovado",IF(ISERROR(SEARCH("Poço",D612)),IF(N612="","Erro",IF(Q612="Reprovado","",WORKDAY(N612,IF(D612="Operacional",10,3),FERIADOS!$A$3:$A$119))),"-")),"-")</f>
        <v>-</v>
      </c>
      <c r="P612" s="21"/>
      <c r="Q612" s="7"/>
      <c r="R612" s="13"/>
      <c r="S612" s="30"/>
      <c r="T612" s="43"/>
      <c r="W612" t="str">
        <f t="shared" ref="W612:W618" si="268">B612&amp;C612&amp;D612</f>
        <v>CDSPoço LL-80 (P-08)Poço CG</v>
      </c>
      <c r="X6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3" spans="1:24" ht="12.5" x14ac:dyDescent="0.25">
      <c r="A613" s="19"/>
      <c r="B613" s="19" t="s">
        <v>34</v>
      </c>
      <c r="C613" s="5" t="s">
        <v>91</v>
      </c>
      <c r="D613" s="20" t="s">
        <v>29</v>
      </c>
      <c r="E613" s="35"/>
      <c r="F613" s="29" cm="1">
        <f t="array" ref="F613">IF(V613 &lt;&gt; "", V613, IFERROR(_xlfn.SINGLE(INDEX($G$1:G612,SUMPRODUCT(MAX(($W$1:W612=W613)*(ROW($W$1:W612))))))+IF(D613="Fiscal",30,90),""))</f>
        <v>45971</v>
      </c>
      <c r="G613" s="21">
        <v>45960</v>
      </c>
      <c r="H613" s="15">
        <f t="shared" si="265"/>
        <v>45970</v>
      </c>
      <c r="I613" s="15">
        <v>45961</v>
      </c>
      <c r="J613" s="32" t="s">
        <v>223</v>
      </c>
      <c r="K613" s="15">
        <f t="shared" si="266"/>
        <v>45980</v>
      </c>
      <c r="L613" s="15">
        <v>45973</v>
      </c>
      <c r="M613" s="15">
        <f t="shared" si="267"/>
        <v>45985</v>
      </c>
      <c r="N613" s="13">
        <v>45985</v>
      </c>
      <c r="O613" s="2" t="str">
        <f>IFERROR(IF(tblColetas[[#This Row],[Status Coleta]]="Reprovado","Reprovado",IF(ISERROR(SEARCH("Poço",D613)),IF(N613="","Erro",IF(Q613="Reprovado","",WORKDAY(N613,IF(D613="Operacional",10,3),FERIADOS!$A$3:$A$119))),"-")),"-")</f>
        <v>-</v>
      </c>
      <c r="P613" s="21"/>
      <c r="Q613" s="7"/>
      <c r="R613" s="13"/>
      <c r="S613" s="30"/>
      <c r="T613" s="43"/>
      <c r="W613" t="str">
        <f t="shared" si="268"/>
        <v>CDSPoço LL-80 (P-08)Poço PVT</v>
      </c>
      <c r="X6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4" spans="1:24" ht="12.5" x14ac:dyDescent="0.25">
      <c r="A614" s="8"/>
      <c r="B614" s="8" t="s">
        <v>192</v>
      </c>
      <c r="C614" s="5" t="s">
        <v>112</v>
      </c>
      <c r="D614" s="9" t="s">
        <v>72</v>
      </c>
      <c r="E614" s="36"/>
      <c r="F614" s="29" cm="1">
        <f t="array" ref="F614">IF(V614 &lt;&gt; "", V614, IFERROR(_xlfn.SINGLE(INDEX($G$1:G613,SUMPRODUCT(MAX(($W$1:W613=W614)*(ROW($W$1:W613))))))+IF(D614="Fiscal",30,90),""))</f>
        <v>45916</v>
      </c>
      <c r="G614" s="13">
        <v>45915</v>
      </c>
      <c r="H614" s="15">
        <f t="shared" si="265"/>
        <v>45925</v>
      </c>
      <c r="I614" s="15"/>
      <c r="J614" s="32"/>
      <c r="K614" s="15">
        <f t="shared" si="266"/>
        <v>45935</v>
      </c>
      <c r="L614" s="15"/>
      <c r="M614" s="15">
        <f t="shared" si="267"/>
        <v>45940</v>
      </c>
      <c r="N614" s="13">
        <v>45940</v>
      </c>
      <c r="O614" s="2">
        <f>IFERROR(IF(tblColetas[[#This Row],[Status Coleta]]="Reprovado","Reprovado",IF(ISERROR(SEARCH("Poço",D614)),IF(N614="","Erro",IF(Q614="Reprovado","",WORKDAY(N614,IF(D614="Operacional",10,3),FERIADOS!$A$3:$A$119))),"-")),"-")</f>
        <v>45945</v>
      </c>
      <c r="P614" s="13">
        <v>45945</v>
      </c>
      <c r="Q614" s="7" t="s">
        <v>37</v>
      </c>
      <c r="R614" s="13"/>
      <c r="S614" s="30"/>
      <c r="T614" s="43"/>
      <c r="W614" t="str">
        <f t="shared" si="268"/>
        <v>ADG776-AP-0006 (HP Flare)Fiscal</v>
      </c>
      <c r="X6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5" spans="1:24" ht="12.5" x14ac:dyDescent="0.25">
      <c r="A615" s="8"/>
      <c r="B615" s="8" t="s">
        <v>192</v>
      </c>
      <c r="C615" s="5" t="s">
        <v>193</v>
      </c>
      <c r="D615" s="9" t="s">
        <v>72</v>
      </c>
      <c r="E615" s="36"/>
      <c r="F615" s="29" cm="1">
        <f t="array" ref="F615">IF(V615 &lt;&gt; "", V615, IFERROR(_xlfn.SINGLE(INDEX($G$1:G614,SUMPRODUCT(MAX(($W$1:W614=W615)*(ROW($W$1:W614))))))+IF(D615="Fiscal",30,90),""))</f>
        <v>45916</v>
      </c>
      <c r="G615" s="13">
        <v>45915</v>
      </c>
      <c r="H615" s="15">
        <f t="shared" si="265"/>
        <v>45925</v>
      </c>
      <c r="I615" s="15"/>
      <c r="J615" s="32"/>
      <c r="K615" s="15">
        <f t="shared" si="266"/>
        <v>45935</v>
      </c>
      <c r="L615" s="15"/>
      <c r="M615" s="15">
        <f t="shared" si="267"/>
        <v>45940</v>
      </c>
      <c r="N615" s="13">
        <v>45940</v>
      </c>
      <c r="O615" s="2">
        <f>IFERROR(IF(tblColetas[[#This Row],[Status Coleta]]="Reprovado","Reprovado",IF(ISERROR(SEARCH("Poço",D615)),IF(N615="","Erro",IF(Q615="Reprovado","",WORKDAY(N615,IF(D615="Operacional",10,3),FERIADOS!$A$3:$A$119))),"-")),"-")</f>
        <v>45945</v>
      </c>
      <c r="P615" s="13">
        <v>45945</v>
      </c>
      <c r="Q615" s="7" t="s">
        <v>37</v>
      </c>
      <c r="R615" s="13"/>
      <c r="S615" s="30"/>
      <c r="T615" s="43"/>
      <c r="W615" t="str">
        <f t="shared" si="268"/>
        <v>ADG776-AP-0026 (LP Flare)Fiscal</v>
      </c>
      <c r="X6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6" spans="1:24" ht="12.5" x14ac:dyDescent="0.25">
      <c r="A616" s="8"/>
      <c r="B616" s="8" t="s">
        <v>192</v>
      </c>
      <c r="C616" s="5" t="s">
        <v>194</v>
      </c>
      <c r="D616" s="9" t="s">
        <v>72</v>
      </c>
      <c r="E616" s="36"/>
      <c r="F616" s="29" cm="1">
        <f t="array" ref="F616">IF(V616 &lt;&gt; "", V616, IFERROR(_xlfn.SINGLE(INDEX($G$1:G615,SUMPRODUCT(MAX(($W$1:W615=W616)*(ROW($W$1:W615))))))+IF(D616="Fiscal",30,90),""))</f>
        <v>45916</v>
      </c>
      <c r="G616" s="13">
        <v>45915</v>
      </c>
      <c r="H616" s="15">
        <f t="shared" si="265"/>
        <v>45925</v>
      </c>
      <c r="I616" s="15"/>
      <c r="J616" s="32"/>
      <c r="K616" s="15">
        <f t="shared" si="266"/>
        <v>45935</v>
      </c>
      <c r="L616" s="15"/>
      <c r="M616" s="15">
        <f t="shared" si="267"/>
        <v>45940</v>
      </c>
      <c r="N616" s="13">
        <v>45940</v>
      </c>
      <c r="O616" s="2" t="str">
        <f>IFERROR(IF(tblColetas[[#This Row],[Status Coleta]]="Reprovado","Reprovado",IF(ISERROR(SEARCH("Poço",D616)),IF(N616="","Erro",IF(Q616="Reprovado","",WORKDAY(N616,IF(D616="Operacional",10,3),FERIADOS!$A$3:$A$119))),"-")),"-")</f>
        <v>Reprovado</v>
      </c>
      <c r="P616" s="13"/>
      <c r="Q616" s="7" t="s">
        <v>81</v>
      </c>
      <c r="R616" s="13"/>
      <c r="S616" s="33" t="s">
        <v>135</v>
      </c>
      <c r="T616" s="43"/>
      <c r="W616" t="str">
        <f t="shared" si="268"/>
        <v>ADG777-AP-1212 (Fuel Gas)Fiscal</v>
      </c>
      <c r="X6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7" spans="1:24" ht="12.5" x14ac:dyDescent="0.25">
      <c r="A617" s="8"/>
      <c r="B617" s="8" t="s">
        <v>192</v>
      </c>
      <c r="C617" s="5" t="s">
        <v>195</v>
      </c>
      <c r="D617" s="9" t="s">
        <v>72</v>
      </c>
      <c r="E617" s="36"/>
      <c r="F617" s="29" cm="1">
        <f t="array" ref="F617">IF(V617 &lt;&gt; "", V617, IFERROR(_xlfn.SINGLE(INDEX($G$1:G616,SUMPRODUCT(MAX(($W$1:W616=W617)*(ROW($W$1:W616))))))+IF(D617="Fiscal",30,90),""))</f>
        <v>45916</v>
      </c>
      <c r="G617" s="13">
        <v>45915</v>
      </c>
      <c r="H617" s="15">
        <f t="shared" si="265"/>
        <v>45925</v>
      </c>
      <c r="I617" s="15"/>
      <c r="J617" s="32"/>
      <c r="K617" s="15">
        <f t="shared" si="266"/>
        <v>45935</v>
      </c>
      <c r="L617" s="15"/>
      <c r="M617" s="15">
        <f t="shared" si="267"/>
        <v>45940</v>
      </c>
      <c r="N617" s="13">
        <v>45940</v>
      </c>
      <c r="O617" s="2">
        <f>IFERROR(IF(tblColetas[[#This Row],[Status Coleta]]="Reprovado","Reprovado",IF(ISERROR(SEARCH("Poço",D617)),IF(N617="","Erro",IF(Q617="Reprovado","",WORKDAY(N617,IF(D617="Operacional",10,3),FERIADOS!$A$3:$A$119))),"-")),"-")</f>
        <v>45945</v>
      </c>
      <c r="P617" s="13">
        <v>45945</v>
      </c>
      <c r="Q617" s="7" t="s">
        <v>37</v>
      </c>
      <c r="R617" s="13"/>
      <c r="S617" s="30"/>
      <c r="T617" s="43"/>
      <c r="W617" t="str">
        <f t="shared" si="268"/>
        <v>ADG771-AP-0225 (Flare Assist)Fiscal</v>
      </c>
      <c r="X6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8" spans="1:24" ht="12.5" x14ac:dyDescent="0.25">
      <c r="A618" s="8"/>
      <c r="B618" s="8" t="s">
        <v>192</v>
      </c>
      <c r="C618" s="5" t="s">
        <v>220</v>
      </c>
      <c r="D618" s="9" t="s">
        <v>70</v>
      </c>
      <c r="E618" s="36"/>
      <c r="F618" s="29" cm="1">
        <f t="array" ref="F618">IF(V618 &lt;&gt; "", V618, IFERROR(_xlfn.SINGLE(INDEX($G$1:G617,SUMPRODUCT(MAX(($W$1:W617=W618)*(ROW($W$1:W617))))))+IF(D618="Fiscal",30,90),""))</f>
        <v>45976</v>
      </c>
      <c r="G618" s="13">
        <v>45915</v>
      </c>
      <c r="H618" s="15">
        <f t="shared" si="265"/>
        <v>45925</v>
      </c>
      <c r="I618" s="15"/>
      <c r="J618" s="32"/>
      <c r="K618" s="15">
        <f t="shared" si="266"/>
        <v>45935</v>
      </c>
      <c r="L618" s="15"/>
      <c r="M618" s="15">
        <f t="shared" si="267"/>
        <v>45940</v>
      </c>
      <c r="N618" s="13">
        <v>45940</v>
      </c>
      <c r="O618" s="2" t="str">
        <f>IFERROR(IF(tblColetas[[#This Row],[Status Coleta]]="Reprovado","Reprovado",IF(ISERROR(SEARCH("Poço",D618)),IF(N618="","Erro",IF(Q618="Reprovado","",WORKDAY(N618,IF(D618="Operacional",10,3),FERIADOS!$A$3:$A$119))),"-")),"-")</f>
        <v>Reprovado</v>
      </c>
      <c r="P618" s="13"/>
      <c r="Q618" s="7" t="s">
        <v>81</v>
      </c>
      <c r="R618" s="13"/>
      <c r="S618" s="33" t="s">
        <v>127</v>
      </c>
      <c r="T618" s="43"/>
      <c r="W618" t="str">
        <f t="shared" si="268"/>
        <v>ADG773-AP-0014 (Gas Lift)Gas Lift</v>
      </c>
      <c r="X6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19" spans="1:24" ht="12.5" x14ac:dyDescent="0.25">
      <c r="A619" s="19"/>
      <c r="B619" s="19" t="s">
        <v>31</v>
      </c>
      <c r="C619" s="5" t="s">
        <v>105</v>
      </c>
      <c r="D619" s="20" t="s">
        <v>26</v>
      </c>
      <c r="E619" s="35"/>
      <c r="F619" s="29" cm="1">
        <f t="array" ref="F619">IF(V619 &lt;&gt; "", V619, IFERROR(_xlfn.SINGLE(INDEX($G$1:G618,SUMPRODUCT(MAX(($W$1:W618=W619)*(ROW($W$1:W618))))))+IF(D619="Fiscal",30,90),""))</f>
        <v>45981</v>
      </c>
      <c r="G619" s="21">
        <v>45962</v>
      </c>
      <c r="H619" s="15">
        <f t="shared" ref="H619:H622" si="269">IF(G619="","Erro", G619+10)</f>
        <v>45972</v>
      </c>
      <c r="I619" s="15">
        <v>45964</v>
      </c>
      <c r="J619" s="32" t="s">
        <v>186</v>
      </c>
      <c r="K619" s="15">
        <f t="shared" ref="K619:K622" si="270">IF(G619="","Erro",G619+20)</f>
        <v>45982</v>
      </c>
      <c r="L619" s="15">
        <v>45974</v>
      </c>
      <c r="M619" s="15">
        <f t="shared" ref="M619:M622" si="271">IF(G619="","Erro",G619+IF(D619="Operacional",45,25))</f>
        <v>45987</v>
      </c>
      <c r="N619" s="13">
        <v>45987</v>
      </c>
      <c r="O619" s="2" t="str">
        <f>IFERROR(IF(tblColetas[[#This Row],[Status Coleta]]="Reprovado","Reprovado",IF(ISERROR(SEARCH("Poço",D619)),IF(N619="","Erro",IF(Q619="Reprovado","",WORKDAY(N619,IF(D619="Operacional",10,3),FERIADOS!$A$3:$A$119))),"-")),"-")</f>
        <v>-</v>
      </c>
      <c r="P619" s="21"/>
      <c r="Q619" s="7" t="s">
        <v>37</v>
      </c>
      <c r="R619" s="13"/>
      <c r="S619" s="30"/>
      <c r="T619" s="43"/>
      <c r="W619" t="str">
        <f t="shared" ref="W619:W622" si="272">B619&amp;C619&amp;D619</f>
        <v>CDIPoço SPH-16 (P-7)Poço CG</v>
      </c>
      <c r="X6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0" spans="1:24" ht="12.5" x14ac:dyDescent="0.25">
      <c r="A620" s="19"/>
      <c r="B620" s="19" t="s">
        <v>31</v>
      </c>
      <c r="C620" s="5" t="s">
        <v>105</v>
      </c>
      <c r="D620" s="20" t="s">
        <v>29</v>
      </c>
      <c r="E620" s="35"/>
      <c r="F620" s="29" cm="1">
        <f t="array" ref="F620">IF(V620 &lt;&gt; "", V620, IFERROR(_xlfn.SINGLE(INDEX($G$1:G619,SUMPRODUCT(MAX(($W$1:W619=W620)*(ROW($W$1:W619))))))+IF(D620="Fiscal",30,90),""))</f>
        <v>45981</v>
      </c>
      <c r="G620" s="21">
        <v>45962</v>
      </c>
      <c r="H620" s="15">
        <f t="shared" si="269"/>
        <v>45972</v>
      </c>
      <c r="I620" s="15">
        <v>45964</v>
      </c>
      <c r="J620" s="32" t="s">
        <v>186</v>
      </c>
      <c r="K620" s="15">
        <f t="shared" si="270"/>
        <v>45982</v>
      </c>
      <c r="L620" s="15">
        <v>45974</v>
      </c>
      <c r="M620" s="15">
        <f t="shared" si="271"/>
        <v>45987</v>
      </c>
      <c r="N620" s="13">
        <v>45987</v>
      </c>
      <c r="O620" s="2" t="str">
        <f>IFERROR(IF(tblColetas[[#This Row],[Status Coleta]]="Reprovado","Reprovado",IF(ISERROR(SEARCH("Poço",D620)),IF(N620="","Erro",IF(Q620="Reprovado","",WORKDAY(N620,IF(D620="Operacional",10,3),FERIADOS!$A$3:$A$119))),"-")),"-")</f>
        <v>-</v>
      </c>
      <c r="P620" s="21"/>
      <c r="Q620" s="7" t="s">
        <v>37</v>
      </c>
      <c r="R620" s="13"/>
      <c r="S620" s="30"/>
      <c r="T620" s="43"/>
      <c r="W620" t="str">
        <f t="shared" si="272"/>
        <v>CDIPoço SPH-16 (P-7)Poço PVT</v>
      </c>
      <c r="X6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1" spans="1:24" ht="12.5" x14ac:dyDescent="0.25">
      <c r="A621" s="19"/>
      <c r="B621" s="19" t="s">
        <v>31</v>
      </c>
      <c r="C621" s="5" t="s">
        <v>107</v>
      </c>
      <c r="D621" s="20" t="s">
        <v>26</v>
      </c>
      <c r="E621" s="35"/>
      <c r="F621" s="29" cm="1">
        <f t="array" ref="F621">IF(V621 &lt;&gt; "", V621, IFERROR(_xlfn.SINGLE(INDEX($G$1:G620,SUMPRODUCT(MAX(($W$1:W620=W621)*(ROW($W$1:W620))))))+IF(D621="Fiscal",30,90),""))</f>
        <v>45982</v>
      </c>
      <c r="G621" s="21">
        <v>45958</v>
      </c>
      <c r="H621" s="15">
        <f t="shared" si="269"/>
        <v>45968</v>
      </c>
      <c r="I621" s="15">
        <v>45964</v>
      </c>
      <c r="J621" s="32" t="s">
        <v>186</v>
      </c>
      <c r="K621" s="15">
        <f t="shared" si="270"/>
        <v>45978</v>
      </c>
      <c r="L621" s="15">
        <v>45974</v>
      </c>
      <c r="M621" s="15">
        <f t="shared" si="271"/>
        <v>45983</v>
      </c>
      <c r="N621" s="13">
        <v>45982</v>
      </c>
      <c r="O621" s="2" t="str">
        <f>IFERROR(IF(tblColetas[[#This Row],[Status Coleta]]="Reprovado","Reprovado",IF(ISERROR(SEARCH("Poço",D621)),IF(N621="","Erro",IF(Q621="Reprovado","",WORKDAY(N621,IF(D621="Operacional",10,3),FERIADOS!$A$3:$A$119))),"-")),"-")</f>
        <v>-</v>
      </c>
      <c r="P621" s="21"/>
      <c r="Q621" s="7" t="s">
        <v>37</v>
      </c>
      <c r="R621" s="13"/>
      <c r="S621" s="30"/>
      <c r="T621" s="43"/>
      <c r="W621" t="str">
        <f t="shared" si="272"/>
        <v>CDIPoço SPH-7 (P-3)Poço CG</v>
      </c>
      <c r="X6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2" spans="1:24" ht="13.5" customHeight="1" x14ac:dyDescent="0.25">
      <c r="A622" s="19"/>
      <c r="B622" s="19" t="s">
        <v>31</v>
      </c>
      <c r="C622" s="5" t="s">
        <v>107</v>
      </c>
      <c r="D622" s="20" t="s">
        <v>29</v>
      </c>
      <c r="E622" s="35"/>
      <c r="F622" s="29" cm="1">
        <f t="array" ref="F622">IF(V622 &lt;&gt; "", V622, IFERROR(_xlfn.SINGLE(INDEX($G$1:G621,SUMPRODUCT(MAX(($W$1:W621=W622)*(ROW($W$1:W621))))))+IF(D622="Fiscal",30,90),""))</f>
        <v>45982</v>
      </c>
      <c r="G622" s="21">
        <v>45958</v>
      </c>
      <c r="H622" s="15">
        <f t="shared" si="269"/>
        <v>45968</v>
      </c>
      <c r="I622" s="15">
        <v>45964</v>
      </c>
      <c r="J622" s="32" t="s">
        <v>186</v>
      </c>
      <c r="K622" s="15">
        <f t="shared" si="270"/>
        <v>45978</v>
      </c>
      <c r="L622" s="15">
        <v>45974</v>
      </c>
      <c r="M622" s="15">
        <f t="shared" si="271"/>
        <v>45983</v>
      </c>
      <c r="N622" s="13">
        <v>45982</v>
      </c>
      <c r="O622" s="2" t="str">
        <f>IFERROR(IF(tblColetas[[#This Row],[Status Coleta]]="Reprovado","Reprovado",IF(ISERROR(SEARCH("Poço",D622)),IF(N622="","Erro",IF(Q622="Reprovado","",WORKDAY(N622,IF(D622="Operacional",10,3),FERIADOS!$A$3:$A$119))),"-")),"-")</f>
        <v>-</v>
      </c>
      <c r="P622" s="21"/>
      <c r="Q622" s="7" t="s">
        <v>37</v>
      </c>
      <c r="R622" s="13"/>
      <c r="S622" s="30"/>
      <c r="T622" s="43"/>
      <c r="W622" t="str">
        <f t="shared" si="272"/>
        <v>CDIPoço SPH-7 (P-3)Poço PVT</v>
      </c>
      <c r="X6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3" spans="1:24" ht="12.5" x14ac:dyDescent="0.25">
      <c r="A623" s="19"/>
      <c r="B623" s="19" t="s">
        <v>38</v>
      </c>
      <c r="C623" s="5" t="s">
        <v>74</v>
      </c>
      <c r="D623" s="20" t="s">
        <v>72</v>
      </c>
      <c r="E623" s="35"/>
      <c r="F623" s="29" cm="1">
        <f t="array" ref="F623">IF(V623 &lt;&gt; "", V623, IFERROR(_xlfn.SINGLE(INDEX($G$1:G622,SUMPRODUCT(MAX(($W$1:W622=W623)*(ROW($W$1:W622))))))+IF(D623="Fiscal",30,90),""))</f>
        <v>45925</v>
      </c>
      <c r="G623" s="21">
        <v>45924</v>
      </c>
      <c r="H623" s="15">
        <f t="shared" ref="H623:H632" si="273">IF(G623="","Erro", G623+10)</f>
        <v>45934</v>
      </c>
      <c r="I623" s="15"/>
      <c r="J623" s="32"/>
      <c r="K623" s="15">
        <f t="shared" ref="K623:K632" si="274">IF(G623="","Erro",G623+20)</f>
        <v>45944</v>
      </c>
      <c r="L623" s="15"/>
      <c r="M623" s="15">
        <f t="shared" ref="M623:M632" si="275">IF(G623="","Erro",G623+IF(D623="Operacional",45,25))</f>
        <v>45949</v>
      </c>
      <c r="N623" s="13">
        <v>45947</v>
      </c>
      <c r="O623" s="2">
        <f>IFERROR(IF(tblColetas[[#This Row],[Status Coleta]]="Reprovado","Reprovado",IF(ISERROR(SEARCH("Poço",D623)),IF(N623="","Erro",IF(Q623="Reprovado","",WORKDAY(N623,IF(D623="Operacional",10,3),FERIADOS!$A$3:$A$119))),"-")),"-")</f>
        <v>45952</v>
      </c>
      <c r="P623" s="21">
        <v>45951</v>
      </c>
      <c r="Q623" s="7" t="s">
        <v>37</v>
      </c>
      <c r="R623" s="13"/>
      <c r="S623" s="30"/>
      <c r="T623" s="43"/>
      <c r="W623" t="str">
        <f t="shared" ref="W623:W632" si="276">B623&amp;C623&amp;D623</f>
        <v>CDPT76-FT-0014 (HP Flare)Fiscal</v>
      </c>
      <c r="X6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4" spans="1:24" ht="12.5" x14ac:dyDescent="0.25">
      <c r="A624" s="19"/>
      <c r="B624" s="19" t="s">
        <v>38</v>
      </c>
      <c r="C624" s="5" t="s">
        <v>75</v>
      </c>
      <c r="D624" s="20" t="s">
        <v>72</v>
      </c>
      <c r="E624" s="35"/>
      <c r="F624" s="29" cm="1">
        <f t="array" ref="F624">IF(V624 &lt;&gt; "", V624, IFERROR(_xlfn.SINGLE(INDEX($G$1:G623,SUMPRODUCT(MAX(($W$1:W623=W624)*(ROW($W$1:W623))))))+IF(D624="Fiscal",30,90),""))</f>
        <v>45925</v>
      </c>
      <c r="G624" s="21">
        <v>45924</v>
      </c>
      <c r="H624" s="15">
        <f t="shared" si="273"/>
        <v>45934</v>
      </c>
      <c r="I624" s="15"/>
      <c r="J624" s="32"/>
      <c r="K624" s="15">
        <f t="shared" si="274"/>
        <v>45944</v>
      </c>
      <c r="L624" s="15"/>
      <c r="M624" s="15">
        <f t="shared" si="275"/>
        <v>45949</v>
      </c>
      <c r="N624" s="13">
        <v>45947</v>
      </c>
      <c r="O624" s="2">
        <f>IFERROR(IF(tblColetas[[#This Row],[Status Coleta]]="Reprovado","Reprovado",IF(ISERROR(SEARCH("Poço",D624)),IF(N624="","Erro",IF(Q624="Reprovado","",WORKDAY(N624,IF(D624="Operacional",10,3),FERIADOS!$A$3:$A$119))),"-")),"-")</f>
        <v>45952</v>
      </c>
      <c r="P624" s="21">
        <v>45951</v>
      </c>
      <c r="Q624" s="7" t="s">
        <v>37</v>
      </c>
      <c r="R624" s="13"/>
      <c r="S624" s="30"/>
      <c r="T624" s="43"/>
      <c r="W624" t="str">
        <f t="shared" si="276"/>
        <v>CDPT76-FT-0034 (LP Flare)Fiscal</v>
      </c>
      <c r="X6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5" spans="1:24" ht="12.5" x14ac:dyDescent="0.25">
      <c r="A625" s="19"/>
      <c r="B625" s="19" t="s">
        <v>38</v>
      </c>
      <c r="C625" s="5" t="s">
        <v>71</v>
      </c>
      <c r="D625" s="20" t="s">
        <v>72</v>
      </c>
      <c r="E625" s="35"/>
      <c r="F625" s="29" cm="1">
        <f t="array" ref="F625">IF(V625 &lt;&gt; "", V625, IFERROR(_xlfn.SINGLE(INDEX($G$1:G624,SUMPRODUCT(MAX(($W$1:W624=W625)*(ROW($W$1:W624))))))+IF(D625="Fiscal",30,90),""))</f>
        <v>45925</v>
      </c>
      <c r="G625" s="21">
        <v>45924</v>
      </c>
      <c r="H625" s="15">
        <f t="shared" si="273"/>
        <v>45934</v>
      </c>
      <c r="I625" s="15"/>
      <c r="J625" s="32"/>
      <c r="K625" s="15">
        <f t="shared" si="274"/>
        <v>45944</v>
      </c>
      <c r="L625" s="15"/>
      <c r="M625" s="15">
        <f t="shared" si="275"/>
        <v>45949</v>
      </c>
      <c r="N625" s="13">
        <v>45947</v>
      </c>
      <c r="O625" s="2" t="str">
        <f>IFERROR(IF(tblColetas[[#This Row],[Status Coleta]]="Reprovado","Reprovado",IF(ISERROR(SEARCH("Poço",D625)),IF(N625="","Erro",IF(Q625="Reprovado","",WORKDAY(N625,IF(D625="Operacional",10,3),FERIADOS!$A$3:$A$119))),"-")),"-")</f>
        <v>Reprovado</v>
      </c>
      <c r="P625" s="21"/>
      <c r="Q625" s="7" t="s">
        <v>81</v>
      </c>
      <c r="R625" s="13"/>
      <c r="S625" s="30"/>
      <c r="T625" s="43"/>
      <c r="W625" t="str">
        <f t="shared" si="276"/>
        <v>CDPT77-FT-0103 (Fuel Gas)Fiscal</v>
      </c>
      <c r="X6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6" spans="1:24" ht="12.5" x14ac:dyDescent="0.25">
      <c r="A626" s="19"/>
      <c r="B626" s="19" t="s">
        <v>38</v>
      </c>
      <c r="C626" s="5" t="s">
        <v>98</v>
      </c>
      <c r="D626" s="20" t="s">
        <v>72</v>
      </c>
      <c r="E626" s="35"/>
      <c r="F626" s="29" cm="1">
        <f t="array" ref="F626">IF(V626 &lt;&gt; "", V626, IFERROR(_xlfn.SINGLE(INDEX($G$1:G625,SUMPRODUCT(MAX(($W$1:W625=W626)*(ROW($W$1:W625))))))+IF(D626="Fiscal",30,90),""))</f>
        <v>45925</v>
      </c>
      <c r="G626" s="21">
        <v>45924</v>
      </c>
      <c r="H626" s="15">
        <f t="shared" si="273"/>
        <v>45934</v>
      </c>
      <c r="I626" s="15"/>
      <c r="J626" s="32"/>
      <c r="K626" s="15">
        <f t="shared" si="274"/>
        <v>45944</v>
      </c>
      <c r="L626" s="15"/>
      <c r="M626" s="15">
        <f t="shared" si="275"/>
        <v>45949</v>
      </c>
      <c r="N626" s="13">
        <v>45947</v>
      </c>
      <c r="O626" s="2" t="str">
        <f>IFERROR(IF(tblColetas[[#This Row],[Status Coleta]]="Reprovado","Reprovado",IF(ISERROR(SEARCH("Poço",D626)),IF(N626="","Erro",IF(Q626="Reprovado","",WORKDAY(N626,IF(D626="Operacional",10,3),FERIADOS!$A$3:$A$119))),"-")),"-")</f>
        <v>Reprovado</v>
      </c>
      <c r="P626" s="21"/>
      <c r="Q626" s="7" t="s">
        <v>81</v>
      </c>
      <c r="R626" s="13"/>
      <c r="S626" s="30"/>
      <c r="T626" s="43"/>
      <c r="W626" t="str">
        <f t="shared" si="276"/>
        <v>CDPT74-FT-6701 (Export Gas)Fiscal</v>
      </c>
      <c r="X6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7" spans="1:24" ht="12.5" x14ac:dyDescent="0.25">
      <c r="A627" s="19"/>
      <c r="B627" s="19" t="s">
        <v>38</v>
      </c>
      <c r="C627" s="5" t="s">
        <v>99</v>
      </c>
      <c r="D627" s="20" t="s">
        <v>70</v>
      </c>
      <c r="E627" s="35"/>
      <c r="F627" s="29" cm="1">
        <f t="array" ref="F627">IF(V627 &lt;&gt; "", V627, IFERROR(_xlfn.SINGLE(INDEX($G$1:G626,SUMPRODUCT(MAX(($W$1:W626=W627)*(ROW($W$1:W626))))))+IF(D627="Fiscal",30,90),""))</f>
        <v>45985</v>
      </c>
      <c r="G627" s="21">
        <v>45924</v>
      </c>
      <c r="H627" s="15">
        <f t="shared" si="273"/>
        <v>45934</v>
      </c>
      <c r="I627" s="15"/>
      <c r="J627" s="32"/>
      <c r="K627" s="15">
        <f t="shared" si="274"/>
        <v>45944</v>
      </c>
      <c r="L627" s="15"/>
      <c r="M627" s="15">
        <f t="shared" si="275"/>
        <v>45949</v>
      </c>
      <c r="N627" s="13">
        <v>45947</v>
      </c>
      <c r="O627" s="2" t="str">
        <f>IFERROR(IF(tblColetas[[#This Row],[Status Coleta]]="Reprovado","Reprovado",IF(ISERROR(SEARCH("Poço",D627)),IF(N627="","Erro",IF(Q627="Reprovado","",WORKDAY(N627,IF(D627="Operacional",10,3),FERIADOS!$A$3:$A$119))),"-")),"-")</f>
        <v>Reprovado</v>
      </c>
      <c r="P627" s="21"/>
      <c r="Q627" s="7" t="s">
        <v>81</v>
      </c>
      <c r="R627" s="13"/>
      <c r="S627" s="30"/>
      <c r="T627" s="43"/>
      <c r="W627" t="str">
        <f t="shared" si="276"/>
        <v>CDPT73-AP-0016 (Gas Lift)Gas Lift</v>
      </c>
      <c r="X6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8" spans="1:24" ht="12.5" x14ac:dyDescent="0.25">
      <c r="A628" s="19"/>
      <c r="B628" s="19" t="s">
        <v>46</v>
      </c>
      <c r="C628" s="5" t="s">
        <v>74</v>
      </c>
      <c r="D628" s="20" t="s">
        <v>72</v>
      </c>
      <c r="E628" s="35"/>
      <c r="F628" s="29" cm="1">
        <f t="array" ref="F628">IF(V628 &lt;&gt; "", V628, IFERROR(_xlfn.SINGLE(INDEX($G$1:G627,SUMPRODUCT(MAX(($W$1:W627=W628)*(ROW($W$1:W627))))))+IF(D628="Fiscal",30,90),""))</f>
        <v>45924</v>
      </c>
      <c r="G628" s="21">
        <v>45924</v>
      </c>
      <c r="H628" s="15">
        <f t="shared" si="273"/>
        <v>45934</v>
      </c>
      <c r="I628" s="15"/>
      <c r="J628" s="32"/>
      <c r="K628" s="15">
        <f t="shared" si="274"/>
        <v>45944</v>
      </c>
      <c r="L628" s="15"/>
      <c r="M628" s="15">
        <f t="shared" si="275"/>
        <v>45949</v>
      </c>
      <c r="N628" s="13">
        <v>45947</v>
      </c>
      <c r="O628" s="2">
        <f>IFERROR(IF(tblColetas[[#This Row],[Status Coleta]]="Reprovado","Reprovado",IF(ISERROR(SEARCH("Poço",D628)),IF(N628="","Erro",IF(Q628="Reprovado","",WORKDAY(N628,IF(D628="Operacional",10,3),FERIADOS!$A$3:$A$119))),"-")),"-")</f>
        <v>45952</v>
      </c>
      <c r="P628" s="21">
        <v>45951</v>
      </c>
      <c r="Q628" s="7" t="s">
        <v>37</v>
      </c>
      <c r="R628" s="13"/>
      <c r="S628" s="30"/>
      <c r="T628" s="43"/>
      <c r="W628" t="str">
        <f t="shared" si="276"/>
        <v>CDMT76-FT-0014 (HP Flare)Fiscal</v>
      </c>
      <c r="X6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29" spans="1:24" ht="12.5" x14ac:dyDescent="0.25">
      <c r="A629" s="19"/>
      <c r="B629" s="19" t="s">
        <v>46</v>
      </c>
      <c r="C629" s="5" t="s">
        <v>75</v>
      </c>
      <c r="D629" s="20" t="s">
        <v>72</v>
      </c>
      <c r="E629" s="35"/>
      <c r="F629" s="29" cm="1">
        <f t="array" ref="F629">IF(V629 &lt;&gt; "", V629, IFERROR(_xlfn.SINGLE(INDEX($G$1:G628,SUMPRODUCT(MAX(($W$1:W628=W629)*(ROW($W$1:W628))))))+IF(D629="Fiscal",30,90),""))</f>
        <v>45924</v>
      </c>
      <c r="G629" s="21">
        <v>45924</v>
      </c>
      <c r="H629" s="15">
        <f t="shared" si="273"/>
        <v>45934</v>
      </c>
      <c r="I629" s="15"/>
      <c r="J629" s="32"/>
      <c r="K629" s="15">
        <f t="shared" si="274"/>
        <v>45944</v>
      </c>
      <c r="L629" s="15"/>
      <c r="M629" s="15">
        <f t="shared" si="275"/>
        <v>45949</v>
      </c>
      <c r="N629" s="13">
        <v>45947</v>
      </c>
      <c r="O629" s="2">
        <f>IFERROR(IF(tblColetas[[#This Row],[Status Coleta]]="Reprovado","Reprovado",IF(ISERROR(SEARCH("Poço",D629)),IF(N629="","Erro",IF(Q629="Reprovado","",WORKDAY(N629,IF(D629="Operacional",10,3),FERIADOS!$A$3:$A$119))),"-")),"-")</f>
        <v>45952</v>
      </c>
      <c r="P629" s="21">
        <v>45951</v>
      </c>
      <c r="Q629" s="7" t="s">
        <v>37</v>
      </c>
      <c r="R629" s="13"/>
      <c r="S629" s="30"/>
      <c r="T629" s="43"/>
      <c r="W629" t="str">
        <f t="shared" si="276"/>
        <v>CDMT76-FT-0034 (LP Flare)Fiscal</v>
      </c>
      <c r="X6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0" spans="1:24" ht="12.5" x14ac:dyDescent="0.25">
      <c r="A630" s="19"/>
      <c r="B630" s="19" t="s">
        <v>46</v>
      </c>
      <c r="C630" s="5" t="s">
        <v>71</v>
      </c>
      <c r="D630" s="20" t="s">
        <v>72</v>
      </c>
      <c r="E630" s="35"/>
      <c r="F630" s="29" cm="1">
        <f t="array" ref="F630">IF(V630 &lt;&gt; "", V630, IFERROR(_xlfn.SINGLE(INDEX($G$1:G629,SUMPRODUCT(MAX(($W$1:W629=W630)*(ROW($W$1:W629))))))+IF(D630="Fiscal",30,90),""))</f>
        <v>45924</v>
      </c>
      <c r="G630" s="21">
        <v>45924</v>
      </c>
      <c r="H630" s="15">
        <f t="shared" si="273"/>
        <v>45934</v>
      </c>
      <c r="I630" s="15"/>
      <c r="J630" s="32"/>
      <c r="K630" s="15">
        <f t="shared" si="274"/>
        <v>45944</v>
      </c>
      <c r="L630" s="15"/>
      <c r="M630" s="15">
        <f t="shared" si="275"/>
        <v>45949</v>
      </c>
      <c r="N630" s="13">
        <v>45947</v>
      </c>
      <c r="O630" s="2">
        <f>IFERROR(IF(tblColetas[[#This Row],[Status Coleta]]="Reprovado","Reprovado",IF(ISERROR(SEARCH("Poço",D630)),IF(N630="","Erro",IF(Q630="Reprovado","",WORKDAY(N630,IF(D630="Operacional",10,3),FERIADOS!$A$3:$A$119))),"-")),"-")</f>
        <v>45952</v>
      </c>
      <c r="P630" s="21">
        <v>45951</v>
      </c>
      <c r="Q630" s="7" t="s">
        <v>37</v>
      </c>
      <c r="R630" s="13"/>
      <c r="S630" s="30"/>
      <c r="T630" s="43"/>
      <c r="W630" t="str">
        <f t="shared" si="276"/>
        <v>CDMT77-FT-0103 (Fuel Gas)Fiscal</v>
      </c>
      <c r="X6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1" spans="1:24" ht="12.5" x14ac:dyDescent="0.25">
      <c r="A631" s="19"/>
      <c r="B631" s="19" t="s">
        <v>46</v>
      </c>
      <c r="C631" s="5" t="s">
        <v>125</v>
      </c>
      <c r="D631" s="20" t="s">
        <v>72</v>
      </c>
      <c r="E631" s="35"/>
      <c r="F631" s="29" cm="1">
        <f t="array" ref="F631">IF(V631 &lt;&gt; "", V631, IFERROR(_xlfn.SINGLE(INDEX($G$1:G630,SUMPRODUCT(MAX(($W$1:W630=W631)*(ROW($W$1:W630))))))+IF(D631="Fiscal",30,90),""))</f>
        <v>45924</v>
      </c>
      <c r="G631" s="21">
        <v>45924</v>
      </c>
      <c r="H631" s="15">
        <f t="shared" si="273"/>
        <v>45934</v>
      </c>
      <c r="I631" s="15"/>
      <c r="J631" s="32"/>
      <c r="K631" s="15">
        <f t="shared" si="274"/>
        <v>45944</v>
      </c>
      <c r="L631" s="15"/>
      <c r="M631" s="15">
        <f t="shared" si="275"/>
        <v>45949</v>
      </c>
      <c r="N631" s="13">
        <v>45947</v>
      </c>
      <c r="O631" s="2">
        <f>IFERROR(IF(tblColetas[[#This Row],[Status Coleta]]="Reprovado","Reprovado",IF(ISERROR(SEARCH("Poço",D631)),IF(N631="","Erro",IF(Q631="Reprovado","",WORKDAY(N631,IF(D631="Operacional",10,3),FERIADOS!$A$3:$A$119))),"-")),"-")</f>
        <v>45952</v>
      </c>
      <c r="P631" s="21">
        <v>45951</v>
      </c>
      <c r="Q631" s="7" t="s">
        <v>37</v>
      </c>
      <c r="R631" s="13"/>
      <c r="S631" s="30"/>
      <c r="T631" s="43"/>
      <c r="W631" t="str">
        <f t="shared" si="276"/>
        <v>CDMT74-FT-6901 (Export Gas)Fiscal</v>
      </c>
      <c r="X6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2" spans="1:24" ht="12.5" x14ac:dyDescent="0.25">
      <c r="A632" s="19"/>
      <c r="B632" s="19" t="s">
        <v>46</v>
      </c>
      <c r="C632" s="5" t="s">
        <v>69</v>
      </c>
      <c r="D632" s="20" t="s">
        <v>70</v>
      </c>
      <c r="E632" s="35"/>
      <c r="F632" s="29" cm="1">
        <f t="array" ref="F632">IF(V632 &lt;&gt; "", V632, IFERROR(_xlfn.SINGLE(INDEX($G$1:G631,SUMPRODUCT(MAX(($W$1:W631=W632)*(ROW($W$1:W631))))))+IF(D632="Fiscal",30,90),""))</f>
        <v>45984</v>
      </c>
      <c r="G632" s="21">
        <v>45981</v>
      </c>
      <c r="H632" s="15">
        <f t="shared" si="273"/>
        <v>45991</v>
      </c>
      <c r="I632" s="15"/>
      <c r="J632" s="32"/>
      <c r="K632" s="15">
        <f t="shared" si="274"/>
        <v>46001</v>
      </c>
      <c r="L632" s="15"/>
      <c r="M632" s="15">
        <f t="shared" si="275"/>
        <v>46006</v>
      </c>
      <c r="N632" s="13">
        <v>46006</v>
      </c>
      <c r="O632" s="2">
        <f>IFERROR(IF(tblColetas[[#This Row],[Status Coleta]]="Reprovado","Reprovado",IF(ISERROR(SEARCH("Poço",D632)),IF(N632="","Erro",IF(Q632="Reprovado","",WORKDAY(N632,IF(D632="Operacional",10,3),FERIADOS!$A$3:$A$119))),"-")),"-")</f>
        <v>46009</v>
      </c>
      <c r="P632" s="21">
        <v>46008</v>
      </c>
      <c r="Q632" s="7" t="s">
        <v>37</v>
      </c>
      <c r="R632" s="13"/>
      <c r="S632" s="30"/>
      <c r="T632" s="43"/>
      <c r="W632" t="str">
        <f t="shared" si="276"/>
        <v>CDMT73-AP-0001 (Gas Lift)Gas Lift</v>
      </c>
      <c r="X6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3" spans="1:24" ht="12.5" x14ac:dyDescent="0.25">
      <c r="A633" s="19"/>
      <c r="B633" s="19" t="s">
        <v>46</v>
      </c>
      <c r="C633" s="5" t="s">
        <v>47</v>
      </c>
      <c r="D633" s="20" t="s">
        <v>26</v>
      </c>
      <c r="E633" s="35"/>
      <c r="F633" s="29" cm="1">
        <f t="array" ref="F633">IF(V633 &lt;&gt; "", V633, IFERROR(_xlfn.SINGLE(INDEX($G$1:G632,SUMPRODUCT(MAX(($W$1:W632=W633)*(ROW($W$1:W632))))))+IF(D633="Fiscal",30,90),""))</f>
        <v>45988</v>
      </c>
      <c r="G633" s="21">
        <v>45951</v>
      </c>
      <c r="H633" s="15">
        <f t="shared" ref="H633:H644" si="277">IF(G633="","Erro", G633+10)</f>
        <v>45961</v>
      </c>
      <c r="I633" s="15">
        <v>45956</v>
      </c>
      <c r="J633" s="32" t="s">
        <v>224</v>
      </c>
      <c r="K633" s="15">
        <f t="shared" ref="K633:K644" si="278">IF(G633="","Erro",G633+20)</f>
        <v>45971</v>
      </c>
      <c r="L633" s="15">
        <v>45968</v>
      </c>
      <c r="M633" s="15">
        <f t="shared" ref="M633:M644" si="279">IF(G633="","Erro",G633+IF(D633="Operacional",45,25))</f>
        <v>45976</v>
      </c>
      <c r="N633" s="13">
        <v>45975</v>
      </c>
      <c r="O633" s="2" t="str">
        <f>IFERROR(IF(tblColetas[[#This Row],[Status Coleta]]="Reprovado","Reprovado",IF(ISERROR(SEARCH("Poço",D633)),IF(N633="","Erro",IF(Q633="Reprovado","",WORKDAY(N633,IF(D633="Operacional",10,3),FERIADOS!$A$3:$A$119))),"-")),"-")</f>
        <v>-</v>
      </c>
      <c r="P633" s="21"/>
      <c r="Q633" s="7" t="s">
        <v>37</v>
      </c>
      <c r="R633" s="13"/>
      <c r="S633" s="30"/>
      <c r="T633" s="43"/>
      <c r="W633" t="str">
        <f t="shared" ref="W633:W644" si="280">B633&amp;C633&amp;D633</f>
        <v>CDMPoço LL-87 (P-14)Poço CG</v>
      </c>
      <c r="X6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4" spans="1:24" ht="12.5" x14ac:dyDescent="0.25">
      <c r="A634" s="19"/>
      <c r="B634" s="19" t="s">
        <v>46</v>
      </c>
      <c r="C634" s="5" t="s">
        <v>47</v>
      </c>
      <c r="D634" s="20" t="s">
        <v>29</v>
      </c>
      <c r="E634" s="35"/>
      <c r="F634" s="29" cm="1">
        <f t="array" ref="F634">IF(V634 &lt;&gt; "", V634, IFERROR(_xlfn.SINGLE(INDEX($G$1:G633,SUMPRODUCT(MAX(($W$1:W633=W634)*(ROW($W$1:W633))))))+IF(D634="Fiscal",30,90),""))</f>
        <v>45988</v>
      </c>
      <c r="G634" s="21">
        <v>45951</v>
      </c>
      <c r="H634" s="15">
        <f t="shared" si="277"/>
        <v>45961</v>
      </c>
      <c r="I634" s="15">
        <v>45956</v>
      </c>
      <c r="J634" s="32" t="s">
        <v>224</v>
      </c>
      <c r="K634" s="15">
        <f t="shared" si="278"/>
        <v>45971</v>
      </c>
      <c r="L634" s="15">
        <v>45968</v>
      </c>
      <c r="M634" s="15">
        <f t="shared" si="279"/>
        <v>45976</v>
      </c>
      <c r="N634" s="13">
        <v>45975</v>
      </c>
      <c r="O634" s="2" t="str">
        <f>IFERROR(IF(tblColetas[[#This Row],[Status Coleta]]="Reprovado","Reprovado",IF(ISERROR(SEARCH("Poço",D634)),IF(N634="","Erro",IF(Q634="Reprovado","",WORKDAY(N634,IF(D634="Operacional",10,3),FERIADOS!$A$3:$A$119))),"-")),"-")</f>
        <v>-</v>
      </c>
      <c r="P634" s="21"/>
      <c r="Q634" s="7" t="s">
        <v>37</v>
      </c>
      <c r="R634" s="13"/>
      <c r="S634" s="30"/>
      <c r="T634" s="43"/>
      <c r="W634" t="str">
        <f t="shared" si="280"/>
        <v>CDMPoço LL-87 (P-14)Poço PVT</v>
      </c>
      <c r="X6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5" spans="1:24" ht="12.5" x14ac:dyDescent="0.25">
      <c r="A635" s="19"/>
      <c r="B635" s="19" t="s">
        <v>52</v>
      </c>
      <c r="C635" s="5" t="s">
        <v>104</v>
      </c>
      <c r="D635" s="20" t="s">
        <v>26</v>
      </c>
      <c r="E635" s="35"/>
      <c r="F635" s="29" cm="1">
        <f t="array" ref="F635">IF(V635 &lt;&gt; "", V635, IFERROR(_xlfn.SINGLE(INDEX($G$1:G634,SUMPRODUCT(MAX(($W$1:W634=W635)*(ROW($W$1:W634))))))+IF(D635="Fiscal",30,90),""))</f>
        <v>45988</v>
      </c>
      <c r="G635" s="21">
        <v>45983</v>
      </c>
      <c r="H635" s="15">
        <f t="shared" si="277"/>
        <v>45993</v>
      </c>
      <c r="I635" s="15">
        <v>45986</v>
      </c>
      <c r="J635" s="32" t="s">
        <v>225</v>
      </c>
      <c r="K635" s="15">
        <f t="shared" si="278"/>
        <v>46003</v>
      </c>
      <c r="L635" s="15">
        <v>46003</v>
      </c>
      <c r="M635" s="15">
        <f t="shared" si="279"/>
        <v>46008</v>
      </c>
      <c r="N635" s="13">
        <v>46008</v>
      </c>
      <c r="O635" s="2" t="str">
        <f>IFERROR(IF(tblColetas[[#This Row],[Status Coleta]]="Reprovado","Reprovado",IF(ISERROR(SEARCH("Poço",D635)),IF(N635="","Erro",IF(Q635="Reprovado","",WORKDAY(N635,IF(D635="Operacional",10,3),FERIADOS!$A$3:$A$119))),"-")),"-")</f>
        <v>-</v>
      </c>
      <c r="P635" s="21"/>
      <c r="Q635" s="7"/>
      <c r="R635" s="13"/>
      <c r="S635" s="30"/>
      <c r="T635" s="43"/>
      <c r="W635" t="str">
        <f t="shared" si="280"/>
        <v>SEPPoço MRO-17 P-3Poço CG</v>
      </c>
      <c r="X6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6" spans="1:24" ht="12.5" x14ac:dyDescent="0.25">
      <c r="A636" s="19"/>
      <c r="B636" s="19" t="s">
        <v>52</v>
      </c>
      <c r="C636" s="31" t="s">
        <v>104</v>
      </c>
      <c r="D636" s="20" t="s">
        <v>29</v>
      </c>
      <c r="E636" s="35"/>
      <c r="F636" s="29" cm="1">
        <f t="array" ref="F636">IF(V636 &lt;&gt; "", V636, IFERROR(_xlfn.SINGLE(INDEX($G$1:G635,SUMPRODUCT(MAX(($W$1:W635=W636)*(ROW($W$1:W635))))))+IF(D636="Fiscal",30,90),""))</f>
        <v>45988</v>
      </c>
      <c r="G636" s="21">
        <v>45966</v>
      </c>
      <c r="H636" s="15">
        <f t="shared" si="277"/>
        <v>45976</v>
      </c>
      <c r="I636" s="15">
        <v>45970</v>
      </c>
      <c r="J636" s="32" t="s">
        <v>191</v>
      </c>
      <c r="K636" s="15">
        <f t="shared" si="278"/>
        <v>45986</v>
      </c>
      <c r="L636" s="15">
        <v>45980</v>
      </c>
      <c r="M636" s="15">
        <f t="shared" si="279"/>
        <v>45991</v>
      </c>
      <c r="N636" s="13">
        <v>45980</v>
      </c>
      <c r="O636" s="2" t="str">
        <f>IFERROR(IF(tblColetas[[#This Row],[Status Coleta]]="Reprovado","Reprovado",IF(ISERROR(SEARCH("Poço",D636)),IF(N636="","Erro",IF(Q636="Reprovado","",WORKDAY(N636,IF(D636="Operacional",10,3),FERIADOS!$A$3:$A$119))),"-")),"-")</f>
        <v>-</v>
      </c>
      <c r="P636" s="21"/>
      <c r="Q636" s="7"/>
      <c r="R636" s="13"/>
      <c r="S636" s="30"/>
      <c r="T636" s="43"/>
      <c r="W636" t="str">
        <f t="shared" si="280"/>
        <v>SEPPoço MRO-17 P-3Poço PVT</v>
      </c>
      <c r="X6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7" spans="1:24" ht="12.5" x14ac:dyDescent="0.25">
      <c r="A637" s="17"/>
      <c r="B637" s="17" t="s">
        <v>34</v>
      </c>
      <c r="C637" s="6" t="s">
        <v>226</v>
      </c>
      <c r="D637" s="18" t="s">
        <v>26</v>
      </c>
      <c r="E637" s="35"/>
      <c r="F637" s="25" t="str" cm="1">
        <f t="array" ref="F637">IF(V637 &lt;&gt; "", V637, IFERROR(_xlfn.SINGLE(INDEX($G$1:G636,SUMPRODUCT(MAX(($W$1:W636=W637)*(ROW($W$1:W636))))))+IF(D637="Fiscal",30,90),""))</f>
        <v/>
      </c>
      <c r="G637" s="16">
        <v>45900</v>
      </c>
      <c r="H637" s="15">
        <f t="shared" si="277"/>
        <v>45910</v>
      </c>
      <c r="I637" s="15">
        <v>45907</v>
      </c>
      <c r="J637" s="32" t="s">
        <v>200</v>
      </c>
      <c r="K637" s="15">
        <f t="shared" si="278"/>
        <v>45920</v>
      </c>
      <c r="L637" s="15">
        <v>45916</v>
      </c>
      <c r="M637" s="14">
        <f t="shared" si="279"/>
        <v>45925</v>
      </c>
      <c r="N637" s="12">
        <v>45925</v>
      </c>
      <c r="O637" s="1" t="str">
        <f>IFERROR(IF(tblColetas[[#This Row],[Status Coleta]]="Reprovado","Reprovado",IF(ISERROR(SEARCH("Poço",D637)),IF(N637="","Erro",IF(Q637="Reprovado","",WORKDAY(N637,IF(D637="Operacional",10,3),FERIADOS!$A$3:$A$119))),"-")),"-")</f>
        <v>-</v>
      </c>
      <c r="P637" s="16"/>
      <c r="Q637" s="7" t="s">
        <v>37</v>
      </c>
      <c r="R637" s="12"/>
      <c r="S637" s="27"/>
      <c r="T637" s="42"/>
      <c r="W637" t="str">
        <f t="shared" si="280"/>
        <v>CDSPoço RJS-677 (P-04)Poço CG</v>
      </c>
      <c r="X6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8" spans="1:24" ht="12.5" x14ac:dyDescent="0.25">
      <c r="A638" s="17"/>
      <c r="B638" s="17" t="s">
        <v>34</v>
      </c>
      <c r="C638" s="6" t="s">
        <v>226</v>
      </c>
      <c r="D638" s="18" t="s">
        <v>29</v>
      </c>
      <c r="E638" s="35"/>
      <c r="F638" s="25" t="str" cm="1">
        <f t="array" ref="F638">IF(V638 &lt;&gt; "", V638, IFERROR(_xlfn.SINGLE(INDEX($G$1:G637,SUMPRODUCT(MAX(($W$1:W637=W638)*(ROW($W$1:W637))))))+IF(D638="Fiscal",30,90),""))</f>
        <v/>
      </c>
      <c r="G638" s="16">
        <v>45900</v>
      </c>
      <c r="H638" s="15">
        <f t="shared" si="277"/>
        <v>45910</v>
      </c>
      <c r="I638" s="15">
        <v>45907</v>
      </c>
      <c r="J638" s="32" t="s">
        <v>200</v>
      </c>
      <c r="K638" s="15">
        <f t="shared" si="278"/>
        <v>45920</v>
      </c>
      <c r="L638" s="15">
        <v>45916</v>
      </c>
      <c r="M638" s="14">
        <f t="shared" si="279"/>
        <v>45925</v>
      </c>
      <c r="N638" s="12">
        <v>45925</v>
      </c>
      <c r="O638" s="1" t="str">
        <f>IFERROR(IF(tblColetas[[#This Row],[Status Coleta]]="Reprovado","Reprovado",IF(ISERROR(SEARCH("Poço",D638)),IF(N638="","Erro",IF(Q638="Reprovado","",WORKDAY(N638,IF(D638="Operacional",10,3),FERIADOS!$A$3:$A$119))),"-")),"-")</f>
        <v>-</v>
      </c>
      <c r="P638" s="16"/>
      <c r="Q638" s="7" t="s">
        <v>37</v>
      </c>
      <c r="R638" s="12"/>
      <c r="S638" s="27"/>
      <c r="T638" s="42"/>
      <c r="W638" t="str">
        <f t="shared" si="280"/>
        <v>CDSPoço RJS-677 (P-04)Poço PVT</v>
      </c>
      <c r="X6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39" spans="1:24" ht="12.5" x14ac:dyDescent="0.25">
      <c r="A639" s="19"/>
      <c r="B639" s="19" t="s">
        <v>34</v>
      </c>
      <c r="C639" s="5" t="s">
        <v>226</v>
      </c>
      <c r="D639" s="20" t="s">
        <v>26</v>
      </c>
      <c r="E639" s="35"/>
      <c r="F639" s="29" cm="1">
        <f t="array" ref="F639">IF(V639 &lt;&gt; "", V639, IFERROR(_xlfn.SINGLE(INDEX($G$1:G638,SUMPRODUCT(MAX(($W$1:W638=W639)*(ROW($W$1:W638))))))+IF(D639="Fiscal",30,90),""))</f>
        <v>45990</v>
      </c>
      <c r="G639" s="21">
        <v>45955</v>
      </c>
      <c r="H639" s="15">
        <f t="shared" si="277"/>
        <v>45965</v>
      </c>
      <c r="I639" s="15">
        <v>45961</v>
      </c>
      <c r="J639" s="32" t="s">
        <v>223</v>
      </c>
      <c r="K639" s="15">
        <f t="shared" si="278"/>
        <v>45975</v>
      </c>
      <c r="L639" s="15">
        <v>45973</v>
      </c>
      <c r="M639" s="15">
        <f t="shared" si="279"/>
        <v>45980</v>
      </c>
      <c r="N639" s="13">
        <v>45980</v>
      </c>
      <c r="O639" s="2" t="str">
        <f>IFERROR(IF(tblColetas[[#This Row],[Status Coleta]]="Reprovado","Reprovado",IF(ISERROR(SEARCH("Poço",D639)),IF(N639="","Erro",IF(Q639="Reprovado","",WORKDAY(N639,IF(D639="Operacional",10,3),FERIADOS!$A$3:$A$119))),"-")),"-")</f>
        <v>-</v>
      </c>
      <c r="P639" s="21"/>
      <c r="Q639" s="7"/>
      <c r="R639" s="13"/>
      <c r="S639" s="30"/>
      <c r="T639" s="43"/>
      <c r="W639" t="str">
        <f t="shared" si="280"/>
        <v>CDSPoço RJS-677 (P-04)Poço CG</v>
      </c>
      <c r="X6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0" spans="1:24" ht="12.5" x14ac:dyDescent="0.25">
      <c r="A640" s="19"/>
      <c r="B640" s="19" t="s">
        <v>34</v>
      </c>
      <c r="C640" s="5" t="s">
        <v>226</v>
      </c>
      <c r="D640" s="20" t="s">
        <v>29</v>
      </c>
      <c r="E640" s="35"/>
      <c r="F640" s="29" cm="1">
        <f t="array" ref="F640">IF(V640 &lt;&gt; "", V640, IFERROR(_xlfn.SINGLE(INDEX($G$1:G639,SUMPRODUCT(MAX(($W$1:W639=W640)*(ROW($W$1:W639))))))+IF(D640="Fiscal",30,90),""))</f>
        <v>45990</v>
      </c>
      <c r="G640" s="21">
        <v>45955</v>
      </c>
      <c r="H640" s="15">
        <f t="shared" si="277"/>
        <v>45965</v>
      </c>
      <c r="I640" s="15">
        <v>45961</v>
      </c>
      <c r="J640" s="32" t="s">
        <v>223</v>
      </c>
      <c r="K640" s="15">
        <f t="shared" si="278"/>
        <v>45975</v>
      </c>
      <c r="L640" s="15">
        <v>45973</v>
      </c>
      <c r="M640" s="15">
        <f t="shared" si="279"/>
        <v>45980</v>
      </c>
      <c r="N640" s="13">
        <v>45980</v>
      </c>
      <c r="O640" s="2" t="str">
        <f>IFERROR(IF(tblColetas[[#This Row],[Status Coleta]]="Reprovado","Reprovado",IF(ISERROR(SEARCH("Poço",D640)),IF(N640="","Erro",IF(Q640="Reprovado","",WORKDAY(N640,IF(D640="Operacional",10,3),FERIADOS!$A$3:$A$119))),"-")),"-")</f>
        <v>-</v>
      </c>
      <c r="P640" s="21"/>
      <c r="Q640" s="7"/>
      <c r="R640" s="13"/>
      <c r="S640" s="30"/>
      <c r="T640" s="43"/>
      <c r="W640" t="str">
        <f t="shared" si="280"/>
        <v>CDSPoço RJS-677 (P-04)Poço PVT</v>
      </c>
      <c r="X6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1" spans="1:24" ht="12.5" x14ac:dyDescent="0.25">
      <c r="A641" s="8"/>
      <c r="B641" s="8" t="s">
        <v>34</v>
      </c>
      <c r="C641" s="5" t="s">
        <v>89</v>
      </c>
      <c r="D641" s="9" t="s">
        <v>26</v>
      </c>
      <c r="E641" s="36"/>
      <c r="F641" s="29" cm="1">
        <f t="array" ref="F641">IF(V641 &lt;&gt; "", V641, IFERROR(_xlfn.SINGLE(INDEX($G$1:G640,SUMPRODUCT(MAX(($W$1:W640=W641)*(ROW($W$1:W640))))))+IF(D641="Fiscal",30,90),""))</f>
        <v>45988</v>
      </c>
      <c r="G641" s="13">
        <v>45953</v>
      </c>
      <c r="H641" s="15">
        <f t="shared" si="277"/>
        <v>45963</v>
      </c>
      <c r="I641" s="15">
        <v>45954</v>
      </c>
      <c r="J641" s="32" t="s">
        <v>227</v>
      </c>
      <c r="K641" s="15">
        <f t="shared" si="278"/>
        <v>45973</v>
      </c>
      <c r="L641" s="15">
        <v>45964</v>
      </c>
      <c r="M641" s="15">
        <f t="shared" si="279"/>
        <v>45978</v>
      </c>
      <c r="N641" s="13">
        <v>45978</v>
      </c>
      <c r="O641" s="2" t="str">
        <f>IFERROR(IF(tblColetas[[#This Row],[Status Coleta]]="Reprovado","Reprovado",IF(ISERROR(SEARCH("Poço",D641)),IF(N641="","Erro",IF(Q641="Reprovado","",WORKDAY(N641,IF(D641="Operacional",10,3),FERIADOS!$A$3:$A$119))),"-")),"-")</f>
        <v>-</v>
      </c>
      <c r="P641" s="13"/>
      <c r="Q641" s="7"/>
      <c r="R641" s="13"/>
      <c r="S641" s="30"/>
      <c r="T641" s="43"/>
      <c r="W641" t="str">
        <f t="shared" si="280"/>
        <v>CDSPoço LL-46 (P-01)Poço CG</v>
      </c>
      <c r="X6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2" spans="1:24" ht="12.5" x14ac:dyDescent="0.25">
      <c r="A642" s="8"/>
      <c r="B642" s="8" t="s">
        <v>34</v>
      </c>
      <c r="C642" s="5" t="s">
        <v>89</v>
      </c>
      <c r="D642" s="9" t="s">
        <v>29</v>
      </c>
      <c r="E642" s="36"/>
      <c r="F642" s="29" cm="1">
        <f t="array" ref="F642">IF(V642 &lt;&gt; "", V642, IFERROR(_xlfn.SINGLE(INDEX($G$1:G641,SUMPRODUCT(MAX(($W$1:W641=W642)*(ROW($W$1:W641))))))+IF(D642="Fiscal",30,90),""))</f>
        <v>45988</v>
      </c>
      <c r="G642" s="13">
        <v>45953</v>
      </c>
      <c r="H642" s="15">
        <f t="shared" si="277"/>
        <v>45963</v>
      </c>
      <c r="I642" s="15">
        <v>45954</v>
      </c>
      <c r="J642" s="32" t="s">
        <v>227</v>
      </c>
      <c r="K642" s="15">
        <f t="shared" si="278"/>
        <v>45973</v>
      </c>
      <c r="L642" s="15">
        <v>45964</v>
      </c>
      <c r="M642" s="15">
        <f t="shared" si="279"/>
        <v>45978</v>
      </c>
      <c r="N642" s="13">
        <v>45978</v>
      </c>
      <c r="O642" s="2" t="str">
        <f>IFERROR(IF(tblColetas[[#This Row],[Status Coleta]]="Reprovado","Reprovado",IF(ISERROR(SEARCH("Poço",D642)),IF(N642="","Erro",IF(Q642="Reprovado","",WORKDAY(N642,IF(D642="Operacional",10,3),FERIADOS!$A$3:$A$119))),"-")),"-")</f>
        <v>-</v>
      </c>
      <c r="P642" s="13"/>
      <c r="Q642" s="7"/>
      <c r="R642" s="13"/>
      <c r="S642" s="30"/>
      <c r="T642" s="43"/>
      <c r="W642" t="str">
        <f t="shared" si="280"/>
        <v>CDSPoço LL-46 (P-01)Poço PVT</v>
      </c>
      <c r="X6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3" spans="1:24" ht="12.5" x14ac:dyDescent="0.25">
      <c r="A643" s="8"/>
      <c r="B643" s="8" t="s">
        <v>46</v>
      </c>
      <c r="C643" s="5" t="s">
        <v>48</v>
      </c>
      <c r="D643" s="9" t="s">
        <v>26</v>
      </c>
      <c r="E643" s="36"/>
      <c r="F643" s="29" cm="1">
        <f t="array" ref="F643">IF(V643 &lt;&gt; "", V643, IFERROR(_xlfn.SINGLE(INDEX($G$1:G642,SUMPRODUCT(MAX(($W$1:W642=W643)*(ROW($W$1:W642))))))+IF(D643="Fiscal",30,90),""))</f>
        <v>45983</v>
      </c>
      <c r="G643" s="13">
        <v>45965</v>
      </c>
      <c r="H643" s="15">
        <f t="shared" si="277"/>
        <v>45975</v>
      </c>
      <c r="I643" s="15">
        <v>45979</v>
      </c>
      <c r="J643" s="32" t="s">
        <v>228</v>
      </c>
      <c r="K643" s="15">
        <f t="shared" si="278"/>
        <v>45985</v>
      </c>
      <c r="L643" s="15">
        <v>45985</v>
      </c>
      <c r="M643" s="15">
        <f t="shared" si="279"/>
        <v>45990</v>
      </c>
      <c r="N643" s="13">
        <v>45989</v>
      </c>
      <c r="O643" s="2" t="str">
        <f>IFERROR(IF(tblColetas[[#This Row],[Status Coleta]]="Reprovado","Reprovado",IF(ISERROR(SEARCH("Poço",D643)),IF(N643="","Erro",IF(Q643="Reprovado","",WORKDAY(N643,IF(D643="Operacional",10,3),FERIADOS!$A$3:$A$119))),"-")),"-")</f>
        <v>Reprovado</v>
      </c>
      <c r="P643" s="13"/>
      <c r="Q643" s="7" t="s">
        <v>81</v>
      </c>
      <c r="R643" s="13"/>
      <c r="S643" s="30"/>
      <c r="T643" s="43"/>
      <c r="W643" t="str">
        <f t="shared" si="280"/>
        <v>CDMPoço LL-66 (P-09)Poço CG</v>
      </c>
      <c r="X6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4" spans="1:24" ht="12.5" x14ac:dyDescent="0.25">
      <c r="A644" s="8"/>
      <c r="B644" s="8" t="s">
        <v>46</v>
      </c>
      <c r="C644" s="5" t="s">
        <v>48</v>
      </c>
      <c r="D644" s="9" t="s">
        <v>29</v>
      </c>
      <c r="E644" s="36"/>
      <c r="F644" s="29" cm="1">
        <f t="array" ref="F644">IF(V644 &lt;&gt; "", V644, IFERROR(_xlfn.SINGLE(INDEX($G$1:G643,SUMPRODUCT(MAX(($W$1:W643=W644)*(ROW($W$1:W643))))))+IF(D644="Fiscal",30,90),""))</f>
        <v>45983</v>
      </c>
      <c r="G644" s="13">
        <v>45965</v>
      </c>
      <c r="H644" s="15">
        <f t="shared" si="277"/>
        <v>45975</v>
      </c>
      <c r="I644" s="15">
        <v>45979</v>
      </c>
      <c r="J644" s="32" t="s">
        <v>228</v>
      </c>
      <c r="K644" s="15">
        <f t="shared" si="278"/>
        <v>45985</v>
      </c>
      <c r="L644" s="15">
        <v>45985</v>
      </c>
      <c r="M644" s="15">
        <f t="shared" si="279"/>
        <v>45990</v>
      </c>
      <c r="N644" s="13">
        <v>45989</v>
      </c>
      <c r="O644" s="2" t="str">
        <f>IFERROR(IF(tblColetas[[#This Row],[Status Coleta]]="Reprovado","Reprovado",IF(ISERROR(SEARCH("Poço",D644)),IF(N644="","Erro",IF(Q644="Reprovado","",WORKDAY(N644,IF(D644="Operacional",10,3),FERIADOS!$A$3:$A$119))),"-")),"-")</f>
        <v>-</v>
      </c>
      <c r="P644" s="13"/>
      <c r="Q644" s="7" t="s">
        <v>37</v>
      </c>
      <c r="R644" s="13"/>
      <c r="S644" s="30"/>
      <c r="T644" s="43"/>
      <c r="W644" t="str">
        <f t="shared" si="280"/>
        <v>CDMPoço LL-66 (P-09)Poço PVT</v>
      </c>
      <c r="X6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5" spans="1:24" ht="12.5" x14ac:dyDescent="0.25">
      <c r="A645" s="8"/>
      <c r="B645" s="8" t="s">
        <v>31</v>
      </c>
      <c r="C645" s="5" t="s">
        <v>108</v>
      </c>
      <c r="D645" s="9" t="s">
        <v>26</v>
      </c>
      <c r="E645" s="36"/>
      <c r="F645" s="29" cm="1">
        <f t="array" ref="F645">IF(V645 &lt;&gt; "", V645, IFERROR(_xlfn.SINGLE(INDEX($G$1:G644,SUMPRODUCT(MAX(($W$1:W644=W645)*(ROW($W$1:W644))))))+IF(D645="Fiscal",30,90),""))</f>
        <v>45981</v>
      </c>
      <c r="G645" s="13">
        <v>45961</v>
      </c>
      <c r="H645" s="15">
        <f t="shared" ref="H645:H652" si="281">IF(G645="","Erro", G645+10)</f>
        <v>45971</v>
      </c>
      <c r="I645" s="15">
        <v>45964</v>
      </c>
      <c r="J645" s="32" t="s">
        <v>186</v>
      </c>
      <c r="K645" s="15">
        <f t="shared" ref="K645:K652" si="282">IF(G645="","Erro",G645+20)</f>
        <v>45981</v>
      </c>
      <c r="L645" s="15">
        <v>45974</v>
      </c>
      <c r="M645" s="15">
        <f t="shared" ref="M645:M652" si="283">IF(G645="","Erro",G645+IF(D645="Operacional",45,25))</f>
        <v>45986</v>
      </c>
      <c r="N645" s="13">
        <v>45986</v>
      </c>
      <c r="O645" s="2" t="str">
        <f>IFERROR(IF(tblColetas[[#This Row],[Status Coleta]]="Reprovado","Reprovado",IF(ISERROR(SEARCH("Poço",D645)),IF(N645="","Erro",IF(Q645="Reprovado","",WORKDAY(N645,IF(D645="Operacional",10,3),FERIADOS!$A$3:$A$119))),"-")),"-")</f>
        <v>-</v>
      </c>
      <c r="P645" s="13"/>
      <c r="Q645" s="7"/>
      <c r="R645" s="13"/>
      <c r="S645" s="30"/>
      <c r="T645" s="43"/>
      <c r="W645" t="str">
        <f t="shared" ref="W645:W652" si="284">B645&amp;C645&amp;D645</f>
        <v>CDIPoço SPH-6 (P-10)Poço CG</v>
      </c>
      <c r="X6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6" spans="1:24" ht="12.5" x14ac:dyDescent="0.25">
      <c r="A646" s="8"/>
      <c r="B646" s="8" t="s">
        <v>31</v>
      </c>
      <c r="C646" s="5" t="s">
        <v>108</v>
      </c>
      <c r="D646" s="9" t="s">
        <v>29</v>
      </c>
      <c r="E646" s="36"/>
      <c r="F646" s="29" cm="1">
        <f t="array" ref="F646">IF(V646 &lt;&gt; "", V646, IFERROR(_xlfn.SINGLE(INDEX($G$1:G645,SUMPRODUCT(MAX(($W$1:W645=W646)*(ROW($W$1:W645))))))+IF(D646="Fiscal",30,90),""))</f>
        <v>45981</v>
      </c>
      <c r="G646" s="13">
        <v>45961</v>
      </c>
      <c r="H646" s="15">
        <f t="shared" si="281"/>
        <v>45971</v>
      </c>
      <c r="I646" s="15">
        <v>45964</v>
      </c>
      <c r="J646" s="32" t="s">
        <v>186</v>
      </c>
      <c r="K646" s="15">
        <f t="shared" si="282"/>
        <v>45981</v>
      </c>
      <c r="L646" s="15">
        <v>45974</v>
      </c>
      <c r="M646" s="15">
        <f t="shared" si="283"/>
        <v>45986</v>
      </c>
      <c r="N646" s="13">
        <v>45986</v>
      </c>
      <c r="O646" s="2" t="str">
        <f>IFERROR(IF(tblColetas[[#This Row],[Status Coleta]]="Reprovado","Reprovado",IF(ISERROR(SEARCH("Poço",D646)),IF(N646="","Erro",IF(Q646="Reprovado","",WORKDAY(N646,IF(D646="Operacional",10,3),FERIADOS!$A$3:$A$119))),"-")),"-")</f>
        <v>-</v>
      </c>
      <c r="P646" s="13"/>
      <c r="Q646" s="7"/>
      <c r="R646" s="13"/>
      <c r="S646" s="30"/>
      <c r="T646" s="43"/>
      <c r="W646" t="str">
        <f t="shared" si="284"/>
        <v>CDIPoço SPH-6 (P-10)Poço PVT</v>
      </c>
      <c r="X6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7" spans="1:24" ht="12.5" x14ac:dyDescent="0.25">
      <c r="A647" s="19"/>
      <c r="B647" s="19" t="s">
        <v>34</v>
      </c>
      <c r="C647" s="5" t="s">
        <v>109</v>
      </c>
      <c r="D647" s="20" t="s">
        <v>26</v>
      </c>
      <c r="E647" s="35"/>
      <c r="F647" s="29" cm="1">
        <f t="array" ref="F647">IF(V647 &lt;&gt; "", V647, IFERROR(_xlfn.SINGLE(INDEX($G$1:G646,SUMPRODUCT(MAX(($W$1:W646=W647)*(ROW($W$1:W646))))))+IF(D647="Fiscal",30,90),""))</f>
        <v>45992</v>
      </c>
      <c r="G647" s="21">
        <v>45934</v>
      </c>
      <c r="H647" s="15">
        <f t="shared" si="281"/>
        <v>45944</v>
      </c>
      <c r="I647" s="15">
        <v>45940</v>
      </c>
      <c r="J647" s="32" t="s">
        <v>204</v>
      </c>
      <c r="K647" s="15">
        <f t="shared" si="282"/>
        <v>45954</v>
      </c>
      <c r="L647" s="15">
        <v>45946</v>
      </c>
      <c r="M647" s="15">
        <f t="shared" si="283"/>
        <v>45959</v>
      </c>
      <c r="N647" s="13">
        <v>45959</v>
      </c>
      <c r="O647" s="2" t="str">
        <f>IFERROR(IF(tblColetas[[#This Row],[Status Coleta]]="Reprovado","Reprovado",IF(ISERROR(SEARCH("Poço",D647)),IF(N647="","Erro",IF(Q647="Reprovado","",WORKDAY(N647,IF(D647="Operacional",10,3),FERIADOS!$A$3:$A$119))),"-")),"-")</f>
        <v>-</v>
      </c>
      <c r="P647" s="21"/>
      <c r="Q647" s="7"/>
      <c r="R647" s="13"/>
      <c r="S647" s="30"/>
      <c r="T647" s="43"/>
      <c r="W647" t="str">
        <f t="shared" si="284"/>
        <v>CDSPoço LL-106 (P-16)Poço CG</v>
      </c>
      <c r="X6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8" spans="1:24" ht="12.5" x14ac:dyDescent="0.25">
      <c r="A648" s="19"/>
      <c r="B648" s="19" t="s">
        <v>34</v>
      </c>
      <c r="C648" s="5" t="s">
        <v>109</v>
      </c>
      <c r="D648" s="20" t="s">
        <v>29</v>
      </c>
      <c r="E648" s="35"/>
      <c r="F648" s="29" cm="1">
        <f t="array" ref="F648">IF(V648 &lt;&gt; "", V648, IFERROR(_xlfn.SINGLE(INDEX($G$1:G647,SUMPRODUCT(MAX(($W$1:W647=W648)*(ROW($W$1:W647))))))+IF(D648="Fiscal",30,90),""))</f>
        <v>45992</v>
      </c>
      <c r="G648" s="21">
        <v>45934</v>
      </c>
      <c r="H648" s="15">
        <f t="shared" si="281"/>
        <v>45944</v>
      </c>
      <c r="I648" s="15">
        <v>45940</v>
      </c>
      <c r="J648" s="32" t="s">
        <v>204</v>
      </c>
      <c r="K648" s="15">
        <f t="shared" si="282"/>
        <v>45954</v>
      </c>
      <c r="L648" s="15">
        <v>45946</v>
      </c>
      <c r="M648" s="15">
        <f t="shared" si="283"/>
        <v>45959</v>
      </c>
      <c r="N648" s="13">
        <v>45959</v>
      </c>
      <c r="O648" s="2" t="str">
        <f>IFERROR(IF(tblColetas[[#This Row],[Status Coleta]]="Reprovado","Reprovado",IF(ISERROR(SEARCH("Poço",D648)),IF(N648="","Erro",IF(Q648="Reprovado","",WORKDAY(N648,IF(D648="Operacional",10,3),FERIADOS!$A$3:$A$119))),"-")),"-")</f>
        <v>-</v>
      </c>
      <c r="P648" s="21"/>
      <c r="Q648" s="7"/>
      <c r="R648" s="13"/>
      <c r="S648" s="30"/>
      <c r="T648" s="43"/>
      <c r="W648" t="str">
        <f t="shared" si="284"/>
        <v>CDSPoço LL-106 (P-16)Poço PVT</v>
      </c>
      <c r="X6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49" spans="1:24" ht="12.5" x14ac:dyDescent="0.25">
      <c r="A649" s="19"/>
      <c r="B649" s="19" t="s">
        <v>34</v>
      </c>
      <c r="C649" s="5" t="s">
        <v>71</v>
      </c>
      <c r="D649" s="20" t="s">
        <v>72</v>
      </c>
      <c r="E649" s="35"/>
      <c r="F649" s="29" cm="1">
        <f t="array" ref="F649">IF(V649 &lt;&gt; "", V649, IFERROR(_xlfn.SINGLE(INDEX($G$1:G648,SUMPRODUCT(MAX(($W$1:W648=W649)*(ROW($W$1:W648))))))+IF(D649="Fiscal",30,90),""))</f>
        <v>45933</v>
      </c>
      <c r="G649" s="21">
        <v>45930</v>
      </c>
      <c r="H649" s="15">
        <f t="shared" si="281"/>
        <v>45940</v>
      </c>
      <c r="I649" s="15"/>
      <c r="J649" s="32"/>
      <c r="K649" s="15">
        <f t="shared" si="282"/>
        <v>45950</v>
      </c>
      <c r="L649" s="15"/>
      <c r="M649" s="15">
        <f t="shared" si="283"/>
        <v>45955</v>
      </c>
      <c r="N649" s="13">
        <v>45954</v>
      </c>
      <c r="O649" s="2">
        <f>IFERROR(IF(tblColetas[[#This Row],[Status Coleta]]="Reprovado","Reprovado",IF(ISERROR(SEARCH("Poço",D649)),IF(N649="","Erro",IF(Q649="Reprovado","",WORKDAY(N649,IF(D649="Operacional",10,3),FERIADOS!$A$3:$A$119))),"-")),"-")</f>
        <v>45959</v>
      </c>
      <c r="P649" s="21">
        <v>45958</v>
      </c>
      <c r="Q649" s="7" t="s">
        <v>37</v>
      </c>
      <c r="R649" s="13"/>
      <c r="S649" s="30"/>
      <c r="T649" s="43"/>
      <c r="W649" t="str">
        <f t="shared" si="284"/>
        <v>CDST77-FT-0103 (Fuel Gas)Fiscal</v>
      </c>
      <c r="X6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0" spans="1:24" ht="12.5" x14ac:dyDescent="0.25">
      <c r="A650" s="19"/>
      <c r="B650" s="19" t="s">
        <v>34</v>
      </c>
      <c r="C650" s="5" t="s">
        <v>73</v>
      </c>
      <c r="D650" s="20" t="s">
        <v>72</v>
      </c>
      <c r="E650" s="35"/>
      <c r="F650" s="29" cm="1">
        <f t="array" ref="F650">IF(V650 &lt;&gt; "", V650, IFERROR(_xlfn.SINGLE(INDEX($G$1:G649,SUMPRODUCT(MAX(($W$1:W649=W650)*(ROW($W$1:W649))))))+IF(D650="Fiscal",30,90),""))</f>
        <v>45933</v>
      </c>
      <c r="G650" s="21">
        <v>45930</v>
      </c>
      <c r="H650" s="15">
        <f t="shared" si="281"/>
        <v>45940</v>
      </c>
      <c r="I650" s="15"/>
      <c r="J650" s="32"/>
      <c r="K650" s="15">
        <f t="shared" si="282"/>
        <v>45950</v>
      </c>
      <c r="L650" s="15"/>
      <c r="M650" s="15">
        <f t="shared" si="283"/>
        <v>45955</v>
      </c>
      <c r="N650" s="13">
        <v>45954</v>
      </c>
      <c r="O650" s="2">
        <f>IFERROR(IF(tblColetas[[#This Row],[Status Coleta]]="Reprovado","Reprovado",IF(ISERROR(SEARCH("Poço",D650)),IF(N650="","Erro",IF(Q650="Reprovado","",WORKDAY(N650,IF(D650="Operacional",10,3),FERIADOS!$A$3:$A$119))),"-")),"-")</f>
        <v>45959</v>
      </c>
      <c r="P650" s="21">
        <v>45958</v>
      </c>
      <c r="Q650" s="7" t="s">
        <v>37</v>
      </c>
      <c r="R650" s="13"/>
      <c r="S650" s="30"/>
      <c r="T650" s="43"/>
      <c r="W650" t="str">
        <f t="shared" si="284"/>
        <v>CDST74-AX-6911 (Export Gas)Fiscal</v>
      </c>
      <c r="X6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1" spans="1:24" ht="12.5" x14ac:dyDescent="0.25">
      <c r="A651" s="19"/>
      <c r="B651" s="19" t="s">
        <v>34</v>
      </c>
      <c r="C651" s="5" t="s">
        <v>74</v>
      </c>
      <c r="D651" s="20" t="s">
        <v>72</v>
      </c>
      <c r="E651" s="35"/>
      <c r="F651" s="29" cm="1">
        <f t="array" ref="F651">IF(V651 &lt;&gt; "", V651, IFERROR(_xlfn.SINGLE(INDEX($G$1:G650,SUMPRODUCT(MAX(($W$1:W650=W651)*(ROW($W$1:W650))))))+IF(D651="Fiscal",30,90),""))</f>
        <v>45933</v>
      </c>
      <c r="G651" s="21">
        <v>45931</v>
      </c>
      <c r="H651" s="15">
        <f t="shared" si="281"/>
        <v>45941</v>
      </c>
      <c r="I651" s="15"/>
      <c r="J651" s="32"/>
      <c r="K651" s="15">
        <f t="shared" si="282"/>
        <v>45951</v>
      </c>
      <c r="L651" s="15"/>
      <c r="M651" s="15">
        <f t="shared" si="283"/>
        <v>45956</v>
      </c>
      <c r="N651" s="13">
        <v>45954</v>
      </c>
      <c r="O651" s="2">
        <f>IFERROR(IF(tblColetas[[#This Row],[Status Coleta]]="Reprovado","Reprovado",IF(ISERROR(SEARCH("Poço",D651)),IF(N651="","Erro",IF(Q651="Reprovado","",WORKDAY(N651,IF(D651="Operacional",10,3),FERIADOS!$A$3:$A$119))),"-")),"-")</f>
        <v>45959</v>
      </c>
      <c r="P651" s="21">
        <v>45958</v>
      </c>
      <c r="Q651" s="7" t="s">
        <v>37</v>
      </c>
      <c r="R651" s="13"/>
      <c r="S651" s="30"/>
      <c r="T651" s="43"/>
      <c r="W651" t="str">
        <f t="shared" si="284"/>
        <v>CDST76-FT-0014 (HP Flare)Fiscal</v>
      </c>
      <c r="X6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2" spans="1:24" ht="12.5" x14ac:dyDescent="0.25">
      <c r="A652" s="19"/>
      <c r="B652" s="19" t="s">
        <v>34</v>
      </c>
      <c r="C652" s="5" t="s">
        <v>75</v>
      </c>
      <c r="D652" s="20" t="s">
        <v>72</v>
      </c>
      <c r="E652" s="35"/>
      <c r="F652" s="29" cm="1">
        <f t="array" ref="F652">IF(V652 &lt;&gt; "", V652, IFERROR(_xlfn.SINGLE(INDEX($G$1:G651,SUMPRODUCT(MAX(($W$1:W651=W652)*(ROW($W$1:W651))))))+IF(D652="Fiscal",30,90),""))</f>
        <v>45933</v>
      </c>
      <c r="G652" s="21">
        <v>45931</v>
      </c>
      <c r="H652" s="15">
        <f t="shared" si="281"/>
        <v>45941</v>
      </c>
      <c r="I652" s="15"/>
      <c r="J652" s="32"/>
      <c r="K652" s="15">
        <f t="shared" si="282"/>
        <v>45951</v>
      </c>
      <c r="L652" s="15"/>
      <c r="M652" s="15">
        <f t="shared" si="283"/>
        <v>45956</v>
      </c>
      <c r="N652" s="13">
        <v>45954</v>
      </c>
      <c r="O652" s="2">
        <f>IFERROR(IF(tblColetas[[#This Row],[Status Coleta]]="Reprovado","Reprovado",IF(ISERROR(SEARCH("Poço",D652)),IF(N652="","Erro",IF(Q652="Reprovado","",WORKDAY(N652,IF(D652="Operacional",10,3),FERIADOS!$A$3:$A$119))),"-")),"-")</f>
        <v>45959</v>
      </c>
      <c r="P652" s="21">
        <v>45958</v>
      </c>
      <c r="Q652" s="7" t="s">
        <v>37</v>
      </c>
      <c r="R652" s="13"/>
      <c r="S652" s="30"/>
      <c r="T652" s="43"/>
      <c r="W652" t="str">
        <f t="shared" si="284"/>
        <v>CDST76-FT-0034 (LP Flare)Fiscal</v>
      </c>
      <c r="X6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3" spans="1:24" ht="12.5" x14ac:dyDescent="0.25">
      <c r="A653" s="19"/>
      <c r="B653" s="19" t="s">
        <v>31</v>
      </c>
      <c r="C653" s="5" t="s">
        <v>122</v>
      </c>
      <c r="D653" s="20" t="s">
        <v>72</v>
      </c>
      <c r="E653" s="35"/>
      <c r="F653" s="29" cm="1">
        <f t="array" ref="F653">IF(V653 &lt;&gt; "", V653, IFERROR(_xlfn.SINGLE(INDEX($G$1:G652,SUMPRODUCT(MAX(($W$1:W652=W653)*(ROW($W$1:W652))))))+IF(D653="Fiscal",30,90),""))</f>
        <v>45934</v>
      </c>
      <c r="G653" s="21">
        <v>45932</v>
      </c>
      <c r="H653" s="15">
        <f t="shared" ref="H653:H663" si="285">IF(G653="","Erro", G653+10)</f>
        <v>45942</v>
      </c>
      <c r="I653" s="15"/>
      <c r="J653" s="32"/>
      <c r="K653" s="15">
        <f t="shared" ref="K653:K663" si="286">IF(G653="","Erro",G653+20)</f>
        <v>45952</v>
      </c>
      <c r="L653" s="15"/>
      <c r="M653" s="15">
        <f t="shared" ref="M653:M663" si="287">IF(G653="","Erro",G653+IF(D653="Operacional",45,25))</f>
        <v>45957</v>
      </c>
      <c r="N653" s="13">
        <v>45957</v>
      </c>
      <c r="O653" s="2">
        <f>IFERROR(IF(tblColetas[[#This Row],[Status Coleta]]="Reprovado","Reprovado",IF(ISERROR(SEARCH("Poço",D653)),IF(N653="","Erro",IF(Q653="Reprovado","",WORKDAY(N653,IF(D653="Operacional",10,3),FERIADOS!$A$3:$A$119))),"-")),"-")</f>
        <v>45960</v>
      </c>
      <c r="P653" s="21">
        <v>45959</v>
      </c>
      <c r="Q653" s="7" t="s">
        <v>37</v>
      </c>
      <c r="R653" s="13"/>
      <c r="S653" s="30"/>
      <c r="T653" s="43"/>
      <c r="W653" t="str">
        <f t="shared" ref="W653:W663" si="288">B653&amp;C653&amp;D653</f>
        <v>CDIT77-FT-6911 (Export gas)Fiscal</v>
      </c>
      <c r="X6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4" spans="1:24" ht="12.5" x14ac:dyDescent="0.25">
      <c r="A654" s="19"/>
      <c r="B654" s="19" t="s">
        <v>31</v>
      </c>
      <c r="C654" s="5" t="s">
        <v>71</v>
      </c>
      <c r="D654" s="20" t="s">
        <v>72</v>
      </c>
      <c r="E654" s="35"/>
      <c r="F654" s="29" cm="1">
        <f t="array" ref="F654">IF(V654 &lt;&gt; "", V654, IFERROR(_xlfn.SINGLE(INDEX($G$1:G653,SUMPRODUCT(MAX(($W$1:W653=W654)*(ROW($W$1:W653))))))+IF(D654="Fiscal",30,90),""))</f>
        <v>45935</v>
      </c>
      <c r="G654" s="21">
        <v>45932</v>
      </c>
      <c r="H654" s="15">
        <f t="shared" si="285"/>
        <v>45942</v>
      </c>
      <c r="I654" s="15"/>
      <c r="J654" s="32"/>
      <c r="K654" s="15">
        <f t="shared" si="286"/>
        <v>45952</v>
      </c>
      <c r="L654" s="15"/>
      <c r="M654" s="15">
        <f t="shared" si="287"/>
        <v>45957</v>
      </c>
      <c r="N654" s="13">
        <v>45957</v>
      </c>
      <c r="O654" s="2">
        <f>IFERROR(IF(tblColetas[[#This Row],[Status Coleta]]="Reprovado","Reprovado",IF(ISERROR(SEARCH("Poço",D654)),IF(N654="","Erro",IF(Q654="Reprovado","",WORKDAY(N654,IF(D654="Operacional",10,3),FERIADOS!$A$3:$A$119))),"-")),"-")</f>
        <v>45960</v>
      </c>
      <c r="P654" s="21">
        <v>45959</v>
      </c>
      <c r="Q654" s="7" t="s">
        <v>37</v>
      </c>
      <c r="R654" s="13"/>
      <c r="S654" s="30"/>
      <c r="T654" s="43"/>
      <c r="W654" t="str">
        <f t="shared" si="288"/>
        <v>CDIT77-FT-0103 (Fuel Gas)Fiscal</v>
      </c>
      <c r="X6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5" spans="1:24" ht="12.5" x14ac:dyDescent="0.25">
      <c r="A655" s="19"/>
      <c r="B655" s="19" t="s">
        <v>31</v>
      </c>
      <c r="C655" s="5" t="s">
        <v>74</v>
      </c>
      <c r="D655" s="20" t="s">
        <v>72</v>
      </c>
      <c r="E655" s="35"/>
      <c r="F655" s="29" cm="1">
        <f t="array" ref="F655">IF(V655 &lt;&gt; "", V655, IFERROR(_xlfn.SINGLE(INDEX($G$1:G654,SUMPRODUCT(MAX(($W$1:W654=W655)*(ROW($W$1:W654))))))+IF(D655="Fiscal",30,90),""))</f>
        <v>45935</v>
      </c>
      <c r="G655" s="21">
        <v>45932</v>
      </c>
      <c r="H655" s="15">
        <f t="shared" si="285"/>
        <v>45942</v>
      </c>
      <c r="I655" s="15"/>
      <c r="J655" s="32"/>
      <c r="K655" s="15">
        <f t="shared" si="286"/>
        <v>45952</v>
      </c>
      <c r="L655" s="15"/>
      <c r="M655" s="15">
        <f t="shared" si="287"/>
        <v>45957</v>
      </c>
      <c r="N655" s="13">
        <v>45957</v>
      </c>
      <c r="O655" s="2">
        <f>IFERROR(IF(tblColetas[[#This Row],[Status Coleta]]="Reprovado","Reprovado",IF(ISERROR(SEARCH("Poço",D655)),IF(N655="","Erro",IF(Q655="Reprovado","",WORKDAY(N655,IF(D655="Operacional",10,3),FERIADOS!$A$3:$A$119))),"-")),"-")</f>
        <v>45960</v>
      </c>
      <c r="P655" s="21">
        <v>45959</v>
      </c>
      <c r="Q655" s="7" t="s">
        <v>37</v>
      </c>
      <c r="R655" s="13"/>
      <c r="S655" s="30"/>
      <c r="T655" s="43"/>
      <c r="W655" t="str">
        <f t="shared" si="288"/>
        <v>CDIT76-FT-0014 (HP Flare)Fiscal</v>
      </c>
      <c r="X6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6" spans="1:24" ht="12.5" x14ac:dyDescent="0.25">
      <c r="A656" s="19"/>
      <c r="B656" s="19" t="s">
        <v>31</v>
      </c>
      <c r="C656" s="5" t="s">
        <v>75</v>
      </c>
      <c r="D656" s="20" t="s">
        <v>72</v>
      </c>
      <c r="E656" s="35"/>
      <c r="F656" s="29" cm="1">
        <f t="array" ref="F656">IF(V656 &lt;&gt; "", V656, IFERROR(_xlfn.SINGLE(INDEX($G$1:G655,SUMPRODUCT(MAX(($W$1:W655=W656)*(ROW($W$1:W655))))))+IF(D656="Fiscal",30,90),""))</f>
        <v>45935</v>
      </c>
      <c r="G656" s="21">
        <v>45932</v>
      </c>
      <c r="H656" s="15">
        <f t="shared" si="285"/>
        <v>45942</v>
      </c>
      <c r="I656" s="15"/>
      <c r="J656" s="32"/>
      <c r="K656" s="15">
        <f t="shared" si="286"/>
        <v>45952</v>
      </c>
      <c r="L656" s="15"/>
      <c r="M656" s="15">
        <f t="shared" si="287"/>
        <v>45957</v>
      </c>
      <c r="N656" s="13">
        <v>45957</v>
      </c>
      <c r="O656" s="2">
        <f>IFERROR(IF(tblColetas[[#This Row],[Status Coleta]]="Reprovado","Reprovado",IF(ISERROR(SEARCH("Poço",D656)),IF(N656="","Erro",IF(Q656="Reprovado","",WORKDAY(N656,IF(D656="Operacional",10,3),FERIADOS!$A$3:$A$119))),"-")),"-")</f>
        <v>45960</v>
      </c>
      <c r="P656" s="21">
        <v>45959</v>
      </c>
      <c r="Q656" s="7" t="s">
        <v>37</v>
      </c>
      <c r="R656" s="13"/>
      <c r="S656" s="30"/>
      <c r="T656" s="43"/>
      <c r="W656" t="str">
        <f t="shared" si="288"/>
        <v>CDIT76-FT-0034 (LP Flare)Fiscal</v>
      </c>
      <c r="X6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7" spans="1:24" ht="12.5" x14ac:dyDescent="0.25">
      <c r="A657" s="19"/>
      <c r="B657" s="19" t="s">
        <v>145</v>
      </c>
      <c r="C657" s="5" t="s">
        <v>146</v>
      </c>
      <c r="D657" s="20" t="s">
        <v>72</v>
      </c>
      <c r="E657" s="35"/>
      <c r="F657" s="29" cm="1">
        <f t="array" ref="F657">IF(V657 &lt;&gt; "", V657, IFERROR(_xlfn.SINGLE(INDEX($G$1:G656,SUMPRODUCT(MAX(($W$1:W656=W657)*(ROW($W$1:W656))))))+IF(D657="Fiscal",30,90),""))</f>
        <v>45935</v>
      </c>
      <c r="G657" s="21">
        <v>45933</v>
      </c>
      <c r="H657" s="15">
        <f t="shared" si="285"/>
        <v>45943</v>
      </c>
      <c r="I657" s="15"/>
      <c r="J657" s="32"/>
      <c r="K657" s="15">
        <f t="shared" si="286"/>
        <v>45953</v>
      </c>
      <c r="L657" s="15"/>
      <c r="M657" s="15">
        <f t="shared" si="287"/>
        <v>45958</v>
      </c>
      <c r="N657" s="13">
        <v>45958</v>
      </c>
      <c r="O657" s="2">
        <f>IFERROR(IF(tblColetas[[#This Row],[Status Coleta]]="Reprovado","Reprovado",IF(ISERROR(SEARCH("Poço",D657)),IF(N657="","Erro",IF(Q657="Reprovado","",WORKDAY(N657,IF(D657="Operacional",10,3),FERIADOS!$A$3:$A$119))),"-")),"-")</f>
        <v>45961</v>
      </c>
      <c r="P657" s="21">
        <v>45961</v>
      </c>
      <c r="Q657" s="7" t="s">
        <v>37</v>
      </c>
      <c r="R657" s="13"/>
      <c r="S657" s="30"/>
      <c r="T657" s="43"/>
      <c r="W657" t="str">
        <f t="shared" si="288"/>
        <v>ATD777-AP-1403 (Fuel Gas to Flare Stack)Fiscal</v>
      </c>
      <c r="X6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8" spans="1:24" ht="12.5" x14ac:dyDescent="0.25">
      <c r="A658" s="19"/>
      <c r="B658" s="19" t="s">
        <v>145</v>
      </c>
      <c r="C658" s="5" t="s">
        <v>147</v>
      </c>
      <c r="D658" s="20" t="s">
        <v>72</v>
      </c>
      <c r="E658" s="35"/>
      <c r="F658" s="29" cm="1">
        <f t="array" ref="F658">IF(V658 &lt;&gt; "", V658, IFERROR(_xlfn.SINGLE(INDEX($G$1:G657,SUMPRODUCT(MAX(($W$1:W657=W658)*(ROW($W$1:W657))))))+IF(D658="Fiscal",30,90),""))</f>
        <v>45935</v>
      </c>
      <c r="G658" s="21">
        <v>45933</v>
      </c>
      <c r="H658" s="15">
        <f t="shared" si="285"/>
        <v>45943</v>
      </c>
      <c r="I658" s="15"/>
      <c r="J658" s="32"/>
      <c r="K658" s="15">
        <f t="shared" si="286"/>
        <v>45953</v>
      </c>
      <c r="L658" s="15"/>
      <c r="M658" s="15">
        <f t="shared" si="287"/>
        <v>45958</v>
      </c>
      <c r="N658" s="13">
        <v>45958</v>
      </c>
      <c r="O658" s="2">
        <f>IFERROR(IF(tblColetas[[#This Row],[Status Coleta]]="Reprovado","Reprovado",IF(ISERROR(SEARCH("Poço",D658)),IF(N658="","Erro",IF(Q658="Reprovado","",WORKDAY(N658,IF(D658="Operacional",10,3),FERIADOS!$A$3:$A$119))),"-")),"-")</f>
        <v>45961</v>
      </c>
      <c r="P658" s="21">
        <v>45961</v>
      </c>
      <c r="Q658" s="7" t="s">
        <v>37</v>
      </c>
      <c r="R658" s="13"/>
      <c r="S658" s="30"/>
      <c r="T658" s="43"/>
      <c r="W658" t="str">
        <f t="shared" si="288"/>
        <v>ATD777-AP-1506 (Fuel Gas)Fiscal</v>
      </c>
      <c r="X6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59" spans="1:24" ht="12.5" x14ac:dyDescent="0.25">
      <c r="A659" s="19"/>
      <c r="B659" s="19" t="s">
        <v>145</v>
      </c>
      <c r="C659" s="5" t="s">
        <v>148</v>
      </c>
      <c r="D659" s="20" t="s">
        <v>72</v>
      </c>
      <c r="E659" s="35"/>
      <c r="F659" s="29" cm="1">
        <f t="array" ref="F659">IF(V659 &lt;&gt; "", V659, IFERROR(_xlfn.SINGLE(INDEX($G$1:G658,SUMPRODUCT(MAX(($W$1:W658=W659)*(ROW($W$1:W658))))))+IF(D659="Fiscal",30,90),""))</f>
        <v>45936</v>
      </c>
      <c r="G659" s="21">
        <v>45933</v>
      </c>
      <c r="H659" s="15">
        <f t="shared" si="285"/>
        <v>45943</v>
      </c>
      <c r="I659" s="15"/>
      <c r="J659" s="32"/>
      <c r="K659" s="15">
        <f t="shared" si="286"/>
        <v>45953</v>
      </c>
      <c r="L659" s="15"/>
      <c r="M659" s="15">
        <f t="shared" si="287"/>
        <v>45958</v>
      </c>
      <c r="N659" s="13">
        <v>45958</v>
      </c>
      <c r="O659" s="2">
        <f>IFERROR(IF(tblColetas[[#This Row],[Status Coleta]]="Reprovado","Reprovado",IF(ISERROR(SEARCH("Poço",D659)),IF(N659="","Erro",IF(Q659="Reprovado","",WORKDAY(N659,IF(D659="Operacional",10,3),FERIADOS!$A$3:$A$119))),"-")),"-")</f>
        <v>45961</v>
      </c>
      <c r="P659" s="21">
        <v>45961</v>
      </c>
      <c r="Q659" s="7" t="s">
        <v>37</v>
      </c>
      <c r="R659" s="13"/>
      <c r="S659" s="30"/>
      <c r="T659" s="43"/>
      <c r="W659" t="str">
        <f t="shared" si="288"/>
        <v>ATD776-AP-0018-2 (HP Flare)Fiscal</v>
      </c>
      <c r="X6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0" spans="1:24" ht="12.5" x14ac:dyDescent="0.25">
      <c r="A660" s="19"/>
      <c r="B660" s="19" t="s">
        <v>145</v>
      </c>
      <c r="C660" s="5" t="s">
        <v>149</v>
      </c>
      <c r="D660" s="20" t="s">
        <v>72</v>
      </c>
      <c r="E660" s="35"/>
      <c r="F660" s="29" cm="1">
        <f t="array" ref="F660">IF(V660 &lt;&gt; "", V660, IFERROR(_xlfn.SINGLE(INDEX($G$1:G659,SUMPRODUCT(MAX(($W$1:W659=W660)*(ROW($W$1:W659))))))+IF(D660="Fiscal",30,90),""))</f>
        <v>45935</v>
      </c>
      <c r="G660" s="21">
        <v>45933</v>
      </c>
      <c r="H660" s="15">
        <f t="shared" si="285"/>
        <v>45943</v>
      </c>
      <c r="I660" s="15"/>
      <c r="J660" s="32"/>
      <c r="K660" s="15">
        <f t="shared" si="286"/>
        <v>45953</v>
      </c>
      <c r="L660" s="15"/>
      <c r="M660" s="15">
        <f t="shared" si="287"/>
        <v>45958</v>
      </c>
      <c r="N660" s="13">
        <v>45958</v>
      </c>
      <c r="O660" s="2">
        <f>IFERROR(IF(tblColetas[[#This Row],[Status Coleta]]="Reprovado","Reprovado",IF(ISERROR(SEARCH("Poço",D660)),IF(N660="","Erro",IF(Q660="Reprovado","",WORKDAY(N660,IF(D660="Operacional",10,3),FERIADOS!$A$3:$A$119))),"-")),"-")</f>
        <v>45961</v>
      </c>
      <c r="P660" s="21">
        <v>45961</v>
      </c>
      <c r="Q660" s="7" t="s">
        <v>37</v>
      </c>
      <c r="R660" s="13"/>
      <c r="S660" s="30"/>
      <c r="T660" s="43"/>
      <c r="W660" t="str">
        <f t="shared" si="288"/>
        <v>ATD776-AP-0036-2 (LP Flare)Fiscal</v>
      </c>
      <c r="X6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1" spans="1:24" ht="12.5" x14ac:dyDescent="0.25">
      <c r="A661" s="19"/>
      <c r="B661" s="19" t="s">
        <v>145</v>
      </c>
      <c r="C661" s="5" t="s">
        <v>151</v>
      </c>
      <c r="D661" s="20" t="s">
        <v>72</v>
      </c>
      <c r="E661" s="35"/>
      <c r="F661" s="29" cm="1">
        <f t="array" ref="F661">IF(V661 &lt;&gt; "", V661, IFERROR(_xlfn.SINGLE(INDEX($G$1:G660,SUMPRODUCT(MAX(($W$1:W660=W661)*(ROW($W$1:W660))))))+IF(D661="Fiscal",30,90),""))</f>
        <v>45935</v>
      </c>
      <c r="G661" s="21">
        <v>45933</v>
      </c>
      <c r="H661" s="15">
        <f t="shared" si="285"/>
        <v>45943</v>
      </c>
      <c r="I661" s="15"/>
      <c r="J661" s="32"/>
      <c r="K661" s="15">
        <f t="shared" si="286"/>
        <v>45953</v>
      </c>
      <c r="L661" s="15"/>
      <c r="M661" s="15">
        <f t="shared" si="287"/>
        <v>45958</v>
      </c>
      <c r="N661" s="13">
        <v>45958</v>
      </c>
      <c r="O661" s="2" t="str">
        <f>IFERROR(IF(tblColetas[[#This Row],[Status Coleta]]="Reprovado","Reprovado",IF(ISERROR(SEARCH("Poço",D661)),IF(N661="","Erro",IF(Q661="Reprovado","",WORKDAY(N661,IF(D661="Operacional",10,3),FERIADOS!$A$3:$A$119))),"-")),"-")</f>
        <v>Reprovado</v>
      </c>
      <c r="P661" s="21"/>
      <c r="Q661" s="7" t="s">
        <v>81</v>
      </c>
      <c r="R661" s="13"/>
      <c r="S661" s="30" t="s">
        <v>127</v>
      </c>
      <c r="T661" s="43"/>
      <c r="W661" t="str">
        <f t="shared" si="288"/>
        <v>ATD776-AP-7001 (Flare Assist)Fiscal</v>
      </c>
      <c r="X6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2" spans="1:24" ht="12.5" x14ac:dyDescent="0.25">
      <c r="A662" s="19"/>
      <c r="B662" s="19" t="s">
        <v>145</v>
      </c>
      <c r="C662" s="5" t="s">
        <v>212</v>
      </c>
      <c r="D662" s="20" t="s">
        <v>26</v>
      </c>
      <c r="E662" s="35"/>
      <c r="F662" s="29" cm="1">
        <f t="array" ref="F662">IF(V662 &lt;&gt; "", V662, IFERROR(_xlfn.SINGLE(INDEX($G$1:G661,SUMPRODUCT(MAX(($W$1:W661=W662)*(ROW($W$1:W661))))))+IF(D662="Fiscal",30,90),""))</f>
        <v>45996</v>
      </c>
      <c r="G662" s="21">
        <v>45930</v>
      </c>
      <c r="H662" s="15">
        <f t="shared" si="285"/>
        <v>45940</v>
      </c>
      <c r="I662" s="15">
        <v>45949</v>
      </c>
      <c r="J662" s="32" t="s">
        <v>200</v>
      </c>
      <c r="K662" s="15">
        <f t="shared" si="286"/>
        <v>45950</v>
      </c>
      <c r="L662" s="15">
        <v>45953</v>
      </c>
      <c r="M662" s="15">
        <f t="shared" si="287"/>
        <v>45955</v>
      </c>
      <c r="N662" s="13">
        <v>45954</v>
      </c>
      <c r="O662" s="2" t="str">
        <f>IFERROR(IF(tblColetas[[#This Row],[Status Coleta]]="Reprovado","Reprovado",IF(ISERROR(SEARCH("Poço",D662)),IF(N662="","Erro",IF(Q662="Reprovado","",WORKDAY(N662,IF(D662="Operacional",10,3),FERIADOS!$A$3:$A$119))),"-")),"-")</f>
        <v>-</v>
      </c>
      <c r="P662" s="21"/>
      <c r="Q662" s="7"/>
      <c r="R662" s="13"/>
      <c r="S662" s="30"/>
      <c r="T662" s="43"/>
      <c r="W662" t="str">
        <f t="shared" si="288"/>
        <v>ATDPoço 7-BUZ-85D-RJS (P-7)Poço CG</v>
      </c>
      <c r="X6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3" spans="1:24" ht="12.5" x14ac:dyDescent="0.25">
      <c r="A663" s="19"/>
      <c r="B663" s="19" t="s">
        <v>145</v>
      </c>
      <c r="C663" s="5" t="s">
        <v>212</v>
      </c>
      <c r="D663" s="20" t="s">
        <v>29</v>
      </c>
      <c r="E663" s="35"/>
      <c r="F663" s="29" cm="1">
        <f t="array" ref="F663">IF(V663 &lt;&gt; "", V663, IFERROR(_xlfn.SINGLE(INDEX($G$1:G662,SUMPRODUCT(MAX(($W$1:W662=W663)*(ROW($W$1:W662))))))+IF(D663="Fiscal",30,90),""))</f>
        <v>45996</v>
      </c>
      <c r="G663" s="21">
        <v>45930</v>
      </c>
      <c r="H663" s="15">
        <f t="shared" si="285"/>
        <v>45940</v>
      </c>
      <c r="I663" s="15">
        <v>45949</v>
      </c>
      <c r="J663" s="32" t="s">
        <v>200</v>
      </c>
      <c r="K663" s="15">
        <f t="shared" si="286"/>
        <v>45950</v>
      </c>
      <c r="L663" s="15">
        <v>45953</v>
      </c>
      <c r="M663" s="15">
        <f t="shared" si="287"/>
        <v>45955</v>
      </c>
      <c r="N663" s="13">
        <v>45954</v>
      </c>
      <c r="O663" s="2" t="str">
        <f>IFERROR(IF(tblColetas[[#This Row],[Status Coleta]]="Reprovado","Reprovado",IF(ISERROR(SEARCH("Poço",D663)),IF(N663="","Erro",IF(Q663="Reprovado","",WORKDAY(N663,IF(D663="Operacional",10,3),FERIADOS!$A$3:$A$119))),"-")),"-")</f>
        <v>-</v>
      </c>
      <c r="P663" s="21"/>
      <c r="Q663" s="7"/>
      <c r="R663" s="13"/>
      <c r="S663" s="30"/>
      <c r="T663" s="43"/>
      <c r="W663" t="str">
        <f t="shared" si="288"/>
        <v>ATDPoço 7-BUZ-85D-RJS (P-7)Poço PVT</v>
      </c>
      <c r="X6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4" spans="1:24" ht="12.5" x14ac:dyDescent="0.25">
      <c r="A664" s="19"/>
      <c r="B664" s="19" t="s">
        <v>24</v>
      </c>
      <c r="C664" s="5" t="s">
        <v>76</v>
      </c>
      <c r="D664" s="20" t="s">
        <v>72</v>
      </c>
      <c r="E664" s="35"/>
      <c r="F664" s="29" cm="1">
        <f t="array" ref="F664">IF(V664 &lt;&gt; "", V664, IFERROR(_xlfn.SINGLE(INDEX($G$1:G663,SUMPRODUCT(MAX(($W$1:W663=W664)*(ROW($W$1:W663))))))+IF(D664="Fiscal",30,90),""))</f>
        <v>45938</v>
      </c>
      <c r="G664" s="21">
        <v>45936</v>
      </c>
      <c r="H664" s="15">
        <f t="shared" ref="H664:H669" si="289">IF(G664="","Erro", G664+10)</f>
        <v>45946</v>
      </c>
      <c r="I664" s="15">
        <v>45939</v>
      </c>
      <c r="J664" s="32" t="s">
        <v>206</v>
      </c>
      <c r="K664" s="15">
        <f t="shared" ref="K664:K669" si="290">IF(G664="","Erro",G664+20)</f>
        <v>45956</v>
      </c>
      <c r="L664" s="15">
        <v>45951</v>
      </c>
      <c r="M664" s="15">
        <f t="shared" ref="M664:M669" si="291">IF(G664="","Erro",G664+IF(D664="Operacional",45,25))</f>
        <v>45961</v>
      </c>
      <c r="N664" s="13">
        <v>45961</v>
      </c>
      <c r="O664" s="2">
        <f>IFERROR(IF(tblColetas[[#This Row],[Status Coleta]]="Reprovado","Reprovado",IF(ISERROR(SEARCH("Poço",D664)),IF(N664="","Erro",IF(Q664="Reprovado","",WORKDAY(N664,IF(D664="Operacional",10,3),FERIADOS!$A$3:$A$119))),"-")),"-")</f>
        <v>45966</v>
      </c>
      <c r="P664" s="21">
        <v>45966</v>
      </c>
      <c r="Q664" s="7" t="s">
        <v>37</v>
      </c>
      <c r="R664" s="13"/>
      <c r="S664" s="30"/>
      <c r="T664" s="43"/>
      <c r="W664" t="str">
        <f t="shared" ref="W664:W669" si="292">B664&amp;C664&amp;D664</f>
        <v>CDAM74-FT-005 (Export gas)Fiscal</v>
      </c>
      <c r="X6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5" spans="1:24" ht="12.5" x14ac:dyDescent="0.25">
      <c r="A665" s="19"/>
      <c r="B665" s="19" t="s">
        <v>24</v>
      </c>
      <c r="C665" s="5" t="s">
        <v>78</v>
      </c>
      <c r="D665" s="20" t="s">
        <v>72</v>
      </c>
      <c r="E665" s="35"/>
      <c r="F665" s="29" cm="1">
        <f t="array" ref="F665">IF(V665 &lt;&gt; "", V665, IFERROR(_xlfn.SINGLE(INDEX($G$1:G664,SUMPRODUCT(MAX(($W$1:W664=W665)*(ROW($W$1:W664))))))+IF(D665="Fiscal",30,90),""))</f>
        <v>45938</v>
      </c>
      <c r="G665" s="21">
        <v>45936</v>
      </c>
      <c r="H665" s="15">
        <f t="shared" si="289"/>
        <v>45946</v>
      </c>
      <c r="I665" s="15">
        <v>45939</v>
      </c>
      <c r="J665" s="32" t="s">
        <v>206</v>
      </c>
      <c r="K665" s="15">
        <f t="shared" si="290"/>
        <v>45956</v>
      </c>
      <c r="L665" s="15">
        <v>45951</v>
      </c>
      <c r="M665" s="15">
        <f t="shared" si="291"/>
        <v>45961</v>
      </c>
      <c r="N665" s="13">
        <v>45961</v>
      </c>
      <c r="O665" s="2">
        <f>IFERROR(IF(tblColetas[[#This Row],[Status Coleta]]="Reprovado","Reprovado",IF(ISERROR(SEARCH("Poço",D665)),IF(N665="","Erro",IF(Q665="Reprovado","",WORKDAY(N665,IF(D665="Operacional",10,3),FERIADOS!$A$3:$A$119))),"-")),"-")</f>
        <v>45966</v>
      </c>
      <c r="P665" s="21">
        <v>45966</v>
      </c>
      <c r="Q665" s="7" t="s">
        <v>37</v>
      </c>
      <c r="R665" s="13"/>
      <c r="S665" s="30"/>
      <c r="T665" s="43"/>
      <c r="W665" t="str">
        <f t="shared" si="292"/>
        <v>CDAT77-FT-001 (Fuel Gas)Fiscal</v>
      </c>
      <c r="X6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6" spans="1:24" ht="12.5" x14ac:dyDescent="0.25">
      <c r="A666" s="19"/>
      <c r="B666" s="19" t="s">
        <v>34</v>
      </c>
      <c r="C666" s="5" t="s">
        <v>43</v>
      </c>
      <c r="D666" s="20" t="s">
        <v>26</v>
      </c>
      <c r="E666" s="35"/>
      <c r="F666" s="29" cm="1">
        <f t="array" ref="F666">IF(V666 &lt;&gt; "", V666, IFERROR(_xlfn.SINGLE(INDEX($G$1:G665,SUMPRODUCT(MAX(($W$1:W665=W666)*(ROW($W$1:W665))))))+IF(D666="Fiscal",30,90),""))</f>
        <v>45995</v>
      </c>
      <c r="G666" s="21">
        <v>45989</v>
      </c>
      <c r="H666" s="15">
        <f t="shared" si="289"/>
        <v>45999</v>
      </c>
      <c r="I666" s="15">
        <v>45989</v>
      </c>
      <c r="J666" s="32" t="s">
        <v>229</v>
      </c>
      <c r="K666" s="15">
        <f t="shared" si="290"/>
        <v>46009</v>
      </c>
      <c r="L666" s="15">
        <v>45996</v>
      </c>
      <c r="M666" s="15">
        <f t="shared" si="291"/>
        <v>46014</v>
      </c>
      <c r="N666" s="13">
        <v>46014</v>
      </c>
      <c r="O666" s="2" t="str">
        <f>IFERROR(IF(tblColetas[[#This Row],[Status Coleta]]="Reprovado","Reprovado",IF(ISERROR(SEARCH("Poço",D666)),IF(N666="","Erro",IF(Q666="Reprovado","",WORKDAY(N666,IF(D666="Operacional",10,3),FERIADOS!$A$3:$A$119))),"-")),"-")</f>
        <v>-</v>
      </c>
      <c r="P666" s="21"/>
      <c r="Q666" s="7" t="s">
        <v>37</v>
      </c>
      <c r="R666" s="13"/>
      <c r="S666" s="30"/>
      <c r="T666" s="43"/>
      <c r="W666" t="str">
        <f t="shared" si="292"/>
        <v>CDSPoço LL-59 (P-10)Poço CG</v>
      </c>
      <c r="X6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7" spans="1:24" ht="12.5" x14ac:dyDescent="0.25">
      <c r="A667" s="19"/>
      <c r="B667" s="19" t="s">
        <v>34</v>
      </c>
      <c r="C667" s="5" t="s">
        <v>43</v>
      </c>
      <c r="D667" s="20" t="s">
        <v>29</v>
      </c>
      <c r="E667" s="35"/>
      <c r="F667" s="29" cm="1">
        <f t="array" ref="F667">IF(V667 &lt;&gt; "", V667, IFERROR(_xlfn.SINGLE(INDEX($G$1:G666,SUMPRODUCT(MAX(($W$1:W666=W667)*(ROW($W$1:W666))))))+IF(D667="Fiscal",30,90),""))</f>
        <v>45995</v>
      </c>
      <c r="G667" s="21">
        <v>45989</v>
      </c>
      <c r="H667" s="15">
        <f t="shared" si="289"/>
        <v>45999</v>
      </c>
      <c r="I667" s="15">
        <v>45989</v>
      </c>
      <c r="J667" s="32" t="s">
        <v>229</v>
      </c>
      <c r="K667" s="15">
        <f t="shared" si="290"/>
        <v>46009</v>
      </c>
      <c r="L667" s="15">
        <v>45996</v>
      </c>
      <c r="M667" s="15">
        <f t="shared" si="291"/>
        <v>46014</v>
      </c>
      <c r="N667" s="13">
        <v>46014</v>
      </c>
      <c r="O667" s="2" t="str">
        <f>IFERROR(IF(tblColetas[[#This Row],[Status Coleta]]="Reprovado","Reprovado",IF(ISERROR(SEARCH("Poço",D667)),IF(N667="","Erro",IF(Q667="Reprovado","",WORKDAY(N667,IF(D667="Operacional",10,3),FERIADOS!$A$3:$A$119))),"-")),"-")</f>
        <v>-</v>
      </c>
      <c r="P667" s="21"/>
      <c r="Q667" s="7" t="s">
        <v>37</v>
      </c>
      <c r="R667" s="13"/>
      <c r="S667" s="30"/>
      <c r="T667" s="43"/>
      <c r="W667" t="str">
        <f t="shared" si="292"/>
        <v>CDSPoço LL-59 (P-10)Poço PVT</v>
      </c>
      <c r="X6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8" spans="1:24" ht="12.5" x14ac:dyDescent="0.25">
      <c r="A668" s="19"/>
      <c r="B668" s="19" t="s">
        <v>52</v>
      </c>
      <c r="C668" s="5" t="s">
        <v>53</v>
      </c>
      <c r="D668" s="20" t="s">
        <v>26</v>
      </c>
      <c r="E668" s="35"/>
      <c r="F668" s="29" cm="1">
        <f t="array" ref="F668">IF(V668 &lt;&gt; "", V668, IFERROR(_xlfn.SINGLE(INDEX($G$1:G667,SUMPRODUCT(MAX(($W$1:W667=W668)*(ROW($W$1:W667))))))+IF(D668="Fiscal",30,90),""))</f>
        <v>46001</v>
      </c>
      <c r="G668" s="21">
        <v>46010</v>
      </c>
      <c r="H668" s="15">
        <f t="shared" si="289"/>
        <v>46020</v>
      </c>
      <c r="I668" s="15">
        <v>46011</v>
      </c>
      <c r="J668" s="32" t="s">
        <v>203</v>
      </c>
      <c r="K668" s="15">
        <f t="shared" si="290"/>
        <v>46030</v>
      </c>
      <c r="L668" s="15">
        <v>46021</v>
      </c>
      <c r="M668" s="15">
        <f t="shared" si="291"/>
        <v>46035</v>
      </c>
      <c r="N668" s="13">
        <v>46029</v>
      </c>
      <c r="O668" s="2" t="str">
        <f>IFERROR(IF(tblColetas[[#This Row],[Status Coleta]]="Reprovado","Reprovado",IF(ISERROR(SEARCH("Poço",D668)),IF(N668="","Erro",IF(Q668="Reprovado","",WORKDAY(N668,IF(D668="Operacional",10,3),FERIADOS!$A$3:$A$119))),"-")),"-")</f>
        <v>-</v>
      </c>
      <c r="P668" s="21"/>
      <c r="Q668" s="7" t="s">
        <v>37</v>
      </c>
      <c r="R668" s="13"/>
      <c r="S668" s="30"/>
      <c r="T668" s="43"/>
      <c r="W668" t="str">
        <f t="shared" si="292"/>
        <v>SEPPoço MRO-27  P-8Poço CG</v>
      </c>
      <c r="X6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69" spans="1:24" ht="12.5" x14ac:dyDescent="0.25">
      <c r="A669" s="19"/>
      <c r="B669" s="19" t="s">
        <v>52</v>
      </c>
      <c r="C669" s="31" t="s">
        <v>53</v>
      </c>
      <c r="D669" s="20" t="s">
        <v>29</v>
      </c>
      <c r="E669" s="35"/>
      <c r="F669" s="29" cm="1">
        <f t="array" ref="F669">IF(V669 &lt;&gt; "", V669, IFERROR(_xlfn.SINGLE(INDEX($G$1:G668,SUMPRODUCT(MAX(($W$1:W668=W669)*(ROW($W$1:W668))))))+IF(D669="Fiscal",30,90),""))</f>
        <v>46001</v>
      </c>
      <c r="G669" s="21">
        <v>45945</v>
      </c>
      <c r="H669" s="15">
        <f t="shared" si="289"/>
        <v>45955</v>
      </c>
      <c r="I669" s="15">
        <v>45954</v>
      </c>
      <c r="J669" s="32"/>
      <c r="K669" s="15">
        <f t="shared" si="290"/>
        <v>45965</v>
      </c>
      <c r="L669" s="15">
        <v>45964</v>
      </c>
      <c r="M669" s="15">
        <f t="shared" si="291"/>
        <v>45970</v>
      </c>
      <c r="N669" s="13">
        <v>45970</v>
      </c>
      <c r="O669" s="2" t="str">
        <f>IFERROR(IF(tblColetas[[#This Row],[Status Coleta]]="Reprovado","Reprovado",IF(ISERROR(SEARCH("Poço",D669)),IF(N669="","Erro",IF(Q669="Reprovado","",WORKDAY(N669,IF(D669="Operacional",10,3),FERIADOS!$A$3:$A$119))),"-")),"-")</f>
        <v>-</v>
      </c>
      <c r="P669" s="21"/>
      <c r="Q669" s="7"/>
      <c r="R669" s="13"/>
      <c r="S669" s="30"/>
      <c r="T669" s="43"/>
      <c r="W669" t="str">
        <f t="shared" si="292"/>
        <v>SEPPoço MRO-27  P-8Poço PVT</v>
      </c>
      <c r="X6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0" spans="1:24" ht="12.5" x14ac:dyDescent="0.25">
      <c r="A670" s="19"/>
      <c r="B670" s="19" t="s">
        <v>52</v>
      </c>
      <c r="C670" s="5" t="s">
        <v>112</v>
      </c>
      <c r="D670" s="20" t="s">
        <v>72</v>
      </c>
      <c r="E670" s="35"/>
      <c r="F670" s="29" cm="1">
        <f t="array" ref="F670">IF(V670 &lt;&gt; "", V670, IFERROR(_xlfn.SINGLE(INDEX($G$1:G669,SUMPRODUCT(MAX(($W$1:W669=W670)*(ROW($W$1:W669))))))+IF(D670="Fiscal",30,90),""))</f>
        <v>45939</v>
      </c>
      <c r="G670" s="21">
        <v>45938</v>
      </c>
      <c r="H670" s="15">
        <f t="shared" ref="H670:H677" si="293">IF(G670="","Erro", G670+10)</f>
        <v>45948</v>
      </c>
      <c r="I670" s="15"/>
      <c r="J670" s="32"/>
      <c r="K670" s="15">
        <f t="shared" ref="K670:K677" si="294">IF(G670="","Erro",G670+20)</f>
        <v>45958</v>
      </c>
      <c r="L670" s="15"/>
      <c r="M670" s="15">
        <f t="shared" ref="M670:M677" si="295">IF(G670="","Erro",G670+IF(D670="Operacional",45,25))</f>
        <v>45963</v>
      </c>
      <c r="N670" s="13">
        <v>45961</v>
      </c>
      <c r="O670" s="2">
        <f>IFERROR(IF(tblColetas[[#This Row],[Status Coleta]]="Reprovado","Reprovado",IF(ISERROR(SEARCH("Poço",D670)),IF(N670="","Erro",IF(Q670="Reprovado","",WORKDAY(N670,IF(D670="Operacional",10,3),FERIADOS!$A$3:$A$119))),"-")),"-")</f>
        <v>45966</v>
      </c>
      <c r="P670" s="21">
        <v>45965</v>
      </c>
      <c r="Q670" s="7" t="s">
        <v>37</v>
      </c>
      <c r="R670" s="13"/>
      <c r="S670" s="30"/>
      <c r="T670" s="43"/>
      <c r="W670" t="str">
        <f t="shared" ref="W670:W677" si="296">B670&amp;C670&amp;D670</f>
        <v>SEP776-AP-0006 (HP Flare)Fiscal</v>
      </c>
      <c r="X6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1" spans="1:24" ht="12.5" x14ac:dyDescent="0.25">
      <c r="A671" s="19"/>
      <c r="B671" s="19" t="s">
        <v>52</v>
      </c>
      <c r="C671" s="5" t="s">
        <v>113</v>
      </c>
      <c r="D671" s="20" t="s">
        <v>72</v>
      </c>
      <c r="E671" s="35"/>
      <c r="F671" s="29" cm="1">
        <f t="array" ref="F671">IF(V671 &lt;&gt; "", V671, IFERROR(_xlfn.SINGLE(INDEX($G$1:G670,SUMPRODUCT(MAX(($W$1:W670=W671)*(ROW($W$1:W670))))))+IF(D671="Fiscal",30,90),""))</f>
        <v>45939</v>
      </c>
      <c r="G671" s="21">
        <v>45938</v>
      </c>
      <c r="H671" s="15">
        <f t="shared" si="293"/>
        <v>45948</v>
      </c>
      <c r="I671" s="15"/>
      <c r="J671" s="32"/>
      <c r="K671" s="15">
        <f t="shared" si="294"/>
        <v>45958</v>
      </c>
      <c r="L671" s="15"/>
      <c r="M671" s="15">
        <f t="shared" si="295"/>
        <v>45963</v>
      </c>
      <c r="N671" s="13">
        <v>45961</v>
      </c>
      <c r="O671" s="2">
        <f>IFERROR(IF(tblColetas[[#This Row],[Status Coleta]]="Reprovado","Reprovado",IF(ISERROR(SEARCH("Poço",D671)),IF(N671="","Erro",IF(Q671="Reprovado","",WORKDAY(N671,IF(D671="Operacional",10,3),FERIADOS!$A$3:$A$119))),"-")),"-")</f>
        <v>45966</v>
      </c>
      <c r="P671" s="21">
        <v>45965</v>
      </c>
      <c r="Q671" s="7" t="s">
        <v>37</v>
      </c>
      <c r="R671" s="13"/>
      <c r="S671" s="30"/>
      <c r="T671" s="43"/>
      <c r="W671" t="str">
        <f t="shared" si="296"/>
        <v>SEP776-AP-0030 (LP Flare)Fiscal</v>
      </c>
      <c r="X6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2" spans="1:24" ht="12.5" x14ac:dyDescent="0.25">
      <c r="A672" s="19"/>
      <c r="B672" s="19" t="s">
        <v>52</v>
      </c>
      <c r="C672" s="5" t="s">
        <v>114</v>
      </c>
      <c r="D672" s="20" t="s">
        <v>72</v>
      </c>
      <c r="E672" s="35"/>
      <c r="F672" s="29" cm="1">
        <f t="array" ref="F672">IF(V672 &lt;&gt; "", V672, IFERROR(_xlfn.SINGLE(INDEX($G$1:G671,SUMPRODUCT(MAX(($W$1:W671=W672)*(ROW($W$1:W671))))))+IF(D672="Fiscal",30,90),""))</f>
        <v>45939</v>
      </c>
      <c r="G672" s="21">
        <v>45938</v>
      </c>
      <c r="H672" s="15">
        <f t="shared" si="293"/>
        <v>45948</v>
      </c>
      <c r="I672" s="15"/>
      <c r="J672" s="32"/>
      <c r="K672" s="15">
        <f t="shared" si="294"/>
        <v>45958</v>
      </c>
      <c r="L672" s="15"/>
      <c r="M672" s="15">
        <f t="shared" si="295"/>
        <v>45963</v>
      </c>
      <c r="N672" s="13">
        <v>45961</v>
      </c>
      <c r="O672" s="2">
        <f>IFERROR(IF(tblColetas[[#This Row],[Status Coleta]]="Reprovado","Reprovado",IF(ISERROR(SEARCH("Poço",D672)),IF(N672="","Erro",IF(Q672="Reprovado","",WORKDAY(N672,IF(D672="Operacional",10,3),FERIADOS!$A$3:$A$119))),"-")),"-")</f>
        <v>45966</v>
      </c>
      <c r="P672" s="21">
        <v>45965</v>
      </c>
      <c r="Q672" s="7" t="s">
        <v>37</v>
      </c>
      <c r="R672" s="13"/>
      <c r="S672" s="30"/>
      <c r="T672" s="43"/>
      <c r="W672" t="str">
        <f t="shared" si="296"/>
        <v>SEP777-AP-1104 (Fuel Gas)Fiscal</v>
      </c>
      <c r="X6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3" spans="1:24" ht="12.5" x14ac:dyDescent="0.25">
      <c r="A673" s="19"/>
      <c r="B673" s="19" t="s">
        <v>52</v>
      </c>
      <c r="C673" s="5" t="s">
        <v>115</v>
      </c>
      <c r="D673" s="20" t="s">
        <v>72</v>
      </c>
      <c r="E673" s="35"/>
      <c r="F673" s="29" cm="1">
        <f t="array" ref="F673">IF(V673 &lt;&gt; "", V673, IFERROR(_xlfn.SINGLE(INDEX($G$1:G672,SUMPRODUCT(MAX(($W$1:W672=W673)*(ROW($W$1:W672))))))+IF(D673="Fiscal",30,90),""))</f>
        <v>45939</v>
      </c>
      <c r="G673" s="21">
        <v>45938</v>
      </c>
      <c r="H673" s="15">
        <f t="shared" si="293"/>
        <v>45948</v>
      </c>
      <c r="I673" s="15"/>
      <c r="J673" s="32"/>
      <c r="K673" s="15">
        <f t="shared" si="294"/>
        <v>45958</v>
      </c>
      <c r="L673" s="15"/>
      <c r="M673" s="15">
        <f t="shared" si="295"/>
        <v>45963</v>
      </c>
      <c r="N673" s="13">
        <v>45961</v>
      </c>
      <c r="O673" s="2">
        <f>IFERROR(IF(tblColetas[[#This Row],[Status Coleta]]="Reprovado","Reprovado",IF(ISERROR(SEARCH("Poço",D673)),IF(N673="","Erro",IF(Q673="Reprovado","",WORKDAY(N673,IF(D673="Operacional",10,3),FERIADOS!$A$3:$A$119))),"-")),"-")</f>
        <v>45966</v>
      </c>
      <c r="P673" s="21">
        <v>45965</v>
      </c>
      <c r="Q673" s="7" t="s">
        <v>37</v>
      </c>
      <c r="R673" s="13"/>
      <c r="S673" s="30"/>
      <c r="T673" s="43"/>
      <c r="W673" t="str">
        <f t="shared" si="296"/>
        <v>SEP771-AP-0221 (Flare Assist)Fiscal</v>
      </c>
      <c r="X6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4" spans="1:24" ht="12.5" x14ac:dyDescent="0.25">
      <c r="A674" s="17"/>
      <c r="B674" s="17" t="s">
        <v>46</v>
      </c>
      <c r="C674" s="6" t="s">
        <v>230</v>
      </c>
      <c r="D674" s="18" t="s">
        <v>26</v>
      </c>
      <c r="E674" s="35"/>
      <c r="F674" s="25" t="str" cm="1">
        <f t="array" ref="F674">IF(V674 &lt;&gt; "", V674, IFERROR(_xlfn.SINGLE(INDEX($G$1:G673,SUMPRODUCT(MAX(($W$1:W673=W674)*(ROW($W$1:W673))))))+IF(D674="Fiscal",30,90),""))</f>
        <v/>
      </c>
      <c r="G674" s="16">
        <v>45912</v>
      </c>
      <c r="H674" s="15">
        <f t="shared" si="293"/>
        <v>45922</v>
      </c>
      <c r="I674" s="15">
        <v>45924</v>
      </c>
      <c r="J674" s="32" t="s">
        <v>231</v>
      </c>
      <c r="K674" s="15">
        <f t="shared" si="294"/>
        <v>45932</v>
      </c>
      <c r="L674" s="15">
        <v>45926</v>
      </c>
      <c r="M674" s="14">
        <f t="shared" si="295"/>
        <v>45937</v>
      </c>
      <c r="N674" s="12">
        <v>45937</v>
      </c>
      <c r="O674" s="1" t="str">
        <f>IFERROR(IF(tblColetas[[#This Row],[Status Coleta]]="Reprovado","Reprovado",IF(ISERROR(SEARCH("Poço",D674)),IF(N674="","Erro",IF(Q674="Reprovado","",WORKDAY(N674,IF(D674="Operacional",10,3),FERIADOS!$A$3:$A$119))),"-")),"-")</f>
        <v>-</v>
      </c>
      <c r="P674" s="16"/>
      <c r="Q674" s="7" t="s">
        <v>37</v>
      </c>
      <c r="R674" s="12"/>
      <c r="S674" s="28" t="s">
        <v>232</v>
      </c>
      <c r="T674" s="42"/>
      <c r="W674" t="str">
        <f t="shared" si="296"/>
        <v>CDMPoço TUP-132 (P-08)Poço CG</v>
      </c>
      <c r="X6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5" spans="1:24" ht="12.5" x14ac:dyDescent="0.25">
      <c r="A675" s="17"/>
      <c r="B675" s="17" t="s">
        <v>46</v>
      </c>
      <c r="C675" s="6" t="s">
        <v>230</v>
      </c>
      <c r="D675" s="18" t="s">
        <v>29</v>
      </c>
      <c r="E675" s="35"/>
      <c r="F675" s="25" t="str" cm="1">
        <f t="array" ref="F675">IF(V675 &lt;&gt; "", V675, IFERROR(_xlfn.SINGLE(INDEX($G$1:G674,SUMPRODUCT(MAX(($W$1:W674=W675)*(ROW($W$1:W674))))))+IF(D675="Fiscal",30,90),""))</f>
        <v/>
      </c>
      <c r="G675" s="16">
        <v>45912</v>
      </c>
      <c r="H675" s="15">
        <f t="shared" si="293"/>
        <v>45922</v>
      </c>
      <c r="I675" s="15">
        <v>45924</v>
      </c>
      <c r="J675" s="32" t="s">
        <v>231</v>
      </c>
      <c r="K675" s="15">
        <f t="shared" si="294"/>
        <v>45932</v>
      </c>
      <c r="L675" s="15">
        <v>45926</v>
      </c>
      <c r="M675" s="14">
        <f t="shared" si="295"/>
        <v>45937</v>
      </c>
      <c r="N675" s="12">
        <v>45937</v>
      </c>
      <c r="O675" s="1" t="str">
        <f>IFERROR(IF(tblColetas[[#This Row],[Status Coleta]]="Reprovado","Reprovado",IF(ISERROR(SEARCH("Poço",D675)),IF(N675="","Erro",IF(Q675="Reprovado","",WORKDAY(N675,IF(D675="Operacional",10,3),FERIADOS!$A$3:$A$119))),"-")),"-")</f>
        <v>-</v>
      </c>
      <c r="P675" s="16"/>
      <c r="Q675" s="7" t="s">
        <v>37</v>
      </c>
      <c r="R675" s="12"/>
      <c r="S675" s="28" t="s">
        <v>232</v>
      </c>
      <c r="T675" s="42"/>
      <c r="W675" t="str">
        <f t="shared" si="296"/>
        <v>CDMPoço TUP-132 (P-08)Poço PVT</v>
      </c>
      <c r="X6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6" spans="1:24" ht="12.5" x14ac:dyDescent="0.25">
      <c r="A676" s="19"/>
      <c r="B676" s="19" t="s">
        <v>46</v>
      </c>
      <c r="C676" s="5" t="s">
        <v>230</v>
      </c>
      <c r="D676" s="20" t="s">
        <v>26</v>
      </c>
      <c r="E676" s="35"/>
      <c r="F676" s="29" cm="1">
        <f t="array" ref="F676">IF(V676 &lt;&gt; "", V676, IFERROR(_xlfn.SINGLE(INDEX($G$1:G675,SUMPRODUCT(MAX(($W$1:W675=W676)*(ROW($W$1:W675))))))+IF(D676="Fiscal",30,90),""))</f>
        <v>46002</v>
      </c>
      <c r="G676" s="21">
        <v>45978</v>
      </c>
      <c r="H676" s="15">
        <f t="shared" si="293"/>
        <v>45988</v>
      </c>
      <c r="I676" s="15">
        <v>45988</v>
      </c>
      <c r="J676" s="32"/>
      <c r="K676" s="15">
        <f t="shared" si="294"/>
        <v>45998</v>
      </c>
      <c r="L676" s="15">
        <v>45996</v>
      </c>
      <c r="M676" s="15">
        <f t="shared" si="295"/>
        <v>46003</v>
      </c>
      <c r="N676" s="13">
        <v>46003</v>
      </c>
      <c r="O676" s="2" t="str">
        <f>IFERROR(IF(tblColetas[[#This Row],[Status Coleta]]="Reprovado","Reprovado",IF(ISERROR(SEARCH("Poço",D676)),IF(N676="","Erro",IF(Q676="Reprovado","",WORKDAY(N676,IF(D676="Operacional",10,3),FERIADOS!$A$3:$A$119))),"-")),"-")</f>
        <v>-</v>
      </c>
      <c r="P676" s="21"/>
      <c r="Q676" s="7" t="s">
        <v>37</v>
      </c>
      <c r="R676" s="13"/>
      <c r="S676" s="30"/>
      <c r="T676" s="43"/>
      <c r="W676" t="str">
        <f t="shared" si="296"/>
        <v>CDMPoço TUP-132 (P-08)Poço CG</v>
      </c>
      <c r="X6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7" spans="1:24" ht="12.5" x14ac:dyDescent="0.25">
      <c r="A677" s="19"/>
      <c r="B677" s="19" t="s">
        <v>46</v>
      </c>
      <c r="C677" s="5" t="s">
        <v>230</v>
      </c>
      <c r="D677" s="20" t="s">
        <v>29</v>
      </c>
      <c r="E677" s="35"/>
      <c r="F677" s="29" cm="1">
        <f t="array" ref="F677">IF(V677 &lt;&gt; "", V677, IFERROR(_xlfn.SINGLE(INDEX($G$1:G676,SUMPRODUCT(MAX(($W$1:W676=W677)*(ROW($W$1:W676))))))+IF(D677="Fiscal",30,90),""))</f>
        <v>46002</v>
      </c>
      <c r="G677" s="21">
        <v>45978</v>
      </c>
      <c r="H677" s="15">
        <f t="shared" si="293"/>
        <v>45988</v>
      </c>
      <c r="I677" s="15">
        <v>45988</v>
      </c>
      <c r="J677" s="32"/>
      <c r="K677" s="15">
        <f t="shared" si="294"/>
        <v>45998</v>
      </c>
      <c r="L677" s="15">
        <v>45996</v>
      </c>
      <c r="M677" s="15">
        <f t="shared" si="295"/>
        <v>46003</v>
      </c>
      <c r="N677" s="13">
        <v>46003</v>
      </c>
      <c r="O677" s="2" t="str">
        <f>IFERROR(IF(tblColetas[[#This Row],[Status Coleta]]="Reprovado","Reprovado",IF(ISERROR(SEARCH("Poço",D677)),IF(N677="","Erro",IF(Q677="Reprovado","",WORKDAY(N677,IF(D677="Operacional",10,3),FERIADOS!$A$3:$A$119))),"-")),"-")</f>
        <v>-</v>
      </c>
      <c r="P677" s="21"/>
      <c r="Q677" s="7" t="s">
        <v>37</v>
      </c>
      <c r="R677" s="13"/>
      <c r="S677" s="30"/>
      <c r="T677" s="43"/>
      <c r="W677" t="str">
        <f t="shared" si="296"/>
        <v>CDMPoço TUP-132 (P-08)Poço PVT</v>
      </c>
      <c r="X6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8" spans="1:24" ht="12.5" x14ac:dyDescent="0.25">
      <c r="A678" s="19"/>
      <c r="B678" s="19" t="s">
        <v>192</v>
      </c>
      <c r="C678" s="5" t="s">
        <v>112</v>
      </c>
      <c r="D678" s="20" t="s">
        <v>72</v>
      </c>
      <c r="E678" s="35"/>
      <c r="F678" s="29" cm="1">
        <f t="array" ref="F678">IF(V678 &lt;&gt; "", V678, IFERROR(_xlfn.SINGLE(INDEX($G$1:G677,SUMPRODUCT(MAX(($W$1:W677=W678)*(ROW($W$1:W677))))))+IF(D678="Fiscal",30,90),""))</f>
        <v>45945</v>
      </c>
      <c r="G678" s="21">
        <v>45942</v>
      </c>
      <c r="H678" s="15">
        <f t="shared" ref="H678:H686" si="297">IF(G678="","Erro", G678+10)</f>
        <v>45952</v>
      </c>
      <c r="I678" s="15"/>
      <c r="J678" s="32"/>
      <c r="K678" s="15">
        <f t="shared" ref="K678:K686" si="298">IF(G678="","Erro",G678+20)</f>
        <v>45962</v>
      </c>
      <c r="L678" s="15"/>
      <c r="M678" s="15">
        <f t="shared" ref="M678:M686" si="299">IF(G678="","Erro",G678+IF(D678="Operacional",45,25))</f>
        <v>45967</v>
      </c>
      <c r="N678" s="13">
        <v>45967</v>
      </c>
      <c r="O678" s="2">
        <f>IFERROR(IF(tblColetas[[#This Row],[Status Coleta]]="Reprovado","Reprovado",IF(ISERROR(SEARCH("Poço",D678)),IF(N678="","Erro",IF(Q678="Reprovado","",WORKDAY(N678,IF(D678="Operacional",10,3),FERIADOS!$A$3:$A$119))),"-")),"-")</f>
        <v>45972</v>
      </c>
      <c r="P678" s="21">
        <v>45971</v>
      </c>
      <c r="Q678" s="7" t="s">
        <v>37</v>
      </c>
      <c r="R678" s="13"/>
      <c r="S678" s="30"/>
      <c r="T678" s="43"/>
      <c r="W678" t="str">
        <f t="shared" ref="W678:W686" si="300">B678&amp;C678&amp;D678</f>
        <v>ADG776-AP-0006 (HP Flare)Fiscal</v>
      </c>
      <c r="X6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79" spans="1:24" ht="12.5" x14ac:dyDescent="0.25">
      <c r="A679" s="19"/>
      <c r="B679" s="19" t="s">
        <v>192</v>
      </c>
      <c r="C679" s="5" t="s">
        <v>193</v>
      </c>
      <c r="D679" s="20" t="s">
        <v>72</v>
      </c>
      <c r="E679" s="35"/>
      <c r="F679" s="29" cm="1">
        <f t="array" ref="F679">IF(V679 &lt;&gt; "", V679, IFERROR(_xlfn.SINGLE(INDEX($G$1:G678,SUMPRODUCT(MAX(($W$1:W678=W679)*(ROW($W$1:W678))))))+IF(D679="Fiscal",30,90),""))</f>
        <v>45945</v>
      </c>
      <c r="G679" s="21">
        <v>45942</v>
      </c>
      <c r="H679" s="15">
        <f t="shared" si="297"/>
        <v>45952</v>
      </c>
      <c r="I679" s="15"/>
      <c r="J679" s="32"/>
      <c r="K679" s="15">
        <f t="shared" si="298"/>
        <v>45962</v>
      </c>
      <c r="L679" s="15"/>
      <c r="M679" s="15">
        <f t="shared" si="299"/>
        <v>45967</v>
      </c>
      <c r="N679" s="13">
        <v>45967</v>
      </c>
      <c r="O679" s="2" t="str">
        <f>IFERROR(IF(tblColetas[[#This Row],[Status Coleta]]="Reprovado","Reprovado",IF(ISERROR(SEARCH("Poço",D679)),IF(N679="","Erro",IF(Q679="Reprovado","",WORKDAY(N679,IF(D679="Operacional",10,3),FERIADOS!$A$3:$A$119))),"-")),"-")</f>
        <v>Reprovado</v>
      </c>
      <c r="P679" s="21"/>
      <c r="Q679" s="7" t="s">
        <v>81</v>
      </c>
      <c r="R679" s="13"/>
      <c r="S679" s="30"/>
      <c r="T679" s="43"/>
      <c r="W679" t="str">
        <f t="shared" si="300"/>
        <v>ADG776-AP-0026 (LP Flare)Fiscal</v>
      </c>
      <c r="X6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0" spans="1:24" ht="12.5" x14ac:dyDescent="0.25">
      <c r="A680" s="19"/>
      <c r="B680" s="19" t="s">
        <v>192</v>
      </c>
      <c r="C680" s="5" t="s">
        <v>194</v>
      </c>
      <c r="D680" s="20" t="s">
        <v>72</v>
      </c>
      <c r="E680" s="35"/>
      <c r="F680" s="29" cm="1">
        <f t="array" ref="F680">IF(V680 &lt;&gt; "", V680, IFERROR(_xlfn.SINGLE(INDEX($G$1:G679,SUMPRODUCT(MAX(($W$1:W679=W680)*(ROW($W$1:W679))))))+IF(D680="Fiscal",30,90),""))</f>
        <v>45945</v>
      </c>
      <c r="G680" s="21">
        <v>45942</v>
      </c>
      <c r="H680" s="15">
        <f t="shared" si="297"/>
        <v>45952</v>
      </c>
      <c r="I680" s="15"/>
      <c r="J680" s="32"/>
      <c r="K680" s="15">
        <f t="shared" si="298"/>
        <v>45962</v>
      </c>
      <c r="L680" s="15"/>
      <c r="M680" s="15">
        <f t="shared" si="299"/>
        <v>45967</v>
      </c>
      <c r="N680" s="13">
        <v>45967</v>
      </c>
      <c r="O680" s="2">
        <f>IFERROR(IF(tblColetas[[#This Row],[Status Coleta]]="Reprovado","Reprovado",IF(ISERROR(SEARCH("Poço",D680)),IF(N680="","Erro",IF(Q680="Reprovado","",WORKDAY(N680,IF(D680="Operacional",10,3),FERIADOS!$A$3:$A$119))),"-")),"-")</f>
        <v>45972</v>
      </c>
      <c r="P680" s="21">
        <v>45971</v>
      </c>
      <c r="Q680" s="7" t="s">
        <v>37</v>
      </c>
      <c r="R680" s="13"/>
      <c r="S680" s="30"/>
      <c r="T680" s="43"/>
      <c r="W680" t="str">
        <f t="shared" si="300"/>
        <v>ADG777-AP-1212 (Fuel Gas)Fiscal</v>
      </c>
      <c r="X6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1" spans="1:24" ht="12.5" x14ac:dyDescent="0.25">
      <c r="A681" s="19"/>
      <c r="B681" s="19" t="s">
        <v>192</v>
      </c>
      <c r="C681" s="5" t="s">
        <v>195</v>
      </c>
      <c r="D681" s="20" t="s">
        <v>72</v>
      </c>
      <c r="E681" s="35"/>
      <c r="F681" s="29" cm="1">
        <f t="array" ref="F681">IF(V681 &lt;&gt; "", V681, IFERROR(_xlfn.SINGLE(INDEX($G$1:G680,SUMPRODUCT(MAX(($W$1:W680=W681)*(ROW($W$1:W680))))))+IF(D681="Fiscal",30,90),""))</f>
        <v>45945</v>
      </c>
      <c r="G681" s="21">
        <v>45942</v>
      </c>
      <c r="H681" s="15">
        <f t="shared" si="297"/>
        <v>45952</v>
      </c>
      <c r="I681" s="15"/>
      <c r="J681" s="32"/>
      <c r="K681" s="15">
        <f t="shared" si="298"/>
        <v>45962</v>
      </c>
      <c r="L681" s="15"/>
      <c r="M681" s="15">
        <f t="shared" si="299"/>
        <v>45967</v>
      </c>
      <c r="N681" s="13">
        <v>45967</v>
      </c>
      <c r="O681" s="2" t="str">
        <f>IFERROR(IF(tblColetas[[#This Row],[Status Coleta]]="Reprovado","Reprovado",IF(ISERROR(SEARCH("Poço",D681)),IF(N681="","Erro",IF(Q681="Reprovado","",WORKDAY(N681,IF(D681="Operacional",10,3),FERIADOS!$A$3:$A$119))),"-")),"-")</f>
        <v>Reprovado</v>
      </c>
      <c r="P681" s="21"/>
      <c r="Q681" s="7" t="s">
        <v>81</v>
      </c>
      <c r="R681" s="13"/>
      <c r="S681" s="30"/>
      <c r="T681" s="43"/>
      <c r="W681" t="str">
        <f t="shared" si="300"/>
        <v>ADG771-AP-0225 (Flare Assist)Fiscal</v>
      </c>
      <c r="X6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2" spans="1:24" ht="12.5" x14ac:dyDescent="0.25">
      <c r="A682" s="19"/>
      <c r="B682" s="19" t="s">
        <v>38</v>
      </c>
      <c r="C682" s="5" t="s">
        <v>74</v>
      </c>
      <c r="D682" s="20" t="s">
        <v>72</v>
      </c>
      <c r="E682" s="35"/>
      <c r="F682" s="29" cm="1">
        <f t="array" ref="F682">IF(V682 &lt;&gt; "", V682, IFERROR(_xlfn.SINGLE(INDEX($G$1:G681,SUMPRODUCT(MAX(($W$1:W681=W682)*(ROW($W$1:W681))))))+IF(D682="Fiscal",30,90),""))</f>
        <v>45954</v>
      </c>
      <c r="G682" s="21">
        <v>45954</v>
      </c>
      <c r="H682" s="15">
        <f t="shared" si="297"/>
        <v>45964</v>
      </c>
      <c r="I682" s="15"/>
      <c r="J682" s="32"/>
      <c r="K682" s="15">
        <f t="shared" si="298"/>
        <v>45974</v>
      </c>
      <c r="L682" s="15"/>
      <c r="M682" s="15">
        <f t="shared" si="299"/>
        <v>45979</v>
      </c>
      <c r="N682" s="13">
        <v>45978</v>
      </c>
      <c r="O682" s="2">
        <f>IFERROR(IF(tblColetas[[#This Row],[Status Coleta]]="Reprovado","Reprovado",IF(ISERROR(SEARCH("Poço",D682)),IF(N682="","Erro",IF(Q682="Reprovado","",WORKDAY(N682,IF(D682="Operacional",10,3),FERIADOS!$A$3:$A$119))),"-")),"-")</f>
        <v>45982</v>
      </c>
      <c r="P682" s="21">
        <v>45980</v>
      </c>
      <c r="Q682" s="7" t="s">
        <v>37</v>
      </c>
      <c r="R682" s="13"/>
      <c r="S682" s="30"/>
      <c r="T682" s="43"/>
      <c r="W682" t="str">
        <f t="shared" si="300"/>
        <v>CDPT76-FT-0014 (HP Flare)Fiscal</v>
      </c>
      <c r="X6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3" spans="1:24" ht="12.5" x14ac:dyDescent="0.25">
      <c r="A683" s="19"/>
      <c r="B683" s="19" t="s">
        <v>38</v>
      </c>
      <c r="C683" s="5" t="s">
        <v>75</v>
      </c>
      <c r="D683" s="20" t="s">
        <v>72</v>
      </c>
      <c r="E683" s="35"/>
      <c r="F683" s="29" cm="1">
        <f t="array" ref="F683">IF(V683 &lt;&gt; "", V683, IFERROR(_xlfn.SINGLE(INDEX($G$1:G682,SUMPRODUCT(MAX(($W$1:W682=W683)*(ROW($W$1:W682))))))+IF(D683="Fiscal",30,90),""))</f>
        <v>45954</v>
      </c>
      <c r="G683" s="21">
        <v>45954</v>
      </c>
      <c r="H683" s="15">
        <f t="shared" si="297"/>
        <v>45964</v>
      </c>
      <c r="I683" s="15"/>
      <c r="J683" s="32"/>
      <c r="K683" s="15">
        <f t="shared" si="298"/>
        <v>45974</v>
      </c>
      <c r="L683" s="15"/>
      <c r="M683" s="15">
        <f t="shared" si="299"/>
        <v>45979</v>
      </c>
      <c r="N683" s="13">
        <v>45978</v>
      </c>
      <c r="O683" s="2">
        <f>IFERROR(IF(tblColetas[[#This Row],[Status Coleta]]="Reprovado","Reprovado",IF(ISERROR(SEARCH("Poço",D683)),IF(N683="","Erro",IF(Q683="Reprovado","",WORKDAY(N683,IF(D683="Operacional",10,3),FERIADOS!$A$3:$A$119))),"-")),"-")</f>
        <v>45982</v>
      </c>
      <c r="P683" s="21">
        <v>45980</v>
      </c>
      <c r="Q683" s="7" t="s">
        <v>37</v>
      </c>
      <c r="R683" s="13"/>
      <c r="S683" s="30"/>
      <c r="T683" s="43"/>
      <c r="W683" t="str">
        <f t="shared" si="300"/>
        <v>CDPT76-FT-0034 (LP Flare)Fiscal</v>
      </c>
      <c r="X6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4" spans="1:24" ht="12.5" x14ac:dyDescent="0.25">
      <c r="A684" s="19"/>
      <c r="B684" s="19" t="s">
        <v>38</v>
      </c>
      <c r="C684" s="5" t="s">
        <v>71</v>
      </c>
      <c r="D684" s="20" t="s">
        <v>72</v>
      </c>
      <c r="E684" s="35"/>
      <c r="F684" s="29" cm="1">
        <f t="array" ref="F684">IF(V684 &lt;&gt; "", V684, IFERROR(_xlfn.SINGLE(INDEX($G$1:G683,SUMPRODUCT(MAX(($W$1:W683=W684)*(ROW($W$1:W683))))))+IF(D684="Fiscal",30,90),""))</f>
        <v>45954</v>
      </c>
      <c r="G684" s="21">
        <v>45953</v>
      </c>
      <c r="H684" s="15">
        <f t="shared" si="297"/>
        <v>45963</v>
      </c>
      <c r="I684" s="15"/>
      <c r="J684" s="32"/>
      <c r="K684" s="15">
        <f t="shared" si="298"/>
        <v>45973</v>
      </c>
      <c r="L684" s="15"/>
      <c r="M684" s="15">
        <f t="shared" si="299"/>
        <v>45978</v>
      </c>
      <c r="N684" s="13">
        <v>45978</v>
      </c>
      <c r="O684" s="2">
        <f>IFERROR(IF(tblColetas[[#This Row],[Status Coleta]]="Reprovado","Reprovado",IF(ISERROR(SEARCH("Poço",D684)),IF(N684="","Erro",IF(Q684="Reprovado","",WORKDAY(N684,IF(D684="Operacional",10,3),FERIADOS!$A$3:$A$119))),"-")),"-")</f>
        <v>45982</v>
      </c>
      <c r="P684" s="21">
        <v>45980</v>
      </c>
      <c r="Q684" s="7" t="s">
        <v>37</v>
      </c>
      <c r="R684" s="13"/>
      <c r="S684" s="30"/>
      <c r="T684" s="43"/>
      <c r="W684" t="str">
        <f t="shared" si="300"/>
        <v>CDPT77-FT-0103 (Fuel Gas)Fiscal</v>
      </c>
      <c r="X6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5" spans="1:24" ht="12.5" x14ac:dyDescent="0.25">
      <c r="A685" s="19"/>
      <c r="B685" s="19" t="s">
        <v>38</v>
      </c>
      <c r="C685" s="5" t="s">
        <v>98</v>
      </c>
      <c r="D685" s="20" t="s">
        <v>72</v>
      </c>
      <c r="E685" s="35"/>
      <c r="F685" s="29" cm="1">
        <f t="array" ref="F685">IF(V685 &lt;&gt; "", V685, IFERROR(_xlfn.SINGLE(INDEX($G$1:G684,SUMPRODUCT(MAX(($W$1:W684=W685)*(ROW($W$1:W684))))))+IF(D685="Fiscal",30,90),""))</f>
        <v>45954</v>
      </c>
      <c r="G685" s="21">
        <v>45953</v>
      </c>
      <c r="H685" s="15">
        <f t="shared" si="297"/>
        <v>45963</v>
      </c>
      <c r="I685" s="15"/>
      <c r="J685" s="32"/>
      <c r="K685" s="15">
        <f t="shared" si="298"/>
        <v>45973</v>
      </c>
      <c r="L685" s="15"/>
      <c r="M685" s="15">
        <f t="shared" si="299"/>
        <v>45978</v>
      </c>
      <c r="N685" s="13">
        <v>45978</v>
      </c>
      <c r="O685" s="2">
        <f>IFERROR(IF(tblColetas[[#This Row],[Status Coleta]]="Reprovado","Reprovado",IF(ISERROR(SEARCH("Poço",D685)),IF(N685="","Erro",IF(Q685="Reprovado","",WORKDAY(N685,IF(D685="Operacional",10,3),FERIADOS!$A$3:$A$119))),"-")),"-")</f>
        <v>45982</v>
      </c>
      <c r="P685" s="21">
        <v>45980</v>
      </c>
      <c r="Q685" s="7" t="s">
        <v>37</v>
      </c>
      <c r="R685" s="13"/>
      <c r="S685" s="30"/>
      <c r="T685" s="43"/>
      <c r="W685" t="str">
        <f t="shared" si="300"/>
        <v>CDPT74-FT-6701 (Export Gas)Fiscal</v>
      </c>
      <c r="X6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6" spans="1:24" ht="12.5" x14ac:dyDescent="0.25">
      <c r="A686" s="19"/>
      <c r="B686" s="19" t="s">
        <v>38</v>
      </c>
      <c r="C686" s="5" t="s">
        <v>99</v>
      </c>
      <c r="D686" s="20" t="s">
        <v>70</v>
      </c>
      <c r="E686" s="35"/>
      <c r="F686" s="29" cm="1">
        <f t="array" ref="F686">IF(V686 &lt;&gt; "", V686, IFERROR(_xlfn.SINGLE(INDEX($G$1:G685,SUMPRODUCT(MAX(($W$1:W685=W686)*(ROW($W$1:W685))))))+IF(D686="Fiscal",30,90),""))</f>
        <v>46014</v>
      </c>
      <c r="G686" s="21">
        <v>45954</v>
      </c>
      <c r="H686" s="15">
        <f t="shared" si="297"/>
        <v>45964</v>
      </c>
      <c r="I686" s="15"/>
      <c r="J686" s="32"/>
      <c r="K686" s="15">
        <f t="shared" si="298"/>
        <v>45974</v>
      </c>
      <c r="L686" s="15"/>
      <c r="M686" s="15">
        <f t="shared" si="299"/>
        <v>45979</v>
      </c>
      <c r="N686" s="13">
        <v>45978</v>
      </c>
      <c r="O686" s="2" t="str">
        <f>IFERROR(IF(tblColetas[[#This Row],[Status Coleta]]="Reprovado","Reprovado",IF(ISERROR(SEARCH("Poço",D686)),IF(N686="","Erro",IF(Q686="Reprovado","",WORKDAY(N686,IF(D686="Operacional",10,3),FERIADOS!$A$3:$A$119))),"-")),"-")</f>
        <v>Reprovado</v>
      </c>
      <c r="P686" s="21"/>
      <c r="Q686" s="7" t="s">
        <v>81</v>
      </c>
      <c r="R686" s="13"/>
      <c r="S686" s="30"/>
      <c r="T686" s="43"/>
      <c r="W686" t="str">
        <f t="shared" si="300"/>
        <v>CDPT73-AP-0016 (Gas Lift)Gas Lift</v>
      </c>
      <c r="X6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7" spans="1:24" ht="12.5" x14ac:dyDescent="0.25">
      <c r="A687" s="19"/>
      <c r="B687" s="19" t="s">
        <v>145</v>
      </c>
      <c r="C687" s="5" t="s">
        <v>202</v>
      </c>
      <c r="D687" s="20" t="s">
        <v>26</v>
      </c>
      <c r="E687" s="35"/>
      <c r="F687" s="29" cm="1">
        <f t="array" ref="F687">IF(V687 &lt;&gt; "", V687, IFERROR(_xlfn.SINGLE(INDEX($G$1:G686,SUMPRODUCT(MAX(($W$1:W686=W687)*(ROW($W$1:W686))))))+IF(D687="Fiscal",30,90),""))</f>
        <v>46012</v>
      </c>
      <c r="G687" s="21">
        <v>46008</v>
      </c>
      <c r="H687" s="15">
        <f t="shared" ref="H687:H692" si="301">IF(G687="","Erro", G687+10)</f>
        <v>46018</v>
      </c>
      <c r="I687" s="15">
        <v>46012</v>
      </c>
      <c r="J687" s="32" t="s">
        <v>233</v>
      </c>
      <c r="K687" s="15">
        <f t="shared" ref="K687:K692" si="302">IF(G687="","Erro",G687+20)</f>
        <v>46028</v>
      </c>
      <c r="L687" s="15">
        <v>46029</v>
      </c>
      <c r="M687" s="15">
        <f t="shared" ref="M687:M692" si="303">IF(G687="","Erro",G687+IF(D687="Operacional",45,25))</f>
        <v>46033</v>
      </c>
      <c r="N687" s="13">
        <v>46031</v>
      </c>
      <c r="O687" s="2" t="str">
        <f>IFERROR(IF(tblColetas[[#This Row],[Status Coleta]]="Reprovado","Reprovado",IF(ISERROR(SEARCH("Poço",D687)),IF(N687="","Erro",IF(Q687="Reprovado","",WORKDAY(N687,IF(D687="Operacional",10,3),FERIADOS!$A$3:$A$119))),"-")),"-")</f>
        <v>-</v>
      </c>
      <c r="P687" s="21"/>
      <c r="Q687" s="7" t="s">
        <v>37</v>
      </c>
      <c r="R687" s="13"/>
      <c r="S687" s="30"/>
      <c r="T687" s="43"/>
      <c r="W687" t="str">
        <f t="shared" ref="W687:W692" si="304">B687&amp;C687&amp;D687</f>
        <v>ATDPoço 7-BUZ-87D-RJS (P-4)Poço CG</v>
      </c>
      <c r="X6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8" spans="1:24" ht="12.5" x14ac:dyDescent="0.25">
      <c r="A688" s="19"/>
      <c r="B688" s="19" t="s">
        <v>145</v>
      </c>
      <c r="C688" s="5" t="s">
        <v>202</v>
      </c>
      <c r="D688" s="20" t="s">
        <v>29</v>
      </c>
      <c r="E688" s="35"/>
      <c r="F688" s="29" cm="1">
        <f t="array" ref="F688">IF(V688 &lt;&gt; "", V688, IFERROR(_xlfn.SINGLE(INDEX($G$1:G687,SUMPRODUCT(MAX(($W$1:W687=W688)*(ROW($W$1:W687))))))+IF(D688="Fiscal",30,90),""))</f>
        <v>46012</v>
      </c>
      <c r="G688" s="21">
        <v>46008</v>
      </c>
      <c r="H688" s="15">
        <f t="shared" si="301"/>
        <v>46018</v>
      </c>
      <c r="I688" s="15">
        <v>46012</v>
      </c>
      <c r="J688" s="32" t="s">
        <v>233</v>
      </c>
      <c r="K688" s="15">
        <f t="shared" si="302"/>
        <v>46028</v>
      </c>
      <c r="L688" s="15">
        <v>46029</v>
      </c>
      <c r="M688" s="15">
        <f t="shared" si="303"/>
        <v>46033</v>
      </c>
      <c r="N688" s="13">
        <v>46031</v>
      </c>
      <c r="O688" s="2" t="str">
        <f>IFERROR(IF(tblColetas[[#This Row],[Status Coleta]]="Reprovado","Reprovado",IF(ISERROR(SEARCH("Poço",D688)),IF(N688="","Erro",IF(Q688="Reprovado","",WORKDAY(N688,IF(D688="Operacional",10,3),FERIADOS!$A$3:$A$119))),"-")),"-")</f>
        <v>-</v>
      </c>
      <c r="P688" s="21"/>
      <c r="Q688" s="7" t="s">
        <v>37</v>
      </c>
      <c r="R688" s="13"/>
      <c r="S688" s="30"/>
      <c r="T688" s="43"/>
      <c r="W688" t="str">
        <f t="shared" si="304"/>
        <v>ATDPoço 7-BUZ-87D-RJS (P-4)Poço PVT</v>
      </c>
      <c r="X6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89" spans="1:24" ht="12.5" x14ac:dyDescent="0.25">
      <c r="A689" s="19"/>
      <c r="B689" s="19" t="s">
        <v>46</v>
      </c>
      <c r="C689" s="5" t="s">
        <v>74</v>
      </c>
      <c r="D689" s="20" t="s">
        <v>72</v>
      </c>
      <c r="E689" s="35"/>
      <c r="F689" s="29" cm="1">
        <f t="array" ref="F689">IF(V689 &lt;&gt; "", V689, IFERROR(_xlfn.SINGLE(INDEX($G$1:G688,SUMPRODUCT(MAX(($W$1:W688=W689)*(ROW($W$1:W688))))))+IF(D689="Fiscal",30,90),""))</f>
        <v>45954</v>
      </c>
      <c r="G689" s="21">
        <v>45953</v>
      </c>
      <c r="H689" s="15">
        <f t="shared" si="301"/>
        <v>45963</v>
      </c>
      <c r="I689" s="15"/>
      <c r="J689" s="32"/>
      <c r="K689" s="15">
        <f t="shared" si="302"/>
        <v>45973</v>
      </c>
      <c r="L689" s="15"/>
      <c r="M689" s="15">
        <f t="shared" si="303"/>
        <v>45978</v>
      </c>
      <c r="N689" s="13">
        <v>45978</v>
      </c>
      <c r="O689" s="2">
        <f>IFERROR(IF(tblColetas[[#This Row],[Status Coleta]]="Reprovado","Reprovado",IF(ISERROR(SEARCH("Poço",D689)),IF(N689="","Erro",IF(Q689="Reprovado","",WORKDAY(N689,IF(D689="Operacional",10,3),FERIADOS!$A$3:$A$119))),"-")),"-")</f>
        <v>45982</v>
      </c>
      <c r="P689" s="21">
        <v>45980</v>
      </c>
      <c r="Q689" s="7" t="s">
        <v>37</v>
      </c>
      <c r="R689" s="13"/>
      <c r="S689" s="30"/>
      <c r="T689" s="43"/>
      <c r="W689" t="str">
        <f t="shared" si="304"/>
        <v>CDMT76-FT-0014 (HP Flare)Fiscal</v>
      </c>
      <c r="X6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0" spans="1:24" ht="12.5" x14ac:dyDescent="0.25">
      <c r="A690" s="19"/>
      <c r="B690" s="19" t="s">
        <v>46</v>
      </c>
      <c r="C690" s="5" t="s">
        <v>75</v>
      </c>
      <c r="D690" s="20" t="s">
        <v>72</v>
      </c>
      <c r="E690" s="35"/>
      <c r="F690" s="29" cm="1">
        <f t="array" ref="F690">IF(V690 &lt;&gt; "", V690, IFERROR(_xlfn.SINGLE(INDEX($G$1:G689,SUMPRODUCT(MAX(($W$1:W689=W690)*(ROW($W$1:W689))))))+IF(D690="Fiscal",30,90),""))</f>
        <v>45954</v>
      </c>
      <c r="G690" s="21">
        <v>45953</v>
      </c>
      <c r="H690" s="15">
        <f t="shared" si="301"/>
        <v>45963</v>
      </c>
      <c r="I690" s="15"/>
      <c r="J690" s="32"/>
      <c r="K690" s="15">
        <f t="shared" si="302"/>
        <v>45973</v>
      </c>
      <c r="L690" s="15"/>
      <c r="M690" s="15">
        <f t="shared" si="303"/>
        <v>45978</v>
      </c>
      <c r="N690" s="13">
        <v>45978</v>
      </c>
      <c r="O690" s="2">
        <f>IFERROR(IF(tblColetas[[#This Row],[Status Coleta]]="Reprovado","Reprovado",IF(ISERROR(SEARCH("Poço",D690)),IF(N690="","Erro",IF(Q690="Reprovado","",WORKDAY(N690,IF(D690="Operacional",10,3),FERIADOS!$A$3:$A$119))),"-")),"-")</f>
        <v>45982</v>
      </c>
      <c r="P690" s="21">
        <v>45980</v>
      </c>
      <c r="Q690" s="7" t="s">
        <v>37</v>
      </c>
      <c r="R690" s="13"/>
      <c r="S690" s="30"/>
      <c r="T690" s="43"/>
      <c r="W690" t="str">
        <f t="shared" si="304"/>
        <v>CDMT76-FT-0034 (LP Flare)Fiscal</v>
      </c>
      <c r="X6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1" spans="1:24" ht="12.5" x14ac:dyDescent="0.25">
      <c r="A691" s="19"/>
      <c r="B691" s="19" t="s">
        <v>46</v>
      </c>
      <c r="C691" s="5" t="s">
        <v>71</v>
      </c>
      <c r="D691" s="20" t="s">
        <v>72</v>
      </c>
      <c r="E691" s="35"/>
      <c r="F691" s="29" cm="1">
        <f t="array" ref="F691">IF(V691 &lt;&gt; "", V691, IFERROR(_xlfn.SINGLE(INDEX($G$1:G690,SUMPRODUCT(MAX(($W$1:W690=W691)*(ROW($W$1:W690))))))+IF(D691="Fiscal",30,90),""))</f>
        <v>45954</v>
      </c>
      <c r="G691" s="21">
        <v>45953</v>
      </c>
      <c r="H691" s="15">
        <f t="shared" si="301"/>
        <v>45963</v>
      </c>
      <c r="I691" s="15"/>
      <c r="J691" s="32"/>
      <c r="K691" s="15">
        <f t="shared" si="302"/>
        <v>45973</v>
      </c>
      <c r="L691" s="15"/>
      <c r="M691" s="15">
        <f t="shared" si="303"/>
        <v>45978</v>
      </c>
      <c r="N691" s="13">
        <v>45978</v>
      </c>
      <c r="O691" s="2">
        <f>IFERROR(IF(tblColetas[[#This Row],[Status Coleta]]="Reprovado","Reprovado",IF(ISERROR(SEARCH("Poço",D691)),IF(N691="","Erro",IF(Q691="Reprovado","",WORKDAY(N691,IF(D691="Operacional",10,3),FERIADOS!$A$3:$A$119))),"-")),"-")</f>
        <v>45982</v>
      </c>
      <c r="P691" s="21">
        <v>45980</v>
      </c>
      <c r="Q691" s="7" t="s">
        <v>37</v>
      </c>
      <c r="R691" s="13"/>
      <c r="S691" s="30"/>
      <c r="T691" s="43"/>
      <c r="W691" t="str">
        <f t="shared" si="304"/>
        <v>CDMT77-FT-0103 (Fuel Gas)Fiscal</v>
      </c>
      <c r="X6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2" spans="1:24" ht="12.5" x14ac:dyDescent="0.25">
      <c r="A692" s="19"/>
      <c r="B692" s="19" t="s">
        <v>46</v>
      </c>
      <c r="C692" s="5" t="s">
        <v>125</v>
      </c>
      <c r="D692" s="20" t="s">
        <v>72</v>
      </c>
      <c r="E692" s="35"/>
      <c r="F692" s="29" cm="1">
        <f t="array" ref="F692">IF(V692 &lt;&gt; "", V692, IFERROR(_xlfn.SINGLE(INDEX($G$1:G691,SUMPRODUCT(MAX(($W$1:W691=W692)*(ROW($W$1:W691))))))+IF(D692="Fiscal",30,90),""))</f>
        <v>45954</v>
      </c>
      <c r="G692" s="21">
        <v>45953</v>
      </c>
      <c r="H692" s="15">
        <f t="shared" si="301"/>
        <v>45963</v>
      </c>
      <c r="I692" s="15"/>
      <c r="J692" s="32"/>
      <c r="K692" s="15">
        <f t="shared" si="302"/>
        <v>45973</v>
      </c>
      <c r="L692" s="15"/>
      <c r="M692" s="15">
        <f t="shared" si="303"/>
        <v>45978</v>
      </c>
      <c r="N692" s="13">
        <v>45978</v>
      </c>
      <c r="O692" s="2">
        <f>IFERROR(IF(tblColetas[[#This Row],[Status Coleta]]="Reprovado","Reprovado",IF(ISERROR(SEARCH("Poço",D692)),IF(N692="","Erro",IF(Q692="Reprovado","",WORKDAY(N692,IF(D692="Operacional",10,3),FERIADOS!$A$3:$A$119))),"-")),"-")</f>
        <v>45982</v>
      </c>
      <c r="P692" s="21">
        <v>45980</v>
      </c>
      <c r="Q692" s="7" t="s">
        <v>37</v>
      </c>
      <c r="R692" s="13"/>
      <c r="S692" s="30"/>
      <c r="T692" s="43"/>
      <c r="W692" t="str">
        <f t="shared" si="304"/>
        <v>CDMT74-FT-6901 (Export Gas)Fiscal</v>
      </c>
      <c r="X6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3" spans="1:24" ht="12.5" x14ac:dyDescent="0.25">
      <c r="A693" s="19"/>
      <c r="B693" s="19" t="s">
        <v>38</v>
      </c>
      <c r="C693" s="5" t="s">
        <v>50</v>
      </c>
      <c r="D693" s="20" t="s">
        <v>29</v>
      </c>
      <c r="E693" s="35"/>
      <c r="F693" s="29" cm="1">
        <f t="array" ref="F693">IF(V693 &lt;&gt; "", V693, IFERROR(_xlfn.SINGLE(INDEX($G$1:G692,SUMPRODUCT(MAX(($W$1:W692=W693)*(ROW($W$1:W692))))))+IF(D693="Fiscal",30,90),""))</f>
        <v>46021</v>
      </c>
      <c r="G693" s="21">
        <v>45948</v>
      </c>
      <c r="H693" s="15">
        <f t="shared" ref="H693:H698" si="305">IF(G693="","Erro", G693+10)</f>
        <v>45958</v>
      </c>
      <c r="I693" s="15">
        <v>45953</v>
      </c>
      <c r="J693" s="32" t="s">
        <v>213</v>
      </c>
      <c r="K693" s="15">
        <f t="shared" ref="K693:K698" si="306">IF(G693="","Erro",G693+20)</f>
        <v>45968</v>
      </c>
      <c r="L693" s="15">
        <v>45960</v>
      </c>
      <c r="M693" s="15">
        <f t="shared" ref="M693:M698" si="307">IF(G693="","Erro",G693+IF(D693="Operacional",45,25))</f>
        <v>45973</v>
      </c>
      <c r="N693" s="13">
        <v>45973</v>
      </c>
      <c r="O693" s="2" t="str">
        <f>IFERROR(IF(tblColetas[[#This Row],[Status Coleta]]="Reprovado","Reprovado",IF(ISERROR(SEARCH("Poço",D693)),IF(N693="","Erro",IF(Q693="Reprovado","",WORKDAY(N693,IF(D693="Operacional",10,3),FERIADOS!$A$3:$A$119))),"-")),"-")</f>
        <v>-</v>
      </c>
      <c r="P693" s="21"/>
      <c r="Q693" s="7"/>
      <c r="R693" s="13"/>
      <c r="S693" s="30"/>
      <c r="T693" s="43"/>
      <c r="W693" t="str">
        <f t="shared" ref="W693:W698" si="308">B693&amp;C693&amp;D693</f>
        <v>CDPPoço LL-28 (P-1)Poço PVT</v>
      </c>
      <c r="X6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4" spans="1:24" ht="12.5" x14ac:dyDescent="0.25">
      <c r="A694" s="19"/>
      <c r="B694" s="19" t="s">
        <v>38</v>
      </c>
      <c r="C694" s="5" t="s">
        <v>50</v>
      </c>
      <c r="D694" s="20" t="s">
        <v>26</v>
      </c>
      <c r="E694" s="35"/>
      <c r="F694" s="29" cm="1">
        <f t="array" ref="F694">IF(V694 &lt;&gt; "", V694, IFERROR(_xlfn.SINGLE(INDEX($G$1:G693,SUMPRODUCT(MAX(($W$1:W693=W694)*(ROW($W$1:W693))))))+IF(D694="Fiscal",30,90),""))</f>
        <v>46021</v>
      </c>
      <c r="G694" s="21">
        <v>45948</v>
      </c>
      <c r="H694" s="15">
        <f t="shared" si="305"/>
        <v>45958</v>
      </c>
      <c r="I694" s="15">
        <v>45953</v>
      </c>
      <c r="J694" s="32" t="s">
        <v>213</v>
      </c>
      <c r="K694" s="15">
        <f t="shared" si="306"/>
        <v>45968</v>
      </c>
      <c r="L694" s="15">
        <v>45960</v>
      </c>
      <c r="M694" s="15">
        <f t="shared" si="307"/>
        <v>45973</v>
      </c>
      <c r="N694" s="13">
        <v>45973</v>
      </c>
      <c r="O694" s="2" t="str">
        <f>IFERROR(IF(tblColetas[[#This Row],[Status Coleta]]="Reprovado","Reprovado",IF(ISERROR(SEARCH("Poço",D694)),IF(N694="","Erro",IF(Q694="Reprovado","",WORKDAY(N694,IF(D694="Operacional",10,3),FERIADOS!$A$3:$A$119))),"-")),"-")</f>
        <v>-</v>
      </c>
      <c r="P694" s="21"/>
      <c r="Q694" s="7"/>
      <c r="R694" s="13"/>
      <c r="S694" s="30"/>
      <c r="T694" s="43"/>
      <c r="W694" t="str">
        <f t="shared" si="308"/>
        <v>CDPPoço LL-28 (P-1)Poço CG</v>
      </c>
      <c r="X6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5" spans="1:24" ht="12.5" x14ac:dyDescent="0.25">
      <c r="A695" s="19"/>
      <c r="B695" s="19" t="s">
        <v>34</v>
      </c>
      <c r="C695" s="5" t="s">
        <v>61</v>
      </c>
      <c r="D695" s="20" t="s">
        <v>26</v>
      </c>
      <c r="E695" s="35"/>
      <c r="F695" s="29" cm="1">
        <f t="array" ref="F695">IF(V695 &lt;&gt; "", V695, IFERROR(_xlfn.SINGLE(INDEX($G$1:G694,SUMPRODUCT(MAX(($W$1:W694=W695)*(ROW($W$1:W694))))))+IF(D695="Fiscal",30,90),""))</f>
        <v>46018</v>
      </c>
      <c r="G695" s="21">
        <v>45999</v>
      </c>
      <c r="H695" s="15">
        <f t="shared" si="305"/>
        <v>46009</v>
      </c>
      <c r="I695" s="15">
        <v>46009</v>
      </c>
      <c r="J695" s="32" t="s">
        <v>234</v>
      </c>
      <c r="K695" s="15">
        <f t="shared" si="306"/>
        <v>46019</v>
      </c>
      <c r="L695" s="15">
        <v>46387</v>
      </c>
      <c r="M695" s="15">
        <f t="shared" si="307"/>
        <v>46024</v>
      </c>
      <c r="N695" s="13">
        <v>46024</v>
      </c>
      <c r="O695" s="2" t="str">
        <f>IFERROR(IF(tblColetas[[#This Row],[Status Coleta]]="Reprovado","Reprovado",IF(ISERROR(SEARCH("Poço",D695)),IF(N695="","Erro",IF(Q695="Reprovado","",WORKDAY(N695,IF(D695="Operacional",10,3),FERIADOS!$A$3:$A$119))),"-")),"-")</f>
        <v>-</v>
      </c>
      <c r="P695" s="21"/>
      <c r="Q695" s="7" t="s">
        <v>37</v>
      </c>
      <c r="R695" s="13"/>
      <c r="S695" s="30"/>
      <c r="T695" s="43"/>
      <c r="W695" t="str">
        <f t="shared" si="308"/>
        <v>CDSPoço LL-91 (P-02)Poço CG</v>
      </c>
      <c r="X6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6" spans="1:24" ht="12.5" x14ac:dyDescent="0.25">
      <c r="A696" s="19"/>
      <c r="B696" s="19" t="s">
        <v>34</v>
      </c>
      <c r="C696" s="5" t="s">
        <v>61</v>
      </c>
      <c r="D696" s="20" t="s">
        <v>29</v>
      </c>
      <c r="E696" s="35"/>
      <c r="F696" s="29" cm="1">
        <f t="array" ref="F696">IF(V696 &lt;&gt; "", V696, IFERROR(_xlfn.SINGLE(INDEX($G$1:G695,SUMPRODUCT(MAX(($W$1:W695=W696)*(ROW($W$1:W695))))))+IF(D696="Fiscal",30,90),""))</f>
        <v>46018</v>
      </c>
      <c r="G696" s="21">
        <v>45999</v>
      </c>
      <c r="H696" s="15">
        <f t="shared" si="305"/>
        <v>46009</v>
      </c>
      <c r="I696" s="15">
        <v>46009</v>
      </c>
      <c r="J696" s="32" t="s">
        <v>234</v>
      </c>
      <c r="K696" s="15">
        <f t="shared" si="306"/>
        <v>46019</v>
      </c>
      <c r="L696" s="15">
        <v>46387</v>
      </c>
      <c r="M696" s="15">
        <f t="shared" si="307"/>
        <v>46024</v>
      </c>
      <c r="N696" s="13">
        <v>46024</v>
      </c>
      <c r="O696" s="2" t="str">
        <f>IFERROR(IF(tblColetas[[#This Row],[Status Coleta]]="Reprovado","Reprovado",IF(ISERROR(SEARCH("Poço",D696)),IF(N696="","Erro",IF(Q696="Reprovado","",WORKDAY(N696,IF(D696="Operacional",10,3),FERIADOS!$A$3:$A$119))),"-")),"-")</f>
        <v>-</v>
      </c>
      <c r="P696" s="21"/>
      <c r="Q696" s="7" t="s">
        <v>37</v>
      </c>
      <c r="R696" s="13"/>
      <c r="S696" s="30"/>
      <c r="T696" s="43"/>
      <c r="W696" t="str">
        <f t="shared" si="308"/>
        <v>CDSPoço LL-91 (P-02)Poço PVT</v>
      </c>
      <c r="X6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7" spans="1:24" ht="12.5" x14ac:dyDescent="0.25">
      <c r="A697" s="19"/>
      <c r="B697" s="19" t="s">
        <v>46</v>
      </c>
      <c r="C697" s="5" t="s">
        <v>63</v>
      </c>
      <c r="D697" s="20" t="s">
        <v>26</v>
      </c>
      <c r="E697" s="35"/>
      <c r="F697" s="29" cm="1">
        <f t="array" ref="F697">IF(V697 &lt;&gt; "", V697, IFERROR(_xlfn.SINGLE(INDEX($G$1:G696,SUMPRODUCT(MAX(($W$1:W696=W697)*(ROW($W$1:W696))))))+IF(D697="Fiscal",30,90),""))</f>
        <v>46013</v>
      </c>
      <c r="G697" s="21">
        <v>45986</v>
      </c>
      <c r="H697" s="15">
        <f t="shared" si="305"/>
        <v>45996</v>
      </c>
      <c r="I697" s="15">
        <v>45986</v>
      </c>
      <c r="J697" s="32" t="s">
        <v>235</v>
      </c>
      <c r="K697" s="15">
        <f t="shared" si="306"/>
        <v>46006</v>
      </c>
      <c r="L697" s="15">
        <v>45995</v>
      </c>
      <c r="M697" s="15">
        <f t="shared" si="307"/>
        <v>46011</v>
      </c>
      <c r="N697" s="13">
        <v>46010</v>
      </c>
      <c r="O697" s="2" t="str">
        <f>IFERROR(IF(tblColetas[[#This Row],[Status Coleta]]="Reprovado","Reprovado",IF(ISERROR(SEARCH("Poço",D697)),IF(N697="","Erro",IF(Q697="Reprovado","",WORKDAY(N697,IF(D697="Operacional",10,3),FERIADOS!$A$3:$A$119))),"-")),"-")</f>
        <v>-</v>
      </c>
      <c r="P697" s="21"/>
      <c r="Q697" s="7" t="s">
        <v>37</v>
      </c>
      <c r="R697" s="13"/>
      <c r="S697" s="30"/>
      <c r="T697" s="43"/>
      <c r="W697" t="str">
        <f t="shared" si="308"/>
        <v>CDMPoço LL-48 (P-01)Poço CG</v>
      </c>
      <c r="X6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8" spans="1:24" ht="12.5" x14ac:dyDescent="0.25">
      <c r="A698" s="19"/>
      <c r="B698" s="19" t="s">
        <v>46</v>
      </c>
      <c r="C698" s="5" t="s">
        <v>63</v>
      </c>
      <c r="D698" s="20" t="s">
        <v>29</v>
      </c>
      <c r="E698" s="35"/>
      <c r="F698" s="29" cm="1">
        <f t="array" ref="F698">IF(V698 &lt;&gt; "", V698, IFERROR(_xlfn.SINGLE(INDEX($G$1:G697,SUMPRODUCT(MAX(($W$1:W697=W698)*(ROW($W$1:W697))))))+IF(D698="Fiscal",30,90),""))</f>
        <v>46013</v>
      </c>
      <c r="G698" s="21">
        <v>45986</v>
      </c>
      <c r="H698" s="15">
        <f t="shared" si="305"/>
        <v>45996</v>
      </c>
      <c r="I698" s="15">
        <v>45986</v>
      </c>
      <c r="J698" s="32" t="s">
        <v>235</v>
      </c>
      <c r="K698" s="15">
        <f t="shared" si="306"/>
        <v>46006</v>
      </c>
      <c r="L698" s="15">
        <v>45995</v>
      </c>
      <c r="M698" s="15">
        <f t="shared" si="307"/>
        <v>46011</v>
      </c>
      <c r="N698" s="13">
        <v>46010</v>
      </c>
      <c r="O698" s="2" t="str">
        <f>IFERROR(IF(tblColetas[[#This Row],[Status Coleta]]="Reprovado","Reprovado",IF(ISERROR(SEARCH("Poço",D698)),IF(N698="","Erro",IF(Q698="Reprovado","",WORKDAY(N698,IF(D698="Operacional",10,3),FERIADOS!$A$3:$A$119))),"-")),"-")</f>
        <v>-</v>
      </c>
      <c r="P698" s="21"/>
      <c r="Q698" s="7" t="s">
        <v>37</v>
      </c>
      <c r="R698" s="13"/>
      <c r="S698" s="30"/>
      <c r="T698" s="43"/>
      <c r="W698" t="str">
        <f t="shared" si="308"/>
        <v>CDMPoço LL-48 (P-01)Poço PVT</v>
      </c>
      <c r="X6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699" spans="1:24" ht="12.5" x14ac:dyDescent="0.25">
      <c r="A699" s="19"/>
      <c r="B699" s="19" t="s">
        <v>46</v>
      </c>
      <c r="C699" s="5" t="s">
        <v>93</v>
      </c>
      <c r="D699" s="20" t="s">
        <v>26</v>
      </c>
      <c r="E699" s="35"/>
      <c r="F699" s="29" cm="1">
        <f t="array" ref="F699">IF(V699 &lt;&gt; "", V699, IFERROR(_xlfn.SINGLE(INDEX($G$1:G698,SUMPRODUCT(MAX(($W$1:W698=W699)*(ROW($W$1:W698))))))+IF(D699="Fiscal",30,90),""))</f>
        <v>46016</v>
      </c>
      <c r="G699" s="21">
        <v>46009</v>
      </c>
      <c r="H699" s="15">
        <f t="shared" ref="H699:H706" si="309">IF(G699="","Erro", G699+10)</f>
        <v>46019</v>
      </c>
      <c r="I699" s="15">
        <v>46017</v>
      </c>
      <c r="J699" s="32" t="s">
        <v>236</v>
      </c>
      <c r="K699" s="15">
        <f t="shared" ref="K699:K706" si="310">IF(G699="","Erro",G699+20)</f>
        <v>46029</v>
      </c>
      <c r="L699" s="15">
        <v>46022</v>
      </c>
      <c r="M699" s="15">
        <f t="shared" ref="M699:M706" si="311">IF(G699="","Erro",G699+IF(D699="Operacional",45,25))</f>
        <v>46034</v>
      </c>
      <c r="N699" s="13">
        <v>46034</v>
      </c>
      <c r="O699" s="2" t="str">
        <f>IFERROR(IF(tblColetas[[#This Row],[Status Coleta]]="Reprovado","Reprovado",IF(ISERROR(SEARCH("Poço",D699)),IF(N699="","Erro",IF(Q699="Reprovado","",WORKDAY(N699,IF(D699="Operacional",10,3),FERIADOS!$A$3:$A$119))),"-")),"-")</f>
        <v>-</v>
      </c>
      <c r="P699" s="21"/>
      <c r="Q699" s="7"/>
      <c r="R699" s="13"/>
      <c r="S699" s="30"/>
      <c r="T699" s="43"/>
      <c r="W699" t="str">
        <f t="shared" ref="W699:W706" si="312">B699&amp;C699&amp;D699</f>
        <v>CDMPoço LL-61 (P-16)Poço CG</v>
      </c>
      <c r="X6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0" spans="1:24" ht="12.5" x14ac:dyDescent="0.25">
      <c r="A700" s="19"/>
      <c r="B700" s="19" t="s">
        <v>46</v>
      </c>
      <c r="C700" s="5" t="s">
        <v>93</v>
      </c>
      <c r="D700" s="20" t="s">
        <v>29</v>
      </c>
      <c r="E700" s="35"/>
      <c r="F700" s="29" cm="1">
        <f t="array" ref="F700">IF(V700 &lt;&gt; "", V700, IFERROR(_xlfn.SINGLE(INDEX($G$1:G699,SUMPRODUCT(MAX(($W$1:W699=W700)*(ROW($W$1:W699))))))+IF(D700="Fiscal",30,90),""))</f>
        <v>46016</v>
      </c>
      <c r="G700" s="21">
        <v>46009</v>
      </c>
      <c r="H700" s="15">
        <f t="shared" si="309"/>
        <v>46019</v>
      </c>
      <c r="I700" s="15">
        <v>46017</v>
      </c>
      <c r="J700" s="32" t="s">
        <v>236</v>
      </c>
      <c r="K700" s="15">
        <f t="shared" si="310"/>
        <v>46029</v>
      </c>
      <c r="L700" s="15">
        <v>46022</v>
      </c>
      <c r="M700" s="15">
        <f t="shared" si="311"/>
        <v>46034</v>
      </c>
      <c r="N700" s="13">
        <v>46034</v>
      </c>
      <c r="O700" s="2" t="str">
        <f>IFERROR(IF(tblColetas[[#This Row],[Status Coleta]]="Reprovado","Reprovado",IF(ISERROR(SEARCH("Poço",D700)),IF(N700="","Erro",IF(Q700="Reprovado","",WORKDAY(N700,IF(D700="Operacional",10,3),FERIADOS!$A$3:$A$119))),"-")),"-")</f>
        <v>-</v>
      </c>
      <c r="P700" s="21"/>
      <c r="Q700" s="7"/>
      <c r="R700" s="13"/>
      <c r="S700" s="30"/>
      <c r="T700" s="43"/>
      <c r="W700" t="str">
        <f t="shared" si="312"/>
        <v>CDMPoço LL-61 (P-16)Poço PVT</v>
      </c>
      <c r="X7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1" spans="1:24" ht="12.5" x14ac:dyDescent="0.25">
      <c r="A701" s="19"/>
      <c r="B701" s="19" t="s">
        <v>145</v>
      </c>
      <c r="C701" s="5" t="s">
        <v>212</v>
      </c>
      <c r="D701" s="20" t="s">
        <v>26</v>
      </c>
      <c r="E701" s="35"/>
      <c r="F701" s="29" cm="1">
        <f t="array" ref="F701">IF(V701 &lt;&gt; "", V701, IFERROR(_xlfn.SINGLE(INDEX($G$1:G700,SUMPRODUCT(MAX(($W$1:W700=W701)*(ROW($W$1:W700))))))+IF(D701="Fiscal",30,90),""))</f>
        <v>46020</v>
      </c>
      <c r="G701" s="21">
        <v>45940</v>
      </c>
      <c r="H701" s="15">
        <f t="shared" si="309"/>
        <v>45950</v>
      </c>
      <c r="I701" s="15">
        <v>45949</v>
      </c>
      <c r="J701" s="32" t="s">
        <v>200</v>
      </c>
      <c r="K701" s="15">
        <f t="shared" si="310"/>
        <v>45960</v>
      </c>
      <c r="L701" s="15">
        <v>45953</v>
      </c>
      <c r="M701" s="15">
        <f t="shared" si="311"/>
        <v>45965</v>
      </c>
      <c r="N701" s="13">
        <v>45965</v>
      </c>
      <c r="O701" s="2" t="str">
        <f>IFERROR(IF(tblColetas[[#This Row],[Status Coleta]]="Reprovado","Reprovado",IF(ISERROR(SEARCH("Poço",D701)),IF(N701="","Erro",IF(Q701="Reprovado","",WORKDAY(N701,IF(D701="Operacional",10,3),FERIADOS!$A$3:$A$119))),"-")),"-")</f>
        <v>Reprovado</v>
      </c>
      <c r="P701" s="21"/>
      <c r="Q701" s="7" t="s">
        <v>81</v>
      </c>
      <c r="R701" s="13"/>
      <c r="S701" s="30"/>
      <c r="T701" s="43"/>
      <c r="W701" t="str">
        <f t="shared" si="312"/>
        <v>ATDPoço 7-BUZ-85D-RJS (P-7)Poço CG</v>
      </c>
      <c r="X7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2" spans="1:24" ht="12.5" x14ac:dyDescent="0.25">
      <c r="A702" s="19"/>
      <c r="B702" s="19" t="s">
        <v>145</v>
      </c>
      <c r="C702" s="5" t="s">
        <v>212</v>
      </c>
      <c r="D702" s="20" t="s">
        <v>29</v>
      </c>
      <c r="E702" s="35"/>
      <c r="F702" s="29" cm="1">
        <f t="array" ref="F702">IF(V702 &lt;&gt; "", V702, IFERROR(_xlfn.SINGLE(INDEX($G$1:G701,SUMPRODUCT(MAX(($W$1:W701=W702)*(ROW($W$1:W701))))))+IF(D702="Fiscal",30,90),""))</f>
        <v>46020</v>
      </c>
      <c r="G702" s="21">
        <v>45940</v>
      </c>
      <c r="H702" s="15">
        <f t="shared" si="309"/>
        <v>45950</v>
      </c>
      <c r="I702" s="15">
        <v>45949</v>
      </c>
      <c r="J702" s="32" t="s">
        <v>200</v>
      </c>
      <c r="K702" s="15">
        <f t="shared" si="310"/>
        <v>45960</v>
      </c>
      <c r="L702" s="15">
        <v>45953</v>
      </c>
      <c r="M702" s="15">
        <f t="shared" si="311"/>
        <v>45965</v>
      </c>
      <c r="N702" s="13">
        <v>45965</v>
      </c>
      <c r="O702" s="2" t="str">
        <f>IFERROR(IF(tblColetas[[#This Row],[Status Coleta]]="Reprovado","Reprovado",IF(ISERROR(SEARCH("Poço",D702)),IF(N702="","Erro",IF(Q702="Reprovado","",WORKDAY(N702,IF(D702="Operacional",10,3),FERIADOS!$A$3:$A$119))),"-")),"-")</f>
        <v>-</v>
      </c>
      <c r="P702" s="21"/>
      <c r="Q702" s="7" t="s">
        <v>37</v>
      </c>
      <c r="R702" s="13"/>
      <c r="S702" s="30"/>
      <c r="T702" s="43"/>
      <c r="W702" t="str">
        <f t="shared" si="312"/>
        <v>ATDPoço 7-BUZ-85D-RJS (P-7)Poço PVT</v>
      </c>
      <c r="X7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3" spans="1:24" ht="12.5" x14ac:dyDescent="0.25">
      <c r="A703" s="19"/>
      <c r="B703" s="19" t="s">
        <v>38</v>
      </c>
      <c r="C703" s="5" t="s">
        <v>50</v>
      </c>
      <c r="D703" s="20" t="s">
        <v>29</v>
      </c>
      <c r="E703" s="35"/>
      <c r="F703" s="29" cm="1">
        <f t="array" ref="F703">IF(V703 &lt;&gt; "", V703, IFERROR(_xlfn.SINGLE(INDEX($G$1:G702,SUMPRODUCT(MAX(($W$1:W702=W703)*(ROW($W$1:W702))))))+IF(D703="Fiscal",30,90),""))</f>
        <v>46038</v>
      </c>
      <c r="G703" s="21">
        <v>46037</v>
      </c>
      <c r="H703" s="15">
        <f t="shared" si="309"/>
        <v>46047</v>
      </c>
      <c r="I703" s="15">
        <v>46046</v>
      </c>
      <c r="J703" s="32" t="s">
        <v>237</v>
      </c>
      <c r="K703" s="15">
        <f t="shared" si="310"/>
        <v>46057</v>
      </c>
      <c r="L703" s="15">
        <v>46051</v>
      </c>
      <c r="M703" s="15">
        <f t="shared" si="311"/>
        <v>46062</v>
      </c>
      <c r="N703" s="13">
        <v>46062</v>
      </c>
      <c r="O703" s="2" t="str">
        <f>IFERROR(IF(tblColetas[[#This Row],[Status Coleta]]="Reprovado","Reprovado",IF(ISERROR(SEARCH("Poço",D703)),IF(N703="","Erro",IF(Q703="Reprovado","",WORKDAY(N703,IF(D703="Operacional",10,3),FERIADOS!$A$3:$A$119))),"-")),"-")</f>
        <v>-</v>
      </c>
      <c r="P703" s="21"/>
      <c r="Q703" s="7" t="s">
        <v>37</v>
      </c>
      <c r="R703" s="13"/>
      <c r="S703" s="30"/>
      <c r="T703" s="43"/>
      <c r="W703" t="str">
        <f t="shared" si="312"/>
        <v>CDPPoço LL-28 (P-1)Poço PVT</v>
      </c>
      <c r="X7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4" spans="1:24" ht="12.5" x14ac:dyDescent="0.25">
      <c r="A704" s="19"/>
      <c r="B704" s="19" t="s">
        <v>38</v>
      </c>
      <c r="C704" s="5" t="s">
        <v>50</v>
      </c>
      <c r="D704" s="20" t="s">
        <v>26</v>
      </c>
      <c r="E704" s="35"/>
      <c r="F704" s="29" cm="1">
        <f t="array" ref="F704">IF(V704 &lt;&gt; "", V704, IFERROR(_xlfn.SINGLE(INDEX($G$1:G703,SUMPRODUCT(MAX(($W$1:W703=W704)*(ROW($W$1:W703))))))+IF(D704="Fiscal",30,90),""))</f>
        <v>46038</v>
      </c>
      <c r="G704" s="21">
        <v>46037</v>
      </c>
      <c r="H704" s="15">
        <f t="shared" si="309"/>
        <v>46047</v>
      </c>
      <c r="I704" s="15">
        <v>46046</v>
      </c>
      <c r="J704" s="32" t="s">
        <v>237</v>
      </c>
      <c r="K704" s="15">
        <f t="shared" si="310"/>
        <v>46057</v>
      </c>
      <c r="L704" s="15">
        <v>46051</v>
      </c>
      <c r="M704" s="15">
        <f t="shared" si="311"/>
        <v>46062</v>
      </c>
      <c r="N704" s="13">
        <v>46062</v>
      </c>
      <c r="O704" s="2" t="str">
        <f>IFERROR(IF(tblColetas[[#This Row],[Status Coleta]]="Reprovado","Reprovado",IF(ISERROR(SEARCH("Poço",D704)),IF(N704="","Erro",IF(Q704="Reprovado","",WORKDAY(N704,IF(D704="Operacional",10,3),FERIADOS!$A$3:$A$119))),"-")),"-")</f>
        <v>-</v>
      </c>
      <c r="P704" s="21"/>
      <c r="Q704" s="7" t="s">
        <v>37</v>
      </c>
      <c r="R704" s="13"/>
      <c r="S704" s="30"/>
      <c r="T704" s="43"/>
      <c r="W704" t="str">
        <f t="shared" si="312"/>
        <v>CDPPoço LL-28 (P-1)Poço CG</v>
      </c>
      <c r="X7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5" spans="1:24" ht="12.5" x14ac:dyDescent="0.25">
      <c r="A705" s="19"/>
      <c r="B705" s="19" t="s">
        <v>38</v>
      </c>
      <c r="C705" s="5" t="s">
        <v>65</v>
      </c>
      <c r="D705" s="20" t="s">
        <v>26</v>
      </c>
      <c r="E705" s="35"/>
      <c r="F705" s="29" cm="1">
        <f t="array" ref="F705">IF(V705 &lt;&gt; "", V705, IFERROR(_xlfn.SINGLE(INDEX($G$1:G704,SUMPRODUCT(MAX(($W$1:W704=W705)*(ROW($W$1:W704))))))+IF(D705="Fiscal",30,90),""))</f>
        <v>46021</v>
      </c>
      <c r="G705" s="21">
        <v>45989</v>
      </c>
      <c r="H705" s="15">
        <f t="shared" si="309"/>
        <v>45999</v>
      </c>
      <c r="I705" s="15">
        <v>45997</v>
      </c>
      <c r="J705" s="32"/>
      <c r="K705" s="15">
        <f t="shared" si="310"/>
        <v>46009</v>
      </c>
      <c r="L705" s="15">
        <v>46007</v>
      </c>
      <c r="M705" s="15">
        <f t="shared" si="311"/>
        <v>46014</v>
      </c>
      <c r="N705" s="13">
        <v>46014</v>
      </c>
      <c r="O705" s="2" t="str">
        <f>IFERROR(IF(tblColetas[[#This Row],[Status Coleta]]="Reprovado","Reprovado",IF(ISERROR(SEARCH("Poço",D705)),IF(N705="","Erro",IF(Q705="Reprovado","",WORKDAY(N705,IF(D705="Operacional",10,3),FERIADOS!$A$3:$A$119))),"-")),"-")</f>
        <v>-</v>
      </c>
      <c r="P705" s="21"/>
      <c r="Q705" s="7" t="s">
        <v>37</v>
      </c>
      <c r="R705" s="13"/>
      <c r="S705" s="30"/>
      <c r="T705" s="43"/>
      <c r="W705" t="str">
        <f t="shared" si="312"/>
        <v>CDPPoço LL-22 (P-8)Poço CG</v>
      </c>
      <c r="X7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6" spans="1:24" ht="12.5" x14ac:dyDescent="0.25">
      <c r="A706" s="19"/>
      <c r="B706" s="19" t="s">
        <v>38</v>
      </c>
      <c r="C706" s="5" t="s">
        <v>65</v>
      </c>
      <c r="D706" s="20" t="s">
        <v>29</v>
      </c>
      <c r="E706" s="35"/>
      <c r="F706" s="29" cm="1">
        <f t="array" ref="F706">IF(V706 &lt;&gt; "", V706, IFERROR(_xlfn.SINGLE(INDEX($G$1:G705,SUMPRODUCT(MAX(($W$1:W705=W706)*(ROW($W$1:W705))))))+IF(D706="Fiscal",30,90),""))</f>
        <v>46021</v>
      </c>
      <c r="G706" s="21">
        <v>45989</v>
      </c>
      <c r="H706" s="15">
        <f t="shared" si="309"/>
        <v>45999</v>
      </c>
      <c r="I706" s="15">
        <v>45997</v>
      </c>
      <c r="J706" s="32"/>
      <c r="K706" s="15">
        <f t="shared" si="310"/>
        <v>46009</v>
      </c>
      <c r="L706" s="15">
        <v>46007</v>
      </c>
      <c r="M706" s="15">
        <f t="shared" si="311"/>
        <v>46014</v>
      </c>
      <c r="N706" s="13">
        <v>46014</v>
      </c>
      <c r="O706" s="2" t="str">
        <f>IFERROR(IF(tblColetas[[#This Row],[Status Coleta]]="Reprovado","Reprovado",IF(ISERROR(SEARCH("Poço",D706)),IF(N706="","Erro",IF(Q706="Reprovado","",WORKDAY(N706,IF(D706="Operacional",10,3),FERIADOS!$A$3:$A$119))),"-")),"-")</f>
        <v>-</v>
      </c>
      <c r="P706" s="21"/>
      <c r="Q706" s="7" t="s">
        <v>37</v>
      </c>
      <c r="R706" s="13"/>
      <c r="S706" s="30"/>
      <c r="T706" s="43"/>
      <c r="W706" t="str">
        <f t="shared" si="312"/>
        <v>CDPPoço LL-22 (P-8)Poço PVT</v>
      </c>
      <c r="X7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7" spans="1:24" ht="12.5" x14ac:dyDescent="0.25">
      <c r="A707" s="19"/>
      <c r="B707" s="19" t="s">
        <v>34</v>
      </c>
      <c r="C707" s="5" t="s">
        <v>71</v>
      </c>
      <c r="D707" s="20" t="s">
        <v>72</v>
      </c>
      <c r="E707" s="35"/>
      <c r="F707" s="29" cm="1">
        <f t="array" ref="F707">IF(V707 &lt;&gt; "", V707, IFERROR(_xlfn.SINGLE(INDEX($G$1:G706,SUMPRODUCT(MAX(($W$1:W706=W707)*(ROW($W$1:W706))))))+IF(D707="Fiscal",30,90),""))</f>
        <v>45960</v>
      </c>
      <c r="G707" s="21">
        <v>45958</v>
      </c>
      <c r="H707" s="15">
        <f t="shared" ref="H707:H715" si="313">IF(G707="","Erro", G707+10)</f>
        <v>45968</v>
      </c>
      <c r="I707" s="15"/>
      <c r="J707" s="32"/>
      <c r="K707" s="15">
        <f t="shared" ref="K707:K715" si="314">IF(G707="","Erro",G707+20)</f>
        <v>45978</v>
      </c>
      <c r="L707" s="15"/>
      <c r="M707" s="15">
        <f t="shared" ref="M707:M715" si="315">IF(G707="","Erro",G707+IF(D707="Operacional",45,25))</f>
        <v>45983</v>
      </c>
      <c r="N707" s="13">
        <v>45982</v>
      </c>
      <c r="O707" s="2">
        <f>IFERROR(IF(tblColetas[[#This Row],[Status Coleta]]="Reprovado","Reprovado",IF(ISERROR(SEARCH("Poço",D707)),IF(N707="","Erro",IF(Q707="Reprovado","",WORKDAY(N707,IF(D707="Operacional",10,3),FERIADOS!$A$3:$A$119))),"-")),"-")</f>
        <v>45987</v>
      </c>
      <c r="P707" s="21">
        <v>45987</v>
      </c>
      <c r="Q707" s="7" t="s">
        <v>37</v>
      </c>
      <c r="R707" s="13"/>
      <c r="S707" s="30"/>
      <c r="T707" s="43"/>
      <c r="W707" t="str">
        <f t="shared" ref="W707:W715" si="316">B707&amp;C707&amp;D707</f>
        <v>CDST77-FT-0103 (Fuel Gas)Fiscal</v>
      </c>
      <c r="X7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8" spans="1:24" ht="12.5" x14ac:dyDescent="0.25">
      <c r="A708" s="19"/>
      <c r="B708" s="19" t="s">
        <v>34</v>
      </c>
      <c r="C708" s="5" t="s">
        <v>73</v>
      </c>
      <c r="D708" s="20" t="s">
        <v>72</v>
      </c>
      <c r="E708" s="35"/>
      <c r="F708" s="29" cm="1">
        <f t="array" ref="F708">IF(V708 &lt;&gt; "", V708, IFERROR(_xlfn.SINGLE(INDEX($G$1:G707,SUMPRODUCT(MAX(($W$1:W707=W708)*(ROW($W$1:W707))))))+IF(D708="Fiscal",30,90),""))</f>
        <v>45960</v>
      </c>
      <c r="G708" s="21">
        <v>45958</v>
      </c>
      <c r="H708" s="15">
        <f t="shared" si="313"/>
        <v>45968</v>
      </c>
      <c r="I708" s="15"/>
      <c r="J708" s="32"/>
      <c r="K708" s="15">
        <f t="shared" si="314"/>
        <v>45978</v>
      </c>
      <c r="L708" s="15"/>
      <c r="M708" s="15">
        <f t="shared" si="315"/>
        <v>45983</v>
      </c>
      <c r="N708" s="13">
        <v>45982</v>
      </c>
      <c r="O708" s="2">
        <f>IFERROR(IF(tblColetas[[#This Row],[Status Coleta]]="Reprovado","Reprovado",IF(ISERROR(SEARCH("Poço",D708)),IF(N708="","Erro",IF(Q708="Reprovado","",WORKDAY(N708,IF(D708="Operacional",10,3),FERIADOS!$A$3:$A$119))),"-")),"-")</f>
        <v>45987</v>
      </c>
      <c r="P708" s="21">
        <v>45987</v>
      </c>
      <c r="Q708" s="7" t="s">
        <v>37</v>
      </c>
      <c r="R708" s="13"/>
      <c r="S708" s="30"/>
      <c r="T708" s="43"/>
      <c r="W708" t="str">
        <f t="shared" si="316"/>
        <v>CDST74-AX-6911 (Export Gas)Fiscal</v>
      </c>
      <c r="X7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09" spans="1:24" ht="12.5" x14ac:dyDescent="0.25">
      <c r="A709" s="19"/>
      <c r="B709" s="19" t="s">
        <v>34</v>
      </c>
      <c r="C709" s="5" t="s">
        <v>74</v>
      </c>
      <c r="D709" s="20" t="s">
        <v>72</v>
      </c>
      <c r="E709" s="35"/>
      <c r="F709" s="29" cm="1">
        <f t="array" ref="F709">IF(V709 &lt;&gt; "", V709, IFERROR(_xlfn.SINGLE(INDEX($G$1:G708,SUMPRODUCT(MAX(($W$1:W708=W709)*(ROW($W$1:W708))))))+IF(D709="Fiscal",30,90),""))</f>
        <v>45961</v>
      </c>
      <c r="G709" s="21">
        <v>45959</v>
      </c>
      <c r="H709" s="15">
        <f t="shared" si="313"/>
        <v>45969</v>
      </c>
      <c r="I709" s="15"/>
      <c r="J709" s="32"/>
      <c r="K709" s="15">
        <f t="shared" si="314"/>
        <v>45979</v>
      </c>
      <c r="L709" s="15"/>
      <c r="M709" s="15">
        <f t="shared" si="315"/>
        <v>45984</v>
      </c>
      <c r="N709" s="13">
        <v>45982</v>
      </c>
      <c r="O709" s="2">
        <f>IFERROR(IF(tblColetas[[#This Row],[Status Coleta]]="Reprovado","Reprovado",IF(ISERROR(SEARCH("Poço",D709)),IF(N709="","Erro",IF(Q709="Reprovado","",WORKDAY(N709,IF(D709="Operacional",10,3),FERIADOS!$A$3:$A$119))),"-")),"-")</f>
        <v>45987</v>
      </c>
      <c r="P709" s="21">
        <v>45987</v>
      </c>
      <c r="Q709" s="7" t="s">
        <v>37</v>
      </c>
      <c r="R709" s="13"/>
      <c r="S709" s="30"/>
      <c r="T709" s="43"/>
      <c r="W709" t="str">
        <f t="shared" si="316"/>
        <v>CDST76-FT-0014 (HP Flare)Fiscal</v>
      </c>
      <c r="X7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0" spans="1:24" ht="12.5" x14ac:dyDescent="0.25">
      <c r="A710" s="19"/>
      <c r="B710" s="19" t="s">
        <v>34</v>
      </c>
      <c r="C710" s="5" t="s">
        <v>75</v>
      </c>
      <c r="D710" s="20" t="s">
        <v>72</v>
      </c>
      <c r="E710" s="35"/>
      <c r="F710" s="29" cm="1">
        <f t="array" ref="F710">IF(V710 &lt;&gt; "", V710, IFERROR(_xlfn.SINGLE(INDEX($G$1:G709,SUMPRODUCT(MAX(($W$1:W709=W710)*(ROW($W$1:W709))))))+IF(D710="Fiscal",30,90),""))</f>
        <v>45961</v>
      </c>
      <c r="G710" s="21">
        <v>45959</v>
      </c>
      <c r="H710" s="15">
        <f t="shared" si="313"/>
        <v>45969</v>
      </c>
      <c r="I710" s="15"/>
      <c r="J710" s="32"/>
      <c r="K710" s="15">
        <f t="shared" si="314"/>
        <v>45979</v>
      </c>
      <c r="L710" s="15"/>
      <c r="M710" s="15">
        <f t="shared" si="315"/>
        <v>45984</v>
      </c>
      <c r="N710" s="13">
        <v>45982</v>
      </c>
      <c r="O710" s="2">
        <f>IFERROR(IF(tblColetas[[#This Row],[Status Coleta]]="Reprovado","Reprovado",IF(ISERROR(SEARCH("Poço",D710)),IF(N710="","Erro",IF(Q710="Reprovado","",WORKDAY(N710,IF(D710="Operacional",10,3),FERIADOS!$A$3:$A$119))),"-")),"-")</f>
        <v>45987</v>
      </c>
      <c r="P710" s="21">
        <v>45987</v>
      </c>
      <c r="Q710" s="7" t="s">
        <v>37</v>
      </c>
      <c r="R710" s="13"/>
      <c r="S710" s="30"/>
      <c r="T710" s="43"/>
      <c r="W710" t="str">
        <f t="shared" si="316"/>
        <v>CDST76-FT-0034 (LP Flare)Fiscal</v>
      </c>
      <c r="X7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1" spans="1:24" ht="12.5" x14ac:dyDescent="0.25">
      <c r="A711" s="19"/>
      <c r="B711" s="19" t="s">
        <v>31</v>
      </c>
      <c r="C711" s="5" t="s">
        <v>122</v>
      </c>
      <c r="D711" s="20" t="s">
        <v>72</v>
      </c>
      <c r="E711" s="35"/>
      <c r="F711" s="29" cm="1">
        <f t="array" ref="F711">IF(V711 &lt;&gt; "", V711, IFERROR(_xlfn.SINGLE(INDEX($G$1:G710,SUMPRODUCT(MAX(($W$1:W710=W711)*(ROW($W$1:W710))))))+IF(D711="Fiscal",30,90),""))</f>
        <v>45962</v>
      </c>
      <c r="G711" s="21">
        <v>45960</v>
      </c>
      <c r="H711" s="15">
        <f t="shared" si="313"/>
        <v>45970</v>
      </c>
      <c r="I711" s="15"/>
      <c r="J711" s="32"/>
      <c r="K711" s="15">
        <f t="shared" si="314"/>
        <v>45980</v>
      </c>
      <c r="L711" s="15"/>
      <c r="M711" s="15">
        <f t="shared" si="315"/>
        <v>45985</v>
      </c>
      <c r="N711" s="13">
        <v>45985</v>
      </c>
      <c r="O711" s="2">
        <f>IFERROR(IF(tblColetas[[#This Row],[Status Coleta]]="Reprovado","Reprovado",IF(ISERROR(SEARCH("Poço",D711)),IF(N711="","Erro",IF(Q711="Reprovado","",WORKDAY(N711,IF(D711="Operacional",10,3),FERIADOS!$A$3:$A$119))),"-")),"-")</f>
        <v>45988</v>
      </c>
      <c r="P711" s="21">
        <v>45986</v>
      </c>
      <c r="Q711" s="7" t="s">
        <v>238</v>
      </c>
      <c r="R711" s="13"/>
      <c r="S711" s="30"/>
      <c r="T711" s="43"/>
      <c r="W711" t="str">
        <f t="shared" si="316"/>
        <v>CDIT77-FT-6911 (Export gas)Fiscal</v>
      </c>
      <c r="X7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2" spans="1:24" ht="12.5" x14ac:dyDescent="0.25">
      <c r="A712" s="19"/>
      <c r="B712" s="19" t="s">
        <v>31</v>
      </c>
      <c r="C712" s="5" t="s">
        <v>71</v>
      </c>
      <c r="D712" s="20" t="s">
        <v>72</v>
      </c>
      <c r="E712" s="35"/>
      <c r="F712" s="29" cm="1">
        <f t="array" ref="F712">IF(V712 &lt;&gt; "", V712, IFERROR(_xlfn.SINGLE(INDEX($G$1:G711,SUMPRODUCT(MAX(($W$1:W711=W712)*(ROW($W$1:W711))))))+IF(D712="Fiscal",30,90),""))</f>
        <v>45962</v>
      </c>
      <c r="G712" s="21">
        <v>45960</v>
      </c>
      <c r="H712" s="15">
        <f t="shared" si="313"/>
        <v>45970</v>
      </c>
      <c r="I712" s="15"/>
      <c r="J712" s="32"/>
      <c r="K712" s="15">
        <f t="shared" si="314"/>
        <v>45980</v>
      </c>
      <c r="L712" s="15"/>
      <c r="M712" s="15">
        <f t="shared" si="315"/>
        <v>45985</v>
      </c>
      <c r="N712" s="13">
        <v>45985</v>
      </c>
      <c r="O712" s="2">
        <f>IFERROR(IF(tblColetas[[#This Row],[Status Coleta]]="Reprovado","Reprovado",IF(ISERROR(SEARCH("Poço",D712)),IF(N712="","Erro",IF(Q712="Reprovado","",WORKDAY(N712,IF(D712="Operacional",10,3),FERIADOS!$A$3:$A$119))),"-")),"-")</f>
        <v>45988</v>
      </c>
      <c r="P712" s="21">
        <v>45986</v>
      </c>
      <c r="Q712" s="7" t="s">
        <v>238</v>
      </c>
      <c r="R712" s="13"/>
      <c r="S712" s="30"/>
      <c r="T712" s="43"/>
      <c r="W712" t="str">
        <f t="shared" si="316"/>
        <v>CDIT77-FT-0103 (Fuel Gas)Fiscal</v>
      </c>
      <c r="X7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3" spans="1:24" ht="12.5" x14ac:dyDescent="0.25">
      <c r="A713" s="19"/>
      <c r="B713" s="19" t="s">
        <v>31</v>
      </c>
      <c r="C713" s="5" t="s">
        <v>74</v>
      </c>
      <c r="D713" s="20" t="s">
        <v>72</v>
      </c>
      <c r="E713" s="35"/>
      <c r="F713" s="29" cm="1">
        <f t="array" ref="F713">IF(V713 &lt;&gt; "", V713, IFERROR(_xlfn.SINGLE(INDEX($G$1:G712,SUMPRODUCT(MAX(($W$1:W712=W713)*(ROW($W$1:W712))))))+IF(D713="Fiscal",30,90),""))</f>
        <v>45962</v>
      </c>
      <c r="G713" s="21">
        <v>45960</v>
      </c>
      <c r="H713" s="15">
        <f t="shared" si="313"/>
        <v>45970</v>
      </c>
      <c r="I713" s="15"/>
      <c r="J713" s="32"/>
      <c r="K713" s="15">
        <f t="shared" si="314"/>
        <v>45980</v>
      </c>
      <c r="L713" s="15"/>
      <c r="M713" s="15">
        <f t="shared" si="315"/>
        <v>45985</v>
      </c>
      <c r="N713" s="13">
        <v>45985</v>
      </c>
      <c r="O713" s="2">
        <f>IFERROR(IF(tblColetas[[#This Row],[Status Coleta]]="Reprovado","Reprovado",IF(ISERROR(SEARCH("Poço",D713)),IF(N713="","Erro",IF(Q713="Reprovado","",WORKDAY(N713,IF(D713="Operacional",10,3),FERIADOS!$A$3:$A$119))),"-")),"-")</f>
        <v>45988</v>
      </c>
      <c r="P713" s="21">
        <v>45986</v>
      </c>
      <c r="Q713" s="7" t="s">
        <v>238</v>
      </c>
      <c r="R713" s="13"/>
      <c r="S713" s="30"/>
      <c r="T713" s="43"/>
      <c r="W713" t="str">
        <f t="shared" si="316"/>
        <v>CDIT76-FT-0014 (HP Flare)Fiscal</v>
      </c>
      <c r="X7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4" spans="1:24" ht="12.5" x14ac:dyDescent="0.25">
      <c r="A714" s="19"/>
      <c r="B714" s="19" t="s">
        <v>31</v>
      </c>
      <c r="C714" s="5" t="s">
        <v>75</v>
      </c>
      <c r="D714" s="20" t="s">
        <v>72</v>
      </c>
      <c r="E714" s="35"/>
      <c r="F714" s="29" cm="1">
        <f t="array" ref="F714">IF(V714 &lt;&gt; "", V714, IFERROR(_xlfn.SINGLE(INDEX($G$1:G713,SUMPRODUCT(MAX(($W$1:W713=W714)*(ROW($W$1:W713))))))+IF(D714="Fiscal",30,90),""))</f>
        <v>45962</v>
      </c>
      <c r="G714" s="21">
        <v>45960</v>
      </c>
      <c r="H714" s="15">
        <f t="shared" si="313"/>
        <v>45970</v>
      </c>
      <c r="I714" s="15"/>
      <c r="J714" s="32"/>
      <c r="K714" s="15">
        <f t="shared" si="314"/>
        <v>45980</v>
      </c>
      <c r="L714" s="15"/>
      <c r="M714" s="15">
        <f t="shared" si="315"/>
        <v>45985</v>
      </c>
      <c r="N714" s="13">
        <v>45985</v>
      </c>
      <c r="O714" s="2">
        <f>IFERROR(IF(tblColetas[[#This Row],[Status Coleta]]="Reprovado","Reprovado",IF(ISERROR(SEARCH("Poço",D714)),IF(N714="","Erro",IF(Q714="Reprovado","",WORKDAY(N714,IF(D714="Operacional",10,3),FERIADOS!$A$3:$A$119))),"-")),"-")</f>
        <v>45988</v>
      </c>
      <c r="P714" s="21">
        <v>45986</v>
      </c>
      <c r="Q714" s="7" t="s">
        <v>238</v>
      </c>
      <c r="R714" s="13"/>
      <c r="S714" s="30"/>
      <c r="T714" s="43"/>
      <c r="W714" t="str">
        <f t="shared" si="316"/>
        <v>CDIT76-FT-0034 (LP Flare)Fiscal</v>
      </c>
      <c r="X7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5" spans="1:24" ht="12.5" x14ac:dyDescent="0.25">
      <c r="A715" s="19"/>
      <c r="B715" s="19" t="s">
        <v>31</v>
      </c>
      <c r="C715" s="5" t="s">
        <v>69</v>
      </c>
      <c r="D715" s="20" t="s">
        <v>70</v>
      </c>
      <c r="E715" s="35"/>
      <c r="F715" s="29" cm="1">
        <f t="array" ref="F715">IF(V715 &lt;&gt; "", V715, IFERROR(_xlfn.SINGLE(INDEX($G$1:G714,SUMPRODUCT(MAX(($W$1:W714=W715)*(ROW($W$1:W714))))))+IF(D715="Fiscal",30,90),""))</f>
        <v>46022</v>
      </c>
      <c r="G715" s="21">
        <v>45960</v>
      </c>
      <c r="H715" s="15">
        <f t="shared" si="313"/>
        <v>45970</v>
      </c>
      <c r="I715" s="15"/>
      <c r="J715" s="32"/>
      <c r="K715" s="15">
        <f t="shared" si="314"/>
        <v>45980</v>
      </c>
      <c r="L715" s="15"/>
      <c r="M715" s="15">
        <f t="shared" si="315"/>
        <v>45985</v>
      </c>
      <c r="N715" s="13">
        <v>45985</v>
      </c>
      <c r="O715" s="2">
        <f>IFERROR(IF(tblColetas[[#This Row],[Status Coleta]]="Reprovado","Reprovado",IF(ISERROR(SEARCH("Poço",D715)),IF(N715="","Erro",IF(Q715="Reprovado","",WORKDAY(N715,IF(D715="Operacional",10,3),FERIADOS!$A$3:$A$119))),"-")),"-")</f>
        <v>45988</v>
      </c>
      <c r="P715" s="21">
        <v>45986</v>
      </c>
      <c r="Q715" s="7" t="s">
        <v>238</v>
      </c>
      <c r="R715" s="13"/>
      <c r="S715" s="30"/>
      <c r="T715" s="43"/>
      <c r="W715" t="str">
        <f t="shared" si="316"/>
        <v>CDIT73-AP-0001 (Gas Lift)Gas Lift</v>
      </c>
      <c r="X7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6" spans="1:24" ht="12.5" x14ac:dyDescent="0.25">
      <c r="A716" s="19"/>
      <c r="B716" s="19" t="s">
        <v>34</v>
      </c>
      <c r="C716" s="5" t="s">
        <v>109</v>
      </c>
      <c r="D716" s="20" t="s">
        <v>26</v>
      </c>
      <c r="E716" s="35"/>
      <c r="F716" s="29" cm="1">
        <f t="array" ref="F716">IF(V716 &lt;&gt; "", V716, IFERROR(_xlfn.SINGLE(INDEX($G$1:G715,SUMPRODUCT(MAX(($W$1:W715=W716)*(ROW($W$1:W715))))))+IF(D716="Fiscal",30,90),""))</f>
        <v>46024</v>
      </c>
      <c r="G716" s="21">
        <v>45988</v>
      </c>
      <c r="H716" s="15">
        <f t="shared" ref="H716:H724" si="317">IF(G716="","Erro", G716+10)</f>
        <v>45998</v>
      </c>
      <c r="I716" s="15">
        <v>45989</v>
      </c>
      <c r="J716" s="32" t="s">
        <v>229</v>
      </c>
      <c r="K716" s="15">
        <f t="shared" ref="K716:K724" si="318">IF(G716="","Erro",G716+20)</f>
        <v>46008</v>
      </c>
      <c r="L716" s="15">
        <v>45996</v>
      </c>
      <c r="M716" s="15">
        <f t="shared" ref="M716:M724" si="319">IF(G716="","Erro",G716+IF(D716="Operacional",45,25))</f>
        <v>46013</v>
      </c>
      <c r="N716" s="13">
        <v>46013</v>
      </c>
      <c r="O716" s="2" t="str">
        <f>IFERROR(IF(tblColetas[[#This Row],[Status Coleta]]="Reprovado","Reprovado",IF(ISERROR(SEARCH("Poço",D716)),IF(N716="","Erro",IF(Q716="Reprovado","",WORKDAY(N716,IF(D716="Operacional",10,3),FERIADOS!$A$3:$A$119))),"-")),"-")</f>
        <v>-</v>
      </c>
      <c r="P716" s="21"/>
      <c r="Q716" s="7" t="s">
        <v>37</v>
      </c>
      <c r="R716" s="13"/>
      <c r="S716" s="30"/>
      <c r="T716" s="43"/>
      <c r="W716" t="str">
        <f t="shared" ref="W716:W724" si="320">B716&amp;C716&amp;D716</f>
        <v>CDSPoço LL-106 (P-16)Poço CG</v>
      </c>
      <c r="X7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7" spans="1:24" ht="12.5" x14ac:dyDescent="0.25">
      <c r="A717" s="19"/>
      <c r="B717" s="19" t="s">
        <v>34</v>
      </c>
      <c r="C717" s="5" t="s">
        <v>109</v>
      </c>
      <c r="D717" s="20" t="s">
        <v>29</v>
      </c>
      <c r="E717" s="35"/>
      <c r="F717" s="29" cm="1">
        <f t="array" ref="F717">IF(V717 &lt;&gt; "", V717, IFERROR(_xlfn.SINGLE(INDEX($G$1:G716,SUMPRODUCT(MAX(($W$1:W716=W717)*(ROW($W$1:W716))))))+IF(D717="Fiscal",30,90),""))</f>
        <v>46024</v>
      </c>
      <c r="G717" s="21">
        <v>45988</v>
      </c>
      <c r="H717" s="15">
        <f t="shared" si="317"/>
        <v>45998</v>
      </c>
      <c r="I717" s="15">
        <v>45989</v>
      </c>
      <c r="J717" s="32" t="s">
        <v>229</v>
      </c>
      <c r="K717" s="15">
        <f t="shared" si="318"/>
        <v>46008</v>
      </c>
      <c r="L717" s="15">
        <v>45996</v>
      </c>
      <c r="M717" s="15">
        <f t="shared" si="319"/>
        <v>46013</v>
      </c>
      <c r="N717" s="13">
        <v>46013</v>
      </c>
      <c r="O717" s="2" t="str">
        <f>IFERROR(IF(tblColetas[[#This Row],[Status Coleta]]="Reprovado","Reprovado",IF(ISERROR(SEARCH("Poço",D717)),IF(N717="","Erro",IF(Q717="Reprovado","",WORKDAY(N717,IF(D717="Operacional",10,3),FERIADOS!$A$3:$A$119))),"-")),"-")</f>
        <v>-</v>
      </c>
      <c r="P717" s="21"/>
      <c r="Q717" s="7" t="s">
        <v>37</v>
      </c>
      <c r="R717" s="13"/>
      <c r="S717" s="30"/>
      <c r="T717" s="43"/>
      <c r="W717" t="str">
        <f t="shared" si="320"/>
        <v>CDSPoço LL-106 (P-16)Poço PVT</v>
      </c>
      <c r="X7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8" spans="1:24" ht="12.5" x14ac:dyDescent="0.25">
      <c r="A718" s="19"/>
      <c r="B718" s="19" t="s">
        <v>52</v>
      </c>
      <c r="C718" s="5" t="s">
        <v>57</v>
      </c>
      <c r="D718" s="20" t="s">
        <v>26</v>
      </c>
      <c r="E718" s="35"/>
      <c r="F718" s="29" cm="1">
        <f t="array" ref="F718">IF(V718 &lt;&gt; "", V718, IFERROR(_xlfn.SINGLE(INDEX($G$1:G717,SUMPRODUCT(MAX(($W$1:W717=W718)*(ROW($W$1:W717))))))+IF(D718="Fiscal",30,90),""))</f>
        <v>46024</v>
      </c>
      <c r="G718" s="21">
        <v>45996</v>
      </c>
      <c r="H718" s="15">
        <f t="shared" si="317"/>
        <v>46006</v>
      </c>
      <c r="I718" s="15">
        <v>45998</v>
      </c>
      <c r="J718" s="32" t="s">
        <v>239</v>
      </c>
      <c r="K718" s="15">
        <f t="shared" si="318"/>
        <v>46016</v>
      </c>
      <c r="L718" s="15">
        <v>46009</v>
      </c>
      <c r="M718" s="15">
        <f t="shared" si="319"/>
        <v>46021</v>
      </c>
      <c r="N718" s="13">
        <v>46021</v>
      </c>
      <c r="O718" s="2" t="str">
        <f>IFERROR(IF(tblColetas[[#This Row],[Status Coleta]]="Reprovado","Reprovado",IF(ISERROR(SEARCH("Poço",D718)),IF(N718="","Erro",IF(Q718="Reprovado","",WORKDAY(N718,IF(D718="Operacional",10,3),FERIADOS!$A$3:$A$119))),"-")),"-")</f>
        <v>-</v>
      </c>
      <c r="P718" s="21"/>
      <c r="Q718" s="7"/>
      <c r="R718" s="13"/>
      <c r="S718" s="30"/>
      <c r="T718" s="43"/>
      <c r="W718" t="str">
        <f t="shared" si="320"/>
        <v>SEPPoço MRO-18D P-5Poço CG</v>
      </c>
      <c r="X7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19" spans="1:24" ht="12.5" x14ac:dyDescent="0.25">
      <c r="A719" s="19"/>
      <c r="B719" s="19" t="s">
        <v>52</v>
      </c>
      <c r="C719" s="5" t="s">
        <v>57</v>
      </c>
      <c r="D719" s="20" t="s">
        <v>29</v>
      </c>
      <c r="E719" s="35"/>
      <c r="F719" s="29" cm="1">
        <f t="array" ref="F719">IF(V719 &lt;&gt; "", V719, IFERROR(_xlfn.SINGLE(INDEX($G$1:G718,SUMPRODUCT(MAX(($W$1:W718=W719)*(ROW($W$1:W718))))))+IF(D719="Fiscal",30,90),""))</f>
        <v>46024</v>
      </c>
      <c r="G719" s="21">
        <v>45996</v>
      </c>
      <c r="H719" s="15">
        <f t="shared" si="317"/>
        <v>46006</v>
      </c>
      <c r="I719" s="15">
        <v>45998</v>
      </c>
      <c r="J719" s="32" t="s">
        <v>239</v>
      </c>
      <c r="K719" s="15">
        <f t="shared" si="318"/>
        <v>46016</v>
      </c>
      <c r="L719" s="15">
        <v>46009</v>
      </c>
      <c r="M719" s="15">
        <f t="shared" si="319"/>
        <v>46021</v>
      </c>
      <c r="N719" s="13">
        <v>46021</v>
      </c>
      <c r="O719" s="2" t="str">
        <f>IFERROR(IF(tblColetas[[#This Row],[Status Coleta]]="Reprovado","Reprovado",IF(ISERROR(SEARCH("Poço",D719)),IF(N719="","Erro",IF(Q719="Reprovado","",WORKDAY(N719,IF(D719="Operacional",10,3),FERIADOS!$A$3:$A$119))),"-")),"-")</f>
        <v>-</v>
      </c>
      <c r="P719" s="21"/>
      <c r="Q719" s="7"/>
      <c r="R719" s="13"/>
      <c r="S719" s="30"/>
      <c r="T719" s="43"/>
      <c r="W719" t="str">
        <f t="shared" si="320"/>
        <v>SEPPoço MRO-18D P-5Poço PVT</v>
      </c>
      <c r="X7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0" spans="1:24" ht="12.5" x14ac:dyDescent="0.25">
      <c r="A720" s="19"/>
      <c r="B720" s="19" t="s">
        <v>145</v>
      </c>
      <c r="C720" s="5" t="s">
        <v>146</v>
      </c>
      <c r="D720" s="20" t="s">
        <v>72</v>
      </c>
      <c r="E720" s="35"/>
      <c r="F720" s="29" cm="1">
        <f t="array" ref="F720">IF(V720 &lt;&gt; "", V720, IFERROR(_xlfn.SINGLE(INDEX($G$1:G719,SUMPRODUCT(MAX(($W$1:W719=W720)*(ROW($W$1:W719))))))+IF(D720="Fiscal",30,90),""))</f>
        <v>45963</v>
      </c>
      <c r="G720" s="21">
        <v>45960</v>
      </c>
      <c r="H720" s="15">
        <f t="shared" si="317"/>
        <v>45970</v>
      </c>
      <c r="I720" s="15"/>
      <c r="J720" s="32"/>
      <c r="K720" s="15">
        <f t="shared" si="318"/>
        <v>45980</v>
      </c>
      <c r="L720" s="15"/>
      <c r="M720" s="15">
        <f t="shared" si="319"/>
        <v>45985</v>
      </c>
      <c r="N720" s="13">
        <v>45985</v>
      </c>
      <c r="O720" s="2">
        <f>IFERROR(IF(tblColetas[[#This Row],[Status Coleta]]="Reprovado","Reprovado",IF(ISERROR(SEARCH("Poço",D720)),IF(N720="","Erro",IF(Q720="Reprovado","",WORKDAY(N720,IF(D720="Operacional",10,3),FERIADOS!$A$3:$A$119))),"-")),"-")</f>
        <v>45988</v>
      </c>
      <c r="P720" s="21">
        <v>45987</v>
      </c>
      <c r="Q720" s="7" t="s">
        <v>37</v>
      </c>
      <c r="R720" s="13"/>
      <c r="S720" s="30"/>
      <c r="T720" s="43"/>
      <c r="W720" t="str">
        <f t="shared" si="320"/>
        <v>ATD777-AP-1403 (Fuel Gas to Flare Stack)Fiscal</v>
      </c>
      <c r="X7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1" spans="1:24" ht="12.5" x14ac:dyDescent="0.25">
      <c r="A721" s="19"/>
      <c r="B721" s="19" t="s">
        <v>145</v>
      </c>
      <c r="C721" s="5" t="s">
        <v>147</v>
      </c>
      <c r="D721" s="20" t="s">
        <v>72</v>
      </c>
      <c r="E721" s="35"/>
      <c r="F721" s="29" cm="1">
        <f t="array" ref="F721">IF(V721 &lt;&gt; "", V721, IFERROR(_xlfn.SINGLE(INDEX($G$1:G720,SUMPRODUCT(MAX(($W$1:W720=W721)*(ROW($W$1:W720))))))+IF(D721="Fiscal",30,90),""))</f>
        <v>45963</v>
      </c>
      <c r="G721" s="21">
        <v>45960</v>
      </c>
      <c r="H721" s="15">
        <f t="shared" si="317"/>
        <v>45970</v>
      </c>
      <c r="I721" s="15"/>
      <c r="J721" s="32"/>
      <c r="K721" s="15">
        <f t="shared" si="318"/>
        <v>45980</v>
      </c>
      <c r="L721" s="15"/>
      <c r="M721" s="15">
        <f t="shared" si="319"/>
        <v>45985</v>
      </c>
      <c r="N721" s="13">
        <v>45985</v>
      </c>
      <c r="O721" s="2">
        <f>IFERROR(IF(tblColetas[[#This Row],[Status Coleta]]="Reprovado","Reprovado",IF(ISERROR(SEARCH("Poço",D721)),IF(N721="","Erro",IF(Q721="Reprovado","",WORKDAY(N721,IF(D721="Operacional",10,3),FERIADOS!$A$3:$A$119))),"-")),"-")</f>
        <v>45988</v>
      </c>
      <c r="P721" s="21">
        <v>45987</v>
      </c>
      <c r="Q721" s="7" t="s">
        <v>37</v>
      </c>
      <c r="R721" s="13"/>
      <c r="S721" s="30"/>
      <c r="T721" s="43"/>
      <c r="W721" t="str">
        <f t="shared" si="320"/>
        <v>ATD777-AP-1506 (Fuel Gas)Fiscal</v>
      </c>
      <c r="X7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2" spans="1:24" ht="12.5" x14ac:dyDescent="0.25">
      <c r="A722" s="19"/>
      <c r="B722" s="19" t="s">
        <v>145</v>
      </c>
      <c r="C722" s="5" t="s">
        <v>148</v>
      </c>
      <c r="D722" s="20" t="s">
        <v>72</v>
      </c>
      <c r="E722" s="35"/>
      <c r="F722" s="29" cm="1">
        <f t="array" ref="F722">IF(V722 &lt;&gt; "", V722, IFERROR(_xlfn.SINGLE(INDEX($G$1:G721,SUMPRODUCT(MAX(($W$1:W721=W722)*(ROW($W$1:W721))))))+IF(D722="Fiscal",30,90),""))</f>
        <v>45963</v>
      </c>
      <c r="G722" s="21">
        <v>45960</v>
      </c>
      <c r="H722" s="15">
        <f t="shared" si="317"/>
        <v>45970</v>
      </c>
      <c r="I722" s="15"/>
      <c r="J722" s="32"/>
      <c r="K722" s="15">
        <f t="shared" si="318"/>
        <v>45980</v>
      </c>
      <c r="L722" s="15"/>
      <c r="M722" s="15">
        <f t="shared" si="319"/>
        <v>45985</v>
      </c>
      <c r="N722" s="13">
        <v>45985</v>
      </c>
      <c r="O722" s="2">
        <f>IFERROR(IF(tblColetas[[#This Row],[Status Coleta]]="Reprovado","Reprovado",IF(ISERROR(SEARCH("Poço",D722)),IF(N722="","Erro",IF(Q722="Reprovado","",WORKDAY(N722,IF(D722="Operacional",10,3),FERIADOS!$A$3:$A$119))),"-")),"-")</f>
        <v>45988</v>
      </c>
      <c r="P722" s="21">
        <v>45987</v>
      </c>
      <c r="Q722" s="7" t="s">
        <v>37</v>
      </c>
      <c r="R722" s="13"/>
      <c r="S722" s="30"/>
      <c r="T722" s="43"/>
      <c r="W722" t="str">
        <f t="shared" si="320"/>
        <v>ATD776-AP-0018-2 (HP Flare)Fiscal</v>
      </c>
      <c r="X7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3" spans="1:24" ht="12.5" x14ac:dyDescent="0.25">
      <c r="A723" s="19"/>
      <c r="B723" s="19" t="s">
        <v>145</v>
      </c>
      <c r="C723" s="5" t="s">
        <v>149</v>
      </c>
      <c r="D723" s="20" t="s">
        <v>72</v>
      </c>
      <c r="E723" s="35"/>
      <c r="F723" s="29" cm="1">
        <f t="array" ref="F723">IF(V723 &lt;&gt; "", V723, IFERROR(_xlfn.SINGLE(INDEX($G$1:G722,SUMPRODUCT(MAX(($W$1:W722=W723)*(ROW($W$1:W722))))))+IF(D723="Fiscal",30,90),""))</f>
        <v>45963</v>
      </c>
      <c r="G723" s="21">
        <v>45960</v>
      </c>
      <c r="H723" s="15">
        <f t="shared" si="317"/>
        <v>45970</v>
      </c>
      <c r="I723" s="15"/>
      <c r="J723" s="32"/>
      <c r="K723" s="15">
        <f t="shared" si="318"/>
        <v>45980</v>
      </c>
      <c r="L723" s="15"/>
      <c r="M723" s="15">
        <f t="shared" si="319"/>
        <v>45985</v>
      </c>
      <c r="N723" s="13">
        <v>45985</v>
      </c>
      <c r="O723" s="2">
        <f>IFERROR(IF(tblColetas[[#This Row],[Status Coleta]]="Reprovado","Reprovado",IF(ISERROR(SEARCH("Poço",D723)),IF(N723="","Erro",IF(Q723="Reprovado","",WORKDAY(N723,IF(D723="Operacional",10,3),FERIADOS!$A$3:$A$119))),"-")),"-")</f>
        <v>45988</v>
      </c>
      <c r="P723" s="21">
        <v>45987</v>
      </c>
      <c r="Q723" s="7" t="s">
        <v>37</v>
      </c>
      <c r="R723" s="13"/>
      <c r="S723" s="30"/>
      <c r="T723" s="43"/>
      <c r="W723" t="str">
        <f t="shared" si="320"/>
        <v>ATD776-AP-0036-2 (LP Flare)Fiscal</v>
      </c>
      <c r="X7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4" spans="1:24" ht="12.5" x14ac:dyDescent="0.25">
      <c r="A724" s="19"/>
      <c r="B724" s="19" t="s">
        <v>145</v>
      </c>
      <c r="C724" s="5" t="s">
        <v>151</v>
      </c>
      <c r="D724" s="20" t="s">
        <v>72</v>
      </c>
      <c r="E724" s="35"/>
      <c r="F724" s="29" cm="1">
        <f t="array" ref="F724">IF(V724 &lt;&gt; "", V724, IFERROR(_xlfn.SINGLE(INDEX($G$1:G723,SUMPRODUCT(MAX(($W$1:W723=W724)*(ROW($W$1:W723))))))+IF(D724="Fiscal",30,90),""))</f>
        <v>45963</v>
      </c>
      <c r="G724" s="21">
        <v>45960</v>
      </c>
      <c r="H724" s="15">
        <f t="shared" si="317"/>
        <v>45970</v>
      </c>
      <c r="I724" s="15"/>
      <c r="J724" s="32"/>
      <c r="K724" s="15">
        <f t="shared" si="318"/>
        <v>45980</v>
      </c>
      <c r="L724" s="15"/>
      <c r="M724" s="15">
        <f t="shared" si="319"/>
        <v>45985</v>
      </c>
      <c r="N724" s="13">
        <v>45985</v>
      </c>
      <c r="O724" s="2" t="str">
        <f>IFERROR(IF(tblColetas[[#This Row],[Status Coleta]]="Reprovado","Reprovado",IF(ISERROR(SEARCH("Poço",D724)),IF(N724="","Erro",IF(Q724="Reprovado","",WORKDAY(N724,IF(D724="Operacional",10,3),FERIADOS!$A$3:$A$119))),"-")),"-")</f>
        <v>Reprovado</v>
      </c>
      <c r="P724" s="21"/>
      <c r="Q724" s="7" t="s">
        <v>81</v>
      </c>
      <c r="R724" s="13"/>
      <c r="S724" s="30"/>
      <c r="T724" s="43"/>
      <c r="W724" t="str">
        <f t="shared" si="320"/>
        <v>ATD776-AP-7001 (Flare Assist)Fiscal</v>
      </c>
      <c r="X7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5" spans="1:24" ht="12.5" x14ac:dyDescent="0.25">
      <c r="A725" s="19"/>
      <c r="B725" s="19" t="s">
        <v>24</v>
      </c>
      <c r="C725" s="5" t="s">
        <v>102</v>
      </c>
      <c r="D725" s="20" t="s">
        <v>26</v>
      </c>
      <c r="E725" s="35"/>
      <c r="F725" s="29" cm="1">
        <f t="array" ref="F725">IF(V725 &lt;&gt; "", V725, IFERROR(_xlfn.SINGLE(INDEX($G$1:G724,SUMPRODUCT(MAX(($W$1:W724=W725)*(ROW($W$1:W724))))))+IF(D725="Fiscal",30,90),""))</f>
        <v>46025</v>
      </c>
      <c r="G725" s="21">
        <v>46014</v>
      </c>
      <c r="H725" s="15">
        <f t="shared" ref="H725:H730" si="321">IF(G725="","Erro", G725+10)</f>
        <v>46024</v>
      </c>
      <c r="I725" s="32">
        <v>46016</v>
      </c>
      <c r="J725" s="32" t="s">
        <v>240</v>
      </c>
      <c r="K725" s="15">
        <f t="shared" ref="K725:K730" si="322">IF(G725="","Erro",G725+20)</f>
        <v>46034</v>
      </c>
      <c r="L725" s="15">
        <v>46029</v>
      </c>
      <c r="M725" s="15">
        <f t="shared" ref="M725:M730" si="323">IF(G725="","Erro",G725+IF(D725="Operacional",45,25))</f>
        <v>46039</v>
      </c>
      <c r="N725" s="13">
        <v>46038</v>
      </c>
      <c r="O725" s="2" t="str">
        <f>IFERROR(IF(tblColetas[[#This Row],[Status Coleta]]="Reprovado","Reprovado",IF(ISERROR(SEARCH("Poço",D725)),IF(N725="","Erro",IF(Q725="Reprovado","",WORKDAY(N725,IF(D725="Operacional",10,3),FERIADOS!$A$3:$A$119))),"-")),"-")</f>
        <v>-</v>
      </c>
      <c r="P725" s="21"/>
      <c r="Q725" s="7" t="s">
        <v>37</v>
      </c>
      <c r="R725" s="13"/>
      <c r="S725" s="30"/>
      <c r="T725" s="43"/>
      <c r="W725" t="str">
        <f t="shared" ref="W725:W730" si="324">B725&amp;C725&amp;D725</f>
        <v>CDAPoço BAZ-09Poço CG</v>
      </c>
      <c r="X7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6" spans="1:24" ht="12.5" x14ac:dyDescent="0.25">
      <c r="A726" s="19"/>
      <c r="B726" s="19" t="s">
        <v>24</v>
      </c>
      <c r="C726" s="5" t="s">
        <v>102</v>
      </c>
      <c r="D726" s="20" t="s">
        <v>29</v>
      </c>
      <c r="E726" s="35"/>
      <c r="F726" s="29" cm="1">
        <f t="array" ref="F726">IF(V726 &lt;&gt; "", V726, IFERROR(_xlfn.SINGLE(INDEX($G$1:G725,SUMPRODUCT(MAX(($W$1:W725=W726)*(ROW($W$1:W725))))))+IF(D726="Fiscal",30,90),""))</f>
        <v>46025</v>
      </c>
      <c r="G726" s="21">
        <v>46014</v>
      </c>
      <c r="H726" s="15">
        <f t="shared" si="321"/>
        <v>46024</v>
      </c>
      <c r="I726" s="32">
        <v>46016</v>
      </c>
      <c r="J726" s="32" t="s">
        <v>240</v>
      </c>
      <c r="K726" s="15">
        <f t="shared" si="322"/>
        <v>46034</v>
      </c>
      <c r="L726" s="15">
        <v>46029</v>
      </c>
      <c r="M726" s="15">
        <f t="shared" si="323"/>
        <v>46039</v>
      </c>
      <c r="N726" s="13">
        <v>46038</v>
      </c>
      <c r="O726" s="2" t="str">
        <f>IFERROR(IF(tblColetas[[#This Row],[Status Coleta]]="Reprovado","Reprovado",IF(ISERROR(SEARCH("Poço",D726)),IF(N726="","Erro",IF(Q726="Reprovado","",WORKDAY(N726,IF(D726="Operacional",10,3),FERIADOS!$A$3:$A$119))),"-")),"-")</f>
        <v>-</v>
      </c>
      <c r="P726" s="21"/>
      <c r="Q726" s="7" t="s">
        <v>37</v>
      </c>
      <c r="R726" s="13"/>
      <c r="S726" s="30"/>
      <c r="T726" s="43"/>
      <c r="W726" t="str">
        <f t="shared" si="324"/>
        <v>CDAPoço BAZ-09Poço PVT</v>
      </c>
      <c r="X7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7" spans="1:24" ht="12.5" x14ac:dyDescent="0.25">
      <c r="A727" s="8"/>
      <c r="B727" s="8" t="s">
        <v>24</v>
      </c>
      <c r="C727" s="5" t="s">
        <v>76</v>
      </c>
      <c r="D727" s="9" t="s">
        <v>72</v>
      </c>
      <c r="E727" s="36"/>
      <c r="F727" s="29" cm="1">
        <f t="array" ref="F727">IF(V727 &lt;&gt; "", V727, IFERROR(_xlfn.SINGLE(INDEX($G$1:G726,SUMPRODUCT(MAX(($W$1:W726=W727)*(ROW($W$1:W726))))))+IF(D727="Fiscal",30,90),""))</f>
        <v>45966</v>
      </c>
      <c r="G727" s="13">
        <v>45966</v>
      </c>
      <c r="H727" s="15">
        <f t="shared" si="321"/>
        <v>45976</v>
      </c>
      <c r="I727" s="15">
        <v>45971</v>
      </c>
      <c r="J727" s="32" t="s">
        <v>142</v>
      </c>
      <c r="K727" s="15">
        <f t="shared" si="322"/>
        <v>45986</v>
      </c>
      <c r="L727" s="15">
        <v>45985</v>
      </c>
      <c r="M727" s="15">
        <f t="shared" si="323"/>
        <v>45991</v>
      </c>
      <c r="N727" s="13">
        <v>45989</v>
      </c>
      <c r="O727" s="2">
        <f>IFERROR(IF(tblColetas[[#This Row],[Status Coleta]]="Reprovado","Reprovado",IF(ISERROR(SEARCH("Poço",D727)),IF(N727="","Erro",IF(Q727="Reprovado","",WORKDAY(N727,IF(D727="Operacional",10,3),FERIADOS!$A$3:$A$119))),"-")),"-")</f>
        <v>45994</v>
      </c>
      <c r="P727" s="13">
        <v>45992</v>
      </c>
      <c r="Q727" s="7" t="s">
        <v>37</v>
      </c>
      <c r="R727" s="13"/>
      <c r="S727" s="30"/>
      <c r="T727" s="43"/>
      <c r="W727" t="str">
        <f t="shared" si="324"/>
        <v>CDAM74-FT-005 (Export gas)Fiscal</v>
      </c>
      <c r="X7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8" spans="1:24" ht="12.5" x14ac:dyDescent="0.25">
      <c r="A728" s="8"/>
      <c r="B728" s="8" t="s">
        <v>24</v>
      </c>
      <c r="C728" s="5" t="s">
        <v>78</v>
      </c>
      <c r="D728" s="9" t="s">
        <v>72</v>
      </c>
      <c r="E728" s="36"/>
      <c r="F728" s="29" cm="1">
        <f t="array" ref="F728">IF(V728 &lt;&gt; "", V728, IFERROR(_xlfn.SINGLE(INDEX($G$1:G727,SUMPRODUCT(MAX(($W$1:W727=W728)*(ROW($W$1:W727))))))+IF(D728="Fiscal",30,90),""))</f>
        <v>45966</v>
      </c>
      <c r="G728" s="13">
        <v>45966</v>
      </c>
      <c r="H728" s="15">
        <f t="shared" si="321"/>
        <v>45976</v>
      </c>
      <c r="I728" s="15">
        <v>45971</v>
      </c>
      <c r="J728" s="32" t="s">
        <v>142</v>
      </c>
      <c r="K728" s="15">
        <f t="shared" si="322"/>
        <v>45986</v>
      </c>
      <c r="L728" s="15">
        <v>45985</v>
      </c>
      <c r="M728" s="15">
        <f t="shared" si="323"/>
        <v>45991</v>
      </c>
      <c r="N728" s="13">
        <v>45989</v>
      </c>
      <c r="O728" s="2">
        <f>IFERROR(IF(tblColetas[[#This Row],[Status Coleta]]="Reprovado","Reprovado",IF(ISERROR(SEARCH("Poço",D728)),IF(N728="","Erro",IF(Q728="Reprovado","",WORKDAY(N728,IF(D728="Operacional",10,3),FERIADOS!$A$3:$A$119))),"-")),"-")</f>
        <v>45994</v>
      </c>
      <c r="P728" s="13">
        <v>45992</v>
      </c>
      <c r="Q728" s="7" t="s">
        <v>37</v>
      </c>
      <c r="R728" s="13"/>
      <c r="S728" s="30"/>
      <c r="T728" s="43"/>
      <c r="W728" t="str">
        <f t="shared" si="324"/>
        <v>CDAT77-FT-001 (Fuel Gas)Fiscal</v>
      </c>
      <c r="X7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29" spans="1:24" ht="12.5" x14ac:dyDescent="0.25">
      <c r="A729" s="19"/>
      <c r="B729" s="19" t="s">
        <v>52</v>
      </c>
      <c r="C729" s="5" t="s">
        <v>111</v>
      </c>
      <c r="D729" s="20" t="s">
        <v>26</v>
      </c>
      <c r="E729" s="35"/>
      <c r="F729" s="29" cm="1">
        <f t="array" ref="F729">IF(V729 &lt;&gt; "", V729, IFERROR(_xlfn.SINGLE(INDEX($G$1:G728,SUMPRODUCT(MAX(($W$1:W728=W729)*(ROW($W$1:W728))))))+IF(D729="Fiscal",30,90),""))</f>
        <v>46026</v>
      </c>
      <c r="G729" s="21">
        <v>45979</v>
      </c>
      <c r="H729" s="15">
        <f t="shared" si="321"/>
        <v>45989</v>
      </c>
      <c r="I729" s="15">
        <v>45984</v>
      </c>
      <c r="J729" s="32" t="s">
        <v>225</v>
      </c>
      <c r="K729" s="15">
        <f t="shared" si="322"/>
        <v>45999</v>
      </c>
      <c r="L729" s="15">
        <v>45988</v>
      </c>
      <c r="M729" s="15">
        <f t="shared" si="323"/>
        <v>46004</v>
      </c>
      <c r="N729" s="13">
        <v>46003</v>
      </c>
      <c r="O729" s="2" t="str">
        <f>IFERROR(IF(tblColetas[[#This Row],[Status Coleta]]="Reprovado","Reprovado",IF(ISERROR(SEARCH("Poço",D729)),IF(N729="","Erro",IF(Q729="Reprovado","",WORKDAY(N729,IF(D729="Operacional",10,3),FERIADOS!$A$3:$A$119))),"-")),"-")</f>
        <v>-</v>
      </c>
      <c r="P729" s="21"/>
      <c r="Q729" s="7" t="s">
        <v>37</v>
      </c>
      <c r="R729" s="13"/>
      <c r="S729" s="30"/>
      <c r="T729" s="43"/>
      <c r="W729" t="str">
        <f t="shared" si="324"/>
        <v>SEPPoço 3-RJS-739A P-6Poço CG</v>
      </c>
      <c r="X7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0" spans="1:24" ht="12.5" x14ac:dyDescent="0.25">
      <c r="A730" s="19"/>
      <c r="B730" s="19" t="s">
        <v>52</v>
      </c>
      <c r="C730" s="5" t="s">
        <v>111</v>
      </c>
      <c r="D730" s="20" t="s">
        <v>29</v>
      </c>
      <c r="E730" s="35"/>
      <c r="F730" s="29" cm="1">
        <f t="array" ref="F730">IF(V730 &lt;&gt; "", V730, IFERROR(_xlfn.SINGLE(INDEX($G$1:G729,SUMPRODUCT(MAX(($W$1:W729=W730)*(ROW($W$1:W729))))))+IF(D730="Fiscal",30,90),""))</f>
        <v>46026</v>
      </c>
      <c r="G730" s="21">
        <v>45966</v>
      </c>
      <c r="H730" s="15">
        <f t="shared" si="321"/>
        <v>45976</v>
      </c>
      <c r="I730" s="15">
        <v>45970</v>
      </c>
      <c r="J730" s="32" t="s">
        <v>191</v>
      </c>
      <c r="K730" s="15">
        <f t="shared" si="322"/>
        <v>45986</v>
      </c>
      <c r="L730" s="15">
        <v>45980</v>
      </c>
      <c r="M730" s="15">
        <f t="shared" si="323"/>
        <v>45991</v>
      </c>
      <c r="N730" s="13">
        <v>45989</v>
      </c>
      <c r="O730" s="2" t="str">
        <f>IFERROR(IF(tblColetas[[#This Row],[Status Coleta]]="Reprovado","Reprovado",IF(ISERROR(SEARCH("Poço",D730)),IF(N730="","Erro",IF(Q730="Reprovado","",WORKDAY(N730,IF(D730="Operacional",10,3),FERIADOS!$A$3:$A$119))),"-")),"-")</f>
        <v>-</v>
      </c>
      <c r="P730" s="21"/>
      <c r="Q730" s="7"/>
      <c r="R730" s="13"/>
      <c r="S730" s="30"/>
      <c r="T730" s="43"/>
      <c r="W730" t="str">
        <f t="shared" si="324"/>
        <v>SEPPoço 3-RJS-739A P-6Poço PVT</v>
      </c>
      <c r="X7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1" spans="1:24" ht="12.5" x14ac:dyDescent="0.25">
      <c r="A731" s="19"/>
      <c r="B731" s="19" t="s">
        <v>46</v>
      </c>
      <c r="C731" s="5" t="s">
        <v>92</v>
      </c>
      <c r="D731" s="20" t="s">
        <v>26</v>
      </c>
      <c r="E731" s="35"/>
      <c r="F731" s="29" cm="1">
        <f t="array" ref="F731">IF(V731 &lt;&gt; "", V731, IFERROR(_xlfn.SINGLE(INDEX($G$1:G730,SUMPRODUCT(MAX(($W$1:W730=W731)*(ROW($W$1:W730))))))+IF(D731="Fiscal",30,90),""))</f>
        <v>46014</v>
      </c>
      <c r="G731" s="21">
        <v>45999</v>
      </c>
      <c r="H731" s="15">
        <f t="shared" ref="H731:H739" si="325">IF(G731="","Erro", G731+10)</f>
        <v>46009</v>
      </c>
      <c r="I731" s="15">
        <v>46006</v>
      </c>
      <c r="J731" s="32" t="s">
        <v>241</v>
      </c>
      <c r="K731" s="15">
        <f t="shared" ref="K731:K739" si="326">IF(G731="","Erro",G731+20)</f>
        <v>46019</v>
      </c>
      <c r="L731" s="15">
        <v>46387</v>
      </c>
      <c r="M731" s="15">
        <f t="shared" ref="M731:M739" si="327">IF(G731="","Erro",G731+IF(D731="Operacional",45,25))</f>
        <v>46024</v>
      </c>
      <c r="N731" s="13">
        <v>46024</v>
      </c>
      <c r="O731" s="2" t="str">
        <f>IFERROR(IF(tblColetas[[#This Row],[Status Coleta]]="Reprovado","Reprovado",IF(ISERROR(SEARCH("Poço",D731)),IF(N731="","Erro",IF(Q731="Reprovado","",WORKDAY(N731,IF(D731="Operacional",10,3),FERIADOS!$A$3:$A$119))),"-")),"-")</f>
        <v>-</v>
      </c>
      <c r="P731" s="21"/>
      <c r="Q731" s="7"/>
      <c r="R731" s="13"/>
      <c r="S731" s="30"/>
      <c r="T731" s="43"/>
      <c r="W731" t="str">
        <f t="shared" ref="W731:W739" si="328">B731&amp;C731&amp;D731</f>
        <v>CDMPoço LL-12 (P-05)Poço CG</v>
      </c>
      <c r="X7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2" spans="1:24" ht="12.5" x14ac:dyDescent="0.25">
      <c r="A732" s="19"/>
      <c r="B732" s="19" t="s">
        <v>46</v>
      </c>
      <c r="C732" s="5" t="s">
        <v>92</v>
      </c>
      <c r="D732" s="20" t="s">
        <v>29</v>
      </c>
      <c r="E732" s="35"/>
      <c r="F732" s="29" cm="1">
        <f t="array" ref="F732">IF(V732 &lt;&gt; "", V732, IFERROR(_xlfn.SINGLE(INDEX($G$1:G731,SUMPRODUCT(MAX(($W$1:W731=W732)*(ROW($W$1:W731))))))+IF(D732="Fiscal",30,90),""))</f>
        <v>46014</v>
      </c>
      <c r="G732" s="21">
        <v>45999</v>
      </c>
      <c r="H732" s="15">
        <f t="shared" si="325"/>
        <v>46009</v>
      </c>
      <c r="I732" s="15">
        <v>46006</v>
      </c>
      <c r="J732" s="32" t="s">
        <v>241</v>
      </c>
      <c r="K732" s="15">
        <f t="shared" si="326"/>
        <v>46019</v>
      </c>
      <c r="L732" s="15">
        <v>46387</v>
      </c>
      <c r="M732" s="15">
        <f t="shared" si="327"/>
        <v>46024</v>
      </c>
      <c r="N732" s="13">
        <v>46024</v>
      </c>
      <c r="O732" s="2" t="str">
        <f>IFERROR(IF(tblColetas[[#This Row],[Status Coleta]]="Reprovado","Reprovado",IF(ISERROR(SEARCH("Poço",D732)),IF(N732="","Erro",IF(Q732="Reprovado","",WORKDAY(N732,IF(D732="Operacional",10,3),FERIADOS!$A$3:$A$119))),"-")),"-")</f>
        <v>-</v>
      </c>
      <c r="P732" s="21"/>
      <c r="Q732" s="7"/>
      <c r="R732" s="13"/>
      <c r="S732" s="30"/>
      <c r="T732" s="43"/>
      <c r="W732" t="str">
        <f t="shared" si="328"/>
        <v>CDMPoço LL-12 (P-05)Poço PVT</v>
      </c>
      <c r="X7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3" spans="1:24" ht="12.5" x14ac:dyDescent="0.25">
      <c r="A733" s="19"/>
      <c r="B733" s="19" t="s">
        <v>34</v>
      </c>
      <c r="C733" s="5" t="s">
        <v>67</v>
      </c>
      <c r="D733" s="20" t="s">
        <v>26</v>
      </c>
      <c r="E733" s="35"/>
      <c r="F733" s="29" cm="1">
        <f t="array" ref="F733">IF(V733 &lt;&gt; "", V733, IFERROR(_xlfn.SINGLE(INDEX($G$1:G732,SUMPRODUCT(MAX(($W$1:W732=W733)*(ROW($W$1:W732))))))+IF(D733="Fiscal",30,90),""))</f>
        <v>46027</v>
      </c>
      <c r="G733" s="21">
        <v>45948</v>
      </c>
      <c r="H733" s="15">
        <f t="shared" si="325"/>
        <v>45958</v>
      </c>
      <c r="I733" s="15">
        <v>45952</v>
      </c>
      <c r="J733" s="32" t="s">
        <v>242</v>
      </c>
      <c r="K733" s="15">
        <f t="shared" si="326"/>
        <v>45968</v>
      </c>
      <c r="L733" s="15">
        <v>45964</v>
      </c>
      <c r="M733" s="15">
        <f t="shared" si="327"/>
        <v>45973</v>
      </c>
      <c r="N733" s="13">
        <v>45973</v>
      </c>
      <c r="O733" s="2" t="str">
        <f>IFERROR(IF(tblColetas[[#This Row],[Status Coleta]]="Reprovado","Reprovado",IF(ISERROR(SEARCH("Poço",D733)),IF(N733="","Erro",IF(Q733="Reprovado","",WORKDAY(N733,IF(D733="Operacional",10,3),FERIADOS!$A$3:$A$119))),"-")),"-")</f>
        <v>-</v>
      </c>
      <c r="P733" s="21"/>
      <c r="Q733" s="7"/>
      <c r="R733" s="13"/>
      <c r="S733" s="30"/>
      <c r="T733" s="43"/>
      <c r="W733" t="str">
        <f t="shared" si="328"/>
        <v>CDSPoço LL-81 (P-09)Poço CG</v>
      </c>
      <c r="X7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4" spans="1:24" ht="12.5" x14ac:dyDescent="0.25">
      <c r="A734" s="19"/>
      <c r="B734" s="19" t="s">
        <v>34</v>
      </c>
      <c r="C734" s="5" t="s">
        <v>67</v>
      </c>
      <c r="D734" s="20" t="s">
        <v>29</v>
      </c>
      <c r="E734" s="35"/>
      <c r="F734" s="29" cm="1">
        <f t="array" ref="F734">IF(V734 &lt;&gt; "", V734, IFERROR(_xlfn.SINGLE(INDEX($G$1:G733,SUMPRODUCT(MAX(($W$1:W733=W734)*(ROW($W$1:W733))))))+IF(D734="Fiscal",30,90),""))</f>
        <v>46027</v>
      </c>
      <c r="G734" s="21">
        <v>45948</v>
      </c>
      <c r="H734" s="15">
        <f t="shared" si="325"/>
        <v>45958</v>
      </c>
      <c r="I734" s="15">
        <v>45952</v>
      </c>
      <c r="J734" s="32" t="s">
        <v>242</v>
      </c>
      <c r="K734" s="15">
        <f t="shared" si="326"/>
        <v>45968</v>
      </c>
      <c r="L734" s="15">
        <v>45964</v>
      </c>
      <c r="M734" s="15">
        <f t="shared" si="327"/>
        <v>45973</v>
      </c>
      <c r="N734" s="13">
        <v>45973</v>
      </c>
      <c r="O734" s="2" t="str">
        <f>IFERROR(IF(tblColetas[[#This Row],[Status Coleta]]="Reprovado","Reprovado",IF(ISERROR(SEARCH("Poço",D734)),IF(N734="","Erro",IF(Q734="Reprovado","",WORKDAY(N734,IF(D734="Operacional",10,3),FERIADOS!$A$3:$A$119))),"-")),"-")</f>
        <v>-</v>
      </c>
      <c r="P734" s="21"/>
      <c r="Q734" s="7"/>
      <c r="R734" s="13"/>
      <c r="S734" s="30"/>
      <c r="T734" s="43"/>
      <c r="W734" t="str">
        <f t="shared" si="328"/>
        <v>CDSPoço LL-81 (P-09)Poço PVT</v>
      </c>
      <c r="X7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5" spans="1:24" ht="12.5" x14ac:dyDescent="0.25">
      <c r="A735" s="19"/>
      <c r="B735" s="19" t="s">
        <v>52</v>
      </c>
      <c r="C735" s="5" t="s">
        <v>112</v>
      </c>
      <c r="D735" s="20" t="s">
        <v>72</v>
      </c>
      <c r="E735" s="35"/>
      <c r="F735" s="29" cm="1">
        <f t="array" ref="F735">IF(V735 &lt;&gt; "", V735, IFERROR(_xlfn.SINGLE(INDEX($G$1:G734,SUMPRODUCT(MAX(($W$1:W734=W735)*(ROW($W$1:W734))))))+IF(D735="Fiscal",30,90),""))</f>
        <v>45968</v>
      </c>
      <c r="G735" s="21">
        <v>45965</v>
      </c>
      <c r="H735" s="15">
        <f t="shared" si="325"/>
        <v>45975</v>
      </c>
      <c r="I735" s="15"/>
      <c r="J735" s="32"/>
      <c r="K735" s="15">
        <f t="shared" si="326"/>
        <v>45985</v>
      </c>
      <c r="L735" s="15"/>
      <c r="M735" s="15">
        <f t="shared" si="327"/>
        <v>45990</v>
      </c>
      <c r="N735" s="13">
        <v>45989</v>
      </c>
      <c r="O735" s="2">
        <f>IFERROR(IF(tblColetas[[#This Row],[Status Coleta]]="Reprovado","Reprovado",IF(ISERROR(SEARCH("Poço",D735)),IF(N735="","Erro",IF(Q735="Reprovado","",WORKDAY(N735,IF(D735="Operacional",10,3),FERIADOS!$A$3:$A$119))),"-")),"-")</f>
        <v>45994</v>
      </c>
      <c r="P735" s="21">
        <v>45993</v>
      </c>
      <c r="Q735" s="7" t="s">
        <v>238</v>
      </c>
      <c r="R735" s="13"/>
      <c r="S735" s="30"/>
      <c r="T735" s="43"/>
      <c r="W735" t="str">
        <f t="shared" si="328"/>
        <v>SEP776-AP-0006 (HP Flare)Fiscal</v>
      </c>
      <c r="X7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6" spans="1:24" ht="12.5" x14ac:dyDescent="0.25">
      <c r="A736" s="19"/>
      <c r="B736" s="19" t="s">
        <v>52</v>
      </c>
      <c r="C736" s="5" t="s">
        <v>113</v>
      </c>
      <c r="D736" s="20" t="s">
        <v>72</v>
      </c>
      <c r="E736" s="35"/>
      <c r="F736" s="29" cm="1">
        <f t="array" ref="F736">IF(V736 &lt;&gt; "", V736, IFERROR(_xlfn.SINGLE(INDEX($G$1:G735,SUMPRODUCT(MAX(($W$1:W735=W736)*(ROW($W$1:W735))))))+IF(D736="Fiscal",30,90),""))</f>
        <v>45968</v>
      </c>
      <c r="G736" s="21">
        <v>45965</v>
      </c>
      <c r="H736" s="15">
        <f t="shared" si="325"/>
        <v>45975</v>
      </c>
      <c r="I736" s="15"/>
      <c r="J736" s="32"/>
      <c r="K736" s="15">
        <f t="shared" si="326"/>
        <v>45985</v>
      </c>
      <c r="L736" s="15"/>
      <c r="M736" s="15">
        <f t="shared" si="327"/>
        <v>45990</v>
      </c>
      <c r="N736" s="13">
        <v>45989</v>
      </c>
      <c r="O736" s="2">
        <f>IFERROR(IF(tblColetas[[#This Row],[Status Coleta]]="Reprovado","Reprovado",IF(ISERROR(SEARCH("Poço",D736)),IF(N736="","Erro",IF(Q736="Reprovado","",WORKDAY(N736,IF(D736="Operacional",10,3),FERIADOS!$A$3:$A$119))),"-")),"-")</f>
        <v>45994</v>
      </c>
      <c r="P736" s="21">
        <v>45993</v>
      </c>
      <c r="Q736" s="7" t="s">
        <v>238</v>
      </c>
      <c r="R736" s="13"/>
      <c r="S736" s="30"/>
      <c r="T736" s="43"/>
      <c r="W736" t="str">
        <f t="shared" si="328"/>
        <v>SEP776-AP-0030 (LP Flare)Fiscal</v>
      </c>
      <c r="X7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7" spans="1:24" ht="12.5" x14ac:dyDescent="0.25">
      <c r="A737" s="19"/>
      <c r="B737" s="19" t="s">
        <v>52</v>
      </c>
      <c r="C737" s="5" t="s">
        <v>114</v>
      </c>
      <c r="D737" s="20" t="s">
        <v>72</v>
      </c>
      <c r="E737" s="35"/>
      <c r="F737" s="29" cm="1">
        <f t="array" ref="F737">IF(V737 &lt;&gt; "", V737, IFERROR(_xlfn.SINGLE(INDEX($G$1:G736,SUMPRODUCT(MAX(($W$1:W736=W737)*(ROW($W$1:W736))))))+IF(D737="Fiscal",30,90),""))</f>
        <v>45968</v>
      </c>
      <c r="G737" s="21">
        <v>45964</v>
      </c>
      <c r="H737" s="15">
        <f t="shared" si="325"/>
        <v>45974</v>
      </c>
      <c r="I737" s="15"/>
      <c r="J737" s="32"/>
      <c r="K737" s="15">
        <f t="shared" si="326"/>
        <v>45984</v>
      </c>
      <c r="L737" s="15"/>
      <c r="M737" s="15">
        <f t="shared" si="327"/>
        <v>45989</v>
      </c>
      <c r="N737" s="13">
        <v>45989</v>
      </c>
      <c r="O737" s="2">
        <f>IFERROR(IF(tblColetas[[#This Row],[Status Coleta]]="Reprovado","Reprovado",IF(ISERROR(SEARCH("Poço",D737)),IF(N737="","Erro",IF(Q737="Reprovado","",WORKDAY(N737,IF(D737="Operacional",10,3),FERIADOS!$A$3:$A$119))),"-")),"-")</f>
        <v>45994</v>
      </c>
      <c r="P737" s="21">
        <v>45993</v>
      </c>
      <c r="Q737" s="7" t="s">
        <v>238</v>
      </c>
      <c r="R737" s="13"/>
      <c r="S737" s="30"/>
      <c r="T737" s="43"/>
      <c r="W737" t="str">
        <f t="shared" si="328"/>
        <v>SEP777-AP-1104 (Fuel Gas)Fiscal</v>
      </c>
      <c r="X7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8" spans="1:24" ht="12.5" x14ac:dyDescent="0.25">
      <c r="A738" s="19"/>
      <c r="B738" s="19" t="s">
        <v>52</v>
      </c>
      <c r="C738" s="5" t="s">
        <v>115</v>
      </c>
      <c r="D738" s="20" t="s">
        <v>72</v>
      </c>
      <c r="E738" s="35"/>
      <c r="F738" s="29" cm="1">
        <f t="array" ref="F738">IF(V738 &lt;&gt; "", V738, IFERROR(_xlfn.SINGLE(INDEX($G$1:G737,SUMPRODUCT(MAX(($W$1:W737=W738)*(ROW($W$1:W737))))))+IF(D738="Fiscal",30,90),""))</f>
        <v>45968</v>
      </c>
      <c r="G738" s="21">
        <v>45964</v>
      </c>
      <c r="H738" s="15">
        <f t="shared" si="325"/>
        <v>45974</v>
      </c>
      <c r="I738" s="15"/>
      <c r="J738" s="32"/>
      <c r="K738" s="15">
        <f t="shared" si="326"/>
        <v>45984</v>
      </c>
      <c r="L738" s="15"/>
      <c r="M738" s="15">
        <f t="shared" si="327"/>
        <v>45989</v>
      </c>
      <c r="N738" s="13">
        <v>45989</v>
      </c>
      <c r="O738" s="2" t="str">
        <f>IFERROR(IF(tblColetas[[#This Row],[Status Coleta]]="Reprovado","Reprovado",IF(ISERROR(SEARCH("Poço",D738)),IF(N738="","Erro",IF(Q738="Reprovado","",WORKDAY(N738,IF(D738="Operacional",10,3),FERIADOS!$A$3:$A$119))),"-")),"-")</f>
        <v>Reprovado</v>
      </c>
      <c r="P738" s="21"/>
      <c r="Q738" s="7" t="s">
        <v>81</v>
      </c>
      <c r="R738" s="13"/>
      <c r="S738" s="33" t="s">
        <v>127</v>
      </c>
      <c r="T738" s="43"/>
      <c r="W738" t="str">
        <f t="shared" si="328"/>
        <v>SEP771-AP-0221 (Flare Assist)Fiscal</v>
      </c>
      <c r="X7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39" spans="1:24" ht="12.5" x14ac:dyDescent="0.25">
      <c r="A739" s="19"/>
      <c r="B739" s="19" t="s">
        <v>52</v>
      </c>
      <c r="C739" s="5" t="s">
        <v>121</v>
      </c>
      <c r="D739" s="20" t="s">
        <v>70</v>
      </c>
      <c r="E739" s="35"/>
      <c r="F739" s="29" cm="1">
        <f t="array" ref="F739">IF(V739 &lt;&gt; "", V739, IFERROR(_xlfn.SINGLE(INDEX($G$1:G738,SUMPRODUCT(MAX(($W$1:W738=W739)*(ROW($W$1:W738))))))+IF(D739="Fiscal",30,90),""))</f>
        <v>46028</v>
      </c>
      <c r="G739" s="21">
        <v>45964</v>
      </c>
      <c r="H739" s="15">
        <f t="shared" si="325"/>
        <v>45974</v>
      </c>
      <c r="I739" s="15"/>
      <c r="J739" s="32"/>
      <c r="K739" s="15">
        <f t="shared" si="326"/>
        <v>45984</v>
      </c>
      <c r="L739" s="15"/>
      <c r="M739" s="15">
        <f t="shared" si="327"/>
        <v>45989</v>
      </c>
      <c r="N739" s="13">
        <v>45989</v>
      </c>
      <c r="O739" s="2" t="str">
        <f>IFERROR(IF(tblColetas[[#This Row],[Status Coleta]]="Reprovado","Reprovado",IF(ISERROR(SEARCH("Poço",D739)),IF(N739="","Erro",IF(Q739="Reprovado","",WORKDAY(N739,IF(D739="Operacional",10,3),FERIADOS!$A$3:$A$119))),"-")),"-")</f>
        <v>Reprovado</v>
      </c>
      <c r="P739" s="21"/>
      <c r="Q739" s="7" t="s">
        <v>81</v>
      </c>
      <c r="R739" s="13"/>
      <c r="S739" s="33" t="s">
        <v>127</v>
      </c>
      <c r="T739" s="43"/>
      <c r="W739" t="str">
        <f t="shared" si="328"/>
        <v>SEP773-AP-0011 (Gas Lift Total)Gas Lift</v>
      </c>
      <c r="X7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0" spans="1:24" ht="12.5" x14ac:dyDescent="0.25">
      <c r="A740" s="19"/>
      <c r="B740" s="19" t="s">
        <v>24</v>
      </c>
      <c r="C740" s="5" t="s">
        <v>100</v>
      </c>
      <c r="D740" s="20" t="s">
        <v>26</v>
      </c>
      <c r="E740" s="35"/>
      <c r="F740" s="29" cm="1">
        <f t="array" ref="F740">IF(V740 &lt;&gt; "", V740, IFERROR(_xlfn.SINGLE(INDEX($G$1:G739,SUMPRODUCT(MAX(($W$1:W739=W740)*(ROW($W$1:W739))))))+IF(D740="Fiscal",30,90),""))</f>
        <v>46029</v>
      </c>
      <c r="G740" s="21">
        <v>46020</v>
      </c>
      <c r="H740" s="15">
        <f t="shared" ref="H740:H745" si="329">IF(G740="","Erro", G740+10)</f>
        <v>46030</v>
      </c>
      <c r="I740" s="15">
        <v>46023</v>
      </c>
      <c r="J740" s="32" t="s">
        <v>94</v>
      </c>
      <c r="K740" s="15">
        <f t="shared" ref="K740:K745" si="330">IF(G740="","Erro",G740+20)</f>
        <v>46040</v>
      </c>
      <c r="L740" s="15">
        <v>46039</v>
      </c>
      <c r="M740" s="15">
        <f t="shared" ref="M740:M745" si="331">IF(G740="","Erro",G740+IF(D740="Operacional",45,25))</f>
        <v>46045</v>
      </c>
      <c r="N740" s="13">
        <v>46045</v>
      </c>
      <c r="O740" s="2" t="str">
        <f>IFERROR(IF(tblColetas[[#This Row],[Status Coleta]]="Reprovado","Reprovado",IF(ISERROR(SEARCH("Poço",D740)),IF(N740="","Erro",IF(Q740="Reprovado","",WORKDAY(N740,IF(D740="Operacional",10,3),FERIADOS!$A$3:$A$119))),"-")),"-")</f>
        <v>-</v>
      </c>
      <c r="P740" s="21"/>
      <c r="Q740" s="7"/>
      <c r="R740" s="13"/>
      <c r="S740" s="30"/>
      <c r="T740" s="43"/>
      <c r="W740" t="str">
        <f t="shared" ref="W740:W745" si="332">B740&amp;C740&amp;D740</f>
        <v>CDAPoço JUB-63Poço CG</v>
      </c>
      <c r="X7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1" spans="1:24" ht="12.5" x14ac:dyDescent="0.25">
      <c r="A741" s="19"/>
      <c r="B741" s="19" t="s">
        <v>24</v>
      </c>
      <c r="C741" s="5" t="s">
        <v>100</v>
      </c>
      <c r="D741" s="20" t="s">
        <v>29</v>
      </c>
      <c r="E741" s="35"/>
      <c r="F741" s="29" cm="1">
        <f t="array" ref="F741">IF(V741 &lt;&gt; "", V741, IFERROR(_xlfn.SINGLE(INDEX($G$1:G740,SUMPRODUCT(MAX(($W$1:W740=W741)*(ROW($W$1:W740))))))+IF(D741="Fiscal",30,90),""))</f>
        <v>46029</v>
      </c>
      <c r="G741" s="21">
        <v>46020</v>
      </c>
      <c r="H741" s="15">
        <f t="shared" si="329"/>
        <v>46030</v>
      </c>
      <c r="I741" s="15">
        <v>46023</v>
      </c>
      <c r="J741" s="32" t="s">
        <v>94</v>
      </c>
      <c r="K741" s="15">
        <f t="shared" si="330"/>
        <v>46040</v>
      </c>
      <c r="L741" s="15">
        <v>46039</v>
      </c>
      <c r="M741" s="15">
        <f t="shared" si="331"/>
        <v>46045</v>
      </c>
      <c r="N741" s="13">
        <v>46045</v>
      </c>
      <c r="O741" s="2" t="str">
        <f>IFERROR(IF(tblColetas[[#This Row],[Status Coleta]]="Reprovado","Reprovado",IF(ISERROR(SEARCH("Poço",D741)),IF(N741="","Erro",IF(Q741="Reprovado","",WORKDAY(N741,IF(D741="Operacional",10,3),FERIADOS!$A$3:$A$119))),"-")),"-")</f>
        <v>-</v>
      </c>
      <c r="P741" s="21"/>
      <c r="Q741" s="7"/>
      <c r="R741" s="13"/>
      <c r="S741" s="30"/>
      <c r="T741" s="43"/>
      <c r="W741" t="str">
        <f t="shared" si="332"/>
        <v>CDAPoço JUB-63Poço PVT</v>
      </c>
      <c r="X7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2" spans="1:24" ht="12.5" x14ac:dyDescent="0.25">
      <c r="A742" s="19"/>
      <c r="B742" s="19" t="s">
        <v>24</v>
      </c>
      <c r="C742" s="5" t="s">
        <v>101</v>
      </c>
      <c r="D742" s="20" t="s">
        <v>26</v>
      </c>
      <c r="E742" s="35"/>
      <c r="F742" s="29" cm="1">
        <f t="array" ref="F742">IF(V742 &lt;&gt; "", V742, IFERROR(_xlfn.SINGLE(INDEX($G$1:G741,SUMPRODUCT(MAX(($W$1:W741=W742)*(ROW($W$1:W741))))))+IF(D742="Fiscal",30,90),""))</f>
        <v>46032</v>
      </c>
      <c r="G742" s="21">
        <v>46022</v>
      </c>
      <c r="H742" s="15">
        <f t="shared" si="329"/>
        <v>46032</v>
      </c>
      <c r="I742" s="15">
        <v>46027</v>
      </c>
      <c r="J742" s="32" t="s">
        <v>77</v>
      </c>
      <c r="K742" s="15">
        <f t="shared" si="330"/>
        <v>46042</v>
      </c>
      <c r="L742" s="15">
        <v>46029</v>
      </c>
      <c r="M742" s="15">
        <f t="shared" si="331"/>
        <v>46047</v>
      </c>
      <c r="N742" s="13">
        <v>46047</v>
      </c>
      <c r="O742" s="2" t="str">
        <f>IFERROR(IF(tblColetas[[#This Row],[Status Coleta]]="Reprovado","Reprovado",IF(ISERROR(SEARCH("Poço",D742)),IF(N742="","Erro",IF(Q742="Reprovado","",WORKDAY(N742,IF(D742="Operacional",10,3),FERIADOS!$A$3:$A$119))),"-")),"-")</f>
        <v>Reprovado</v>
      </c>
      <c r="P742" s="21"/>
      <c r="Q742" s="7" t="s">
        <v>81</v>
      </c>
      <c r="R742" s="13"/>
      <c r="S742" s="30"/>
      <c r="T742" s="43"/>
      <c r="W742" t="str">
        <f t="shared" si="332"/>
        <v>CDAPoço 7-BAZ-04Poço CG</v>
      </c>
      <c r="X7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3" spans="1:24" ht="12.5" x14ac:dyDescent="0.25">
      <c r="A743" s="19"/>
      <c r="B743" s="19" t="s">
        <v>24</v>
      </c>
      <c r="C743" s="5" t="s">
        <v>101</v>
      </c>
      <c r="D743" s="20" t="s">
        <v>29</v>
      </c>
      <c r="E743" s="35"/>
      <c r="F743" s="29" cm="1">
        <f t="array" ref="F743">IF(V743 &lt;&gt; "", V743, IFERROR(_xlfn.SINGLE(INDEX($G$1:G742,SUMPRODUCT(MAX(($W$1:W742=W743)*(ROW($W$1:W742))))))+IF(D743="Fiscal",30,90),""))</f>
        <v>46032</v>
      </c>
      <c r="G743" s="21">
        <v>46022</v>
      </c>
      <c r="H743" s="15">
        <f t="shared" si="329"/>
        <v>46032</v>
      </c>
      <c r="I743" s="15">
        <v>46027</v>
      </c>
      <c r="J743" s="32" t="s">
        <v>77</v>
      </c>
      <c r="K743" s="15">
        <f t="shared" si="330"/>
        <v>46042</v>
      </c>
      <c r="L743" s="15">
        <v>46029</v>
      </c>
      <c r="M743" s="15">
        <f t="shared" si="331"/>
        <v>46047</v>
      </c>
      <c r="N743" s="13">
        <v>46047</v>
      </c>
      <c r="O743" s="2" t="str">
        <f>IFERROR(IF(tblColetas[[#This Row],[Status Coleta]]="Reprovado","Reprovado",IF(ISERROR(SEARCH("Poço",D743)),IF(N743="","Erro",IF(Q743="Reprovado","",WORKDAY(N743,IF(D743="Operacional",10,3),FERIADOS!$A$3:$A$119))),"-")),"-")</f>
        <v>-</v>
      </c>
      <c r="P743" s="21"/>
      <c r="Q743" s="7" t="s">
        <v>37</v>
      </c>
      <c r="R743" s="13"/>
      <c r="S743" s="30"/>
      <c r="T743" s="43"/>
      <c r="W743" t="str">
        <f t="shared" si="332"/>
        <v>CDAPoço 7-BAZ-04Poço PVT</v>
      </c>
      <c r="X7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4" spans="1:24" ht="12.5" x14ac:dyDescent="0.25">
      <c r="A744" s="19"/>
      <c r="B744" s="19" t="s">
        <v>145</v>
      </c>
      <c r="C744" s="5" t="s">
        <v>212</v>
      </c>
      <c r="D744" s="20" t="s">
        <v>26</v>
      </c>
      <c r="E744" s="35"/>
      <c r="F744" s="29" cm="1">
        <f t="array" ref="F744">IF(V744 &lt;&gt; "", V744, IFERROR(_xlfn.SINGLE(INDEX($G$1:G743,SUMPRODUCT(MAX(($W$1:W743=W744)*(ROW($W$1:W743))))))+IF(D744="Fiscal",30,90),""))</f>
        <v>46030</v>
      </c>
      <c r="G744" s="21">
        <v>45997</v>
      </c>
      <c r="H744" s="15">
        <f t="shared" si="329"/>
        <v>46007</v>
      </c>
      <c r="I744" s="15">
        <v>46005</v>
      </c>
      <c r="J744" s="32" t="s">
        <v>243</v>
      </c>
      <c r="K744" s="15">
        <f t="shared" si="330"/>
        <v>46017</v>
      </c>
      <c r="L744" s="15">
        <v>46020</v>
      </c>
      <c r="M744" s="15">
        <f t="shared" si="331"/>
        <v>46022</v>
      </c>
      <c r="N744" s="13">
        <v>46022</v>
      </c>
      <c r="O744" s="2" t="str">
        <f>IFERROR(IF(tblColetas[[#This Row],[Status Coleta]]="Reprovado","Reprovado",IF(ISERROR(SEARCH("Poço",D744)),IF(N744="","Erro",IF(Q744="Reprovado","",WORKDAY(N744,IF(D744="Operacional",10,3),FERIADOS!$A$3:$A$119))),"-")),"-")</f>
        <v>-</v>
      </c>
      <c r="P744" s="21"/>
      <c r="Q744" s="7" t="s">
        <v>37</v>
      </c>
      <c r="R744" s="13"/>
      <c r="S744" s="30"/>
      <c r="T744" s="43"/>
      <c r="W744" t="str">
        <f t="shared" si="332"/>
        <v>ATDPoço 7-BUZ-85D-RJS (P-7)Poço CG</v>
      </c>
      <c r="X7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5" spans="1:24" ht="12.5" x14ac:dyDescent="0.25">
      <c r="A745" s="19"/>
      <c r="B745" s="19" t="s">
        <v>145</v>
      </c>
      <c r="C745" s="5" t="s">
        <v>212</v>
      </c>
      <c r="D745" s="20" t="s">
        <v>29</v>
      </c>
      <c r="E745" s="35"/>
      <c r="F745" s="29" cm="1">
        <f t="array" ref="F745">IF(V745 &lt;&gt; "", V745, IFERROR(_xlfn.SINGLE(INDEX($G$1:G744,SUMPRODUCT(MAX(($W$1:W744=W745)*(ROW($W$1:W744))))))+IF(D745="Fiscal",30,90),""))</f>
        <v>46030</v>
      </c>
      <c r="G745" s="21">
        <v>45997</v>
      </c>
      <c r="H745" s="15">
        <f t="shared" si="329"/>
        <v>46007</v>
      </c>
      <c r="I745" s="15">
        <v>46005</v>
      </c>
      <c r="J745" s="32" t="s">
        <v>243</v>
      </c>
      <c r="K745" s="15">
        <f t="shared" si="330"/>
        <v>46017</v>
      </c>
      <c r="L745" s="15">
        <v>46020</v>
      </c>
      <c r="M745" s="15">
        <f t="shared" si="331"/>
        <v>46022</v>
      </c>
      <c r="N745" s="13">
        <v>46022</v>
      </c>
      <c r="O745" s="2" t="str">
        <f>IFERROR(IF(tblColetas[[#This Row],[Status Coleta]]="Reprovado","Reprovado",IF(ISERROR(SEARCH("Poço",D745)),IF(N745="","Erro",IF(Q745="Reprovado","",WORKDAY(N745,IF(D745="Operacional",10,3),FERIADOS!$A$3:$A$119))),"-")),"-")</f>
        <v>-</v>
      </c>
      <c r="P745" s="21"/>
      <c r="Q745" s="7" t="s">
        <v>37</v>
      </c>
      <c r="R745" s="13"/>
      <c r="S745" s="30"/>
      <c r="T745" s="43"/>
      <c r="W745" t="str">
        <f t="shared" si="332"/>
        <v>ATDPoço 7-BUZ-85D-RJS (P-7)Poço PVT</v>
      </c>
      <c r="X7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6" spans="1:24" ht="12.5" x14ac:dyDescent="0.25">
      <c r="A746" s="19"/>
      <c r="B746" s="19" t="s">
        <v>192</v>
      </c>
      <c r="C746" s="5" t="s">
        <v>220</v>
      </c>
      <c r="D746" s="20" t="s">
        <v>70</v>
      </c>
      <c r="E746" s="35"/>
      <c r="F746" s="29" cm="1">
        <f t="array" ref="F746">IF(V746 &lt;&gt; "", V746, IFERROR(_xlfn.SINGLE(INDEX($G$1:G745,SUMPRODUCT(MAX(($W$1:W745=W746)*(ROW($W$1:W745))))))+IF(D746="Fiscal",30,90),""))</f>
        <v>46005</v>
      </c>
      <c r="G746" s="21">
        <v>45942</v>
      </c>
      <c r="H746" s="15">
        <f t="shared" ref="H746:H755" si="333">IF(G746="","Erro", G746+10)</f>
        <v>45952</v>
      </c>
      <c r="I746" s="15"/>
      <c r="J746" s="32"/>
      <c r="K746" s="15">
        <f t="shared" ref="K746:K755" si="334">IF(G746="","Erro",G746+20)</f>
        <v>45962</v>
      </c>
      <c r="L746" s="15"/>
      <c r="M746" s="15">
        <f t="shared" ref="M746:M755" si="335">IF(G746="","Erro",G746+IF(D746="Operacional",45,25))</f>
        <v>45967</v>
      </c>
      <c r="N746" s="13">
        <v>45967</v>
      </c>
      <c r="O746" s="2" t="str">
        <f>IFERROR(IF(tblColetas[[#This Row],[Status Coleta]]="Reprovado","Reprovado",IF(ISERROR(SEARCH("Poço",D746)),IF(N746="","Erro",IF(Q746="Reprovado","",WORKDAY(N746,IF(D746="Operacional",10,3),FERIADOS!$A$3:$A$119))),"-")),"-")</f>
        <v>Reprovado</v>
      </c>
      <c r="P746" s="21"/>
      <c r="Q746" s="7" t="s">
        <v>81</v>
      </c>
      <c r="R746" s="13"/>
      <c r="S746" s="30" t="s">
        <v>127</v>
      </c>
      <c r="T746" s="43"/>
      <c r="W746" t="str">
        <f t="shared" ref="W746:W755" si="336">B746&amp;C746&amp;D746</f>
        <v>ADG773-AP-0014 (Gas Lift)Gas Lift</v>
      </c>
      <c r="X7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7" spans="1:24" ht="12.5" x14ac:dyDescent="0.25">
      <c r="A747" s="19"/>
      <c r="B747" s="19" t="s">
        <v>46</v>
      </c>
      <c r="C747" s="5" t="s">
        <v>55</v>
      </c>
      <c r="D747" s="20" t="s">
        <v>26</v>
      </c>
      <c r="E747" s="35"/>
      <c r="F747" s="29" cm="1">
        <f t="array" ref="F747">IF(V747 &lt;&gt; "", V747, IFERROR(_xlfn.SINGLE(INDEX($G$1:G746,SUMPRODUCT(MAX(($W$1:W746=W747)*(ROW($W$1:W746))))))+IF(D747="Fiscal",30,90),""))</f>
        <v>46015</v>
      </c>
      <c r="G747" s="21">
        <v>46006</v>
      </c>
      <c r="H747" s="15">
        <f t="shared" si="333"/>
        <v>46016</v>
      </c>
      <c r="I747" s="15">
        <v>46012</v>
      </c>
      <c r="J747" s="32" t="s">
        <v>244</v>
      </c>
      <c r="K747" s="15">
        <f t="shared" si="334"/>
        <v>46026</v>
      </c>
      <c r="L747" s="15">
        <v>46022</v>
      </c>
      <c r="M747" s="15">
        <f t="shared" si="335"/>
        <v>46031</v>
      </c>
      <c r="N747" s="13">
        <v>46031</v>
      </c>
      <c r="O747" s="2" t="str">
        <f>IFERROR(IF(tblColetas[[#This Row],[Status Coleta]]="Reprovado","Reprovado",IF(ISERROR(SEARCH("Poço",D747)),IF(N747="","Erro",IF(Q747="Reprovado","",WORKDAY(N747,IF(D747="Operacional",10,3),FERIADOS!$A$3:$A$119))),"-")),"-")</f>
        <v>-</v>
      </c>
      <c r="P747" s="21"/>
      <c r="Q747" s="7" t="s">
        <v>37</v>
      </c>
      <c r="R747" s="13"/>
      <c r="S747" s="30"/>
      <c r="T747" s="43"/>
      <c r="W747" t="str">
        <f t="shared" si="336"/>
        <v>CDMPoço TUP-128 (P-06)Poço CG</v>
      </c>
      <c r="X7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8" spans="1:24" ht="12.5" x14ac:dyDescent="0.25">
      <c r="A748" s="19"/>
      <c r="B748" s="19" t="s">
        <v>46</v>
      </c>
      <c r="C748" s="5" t="s">
        <v>55</v>
      </c>
      <c r="D748" s="20" t="s">
        <v>29</v>
      </c>
      <c r="E748" s="35"/>
      <c r="F748" s="29" cm="1">
        <f t="array" ref="F748">IF(V748 &lt;&gt; "", V748, IFERROR(_xlfn.SINGLE(INDEX($G$1:G747,SUMPRODUCT(MAX(($W$1:W747=W748)*(ROW($W$1:W747))))))+IF(D748="Fiscal",30,90),""))</f>
        <v>46015</v>
      </c>
      <c r="G748" s="21">
        <v>46006</v>
      </c>
      <c r="H748" s="15">
        <f t="shared" si="333"/>
        <v>46016</v>
      </c>
      <c r="I748" s="15">
        <v>46012</v>
      </c>
      <c r="J748" s="32" t="s">
        <v>244</v>
      </c>
      <c r="K748" s="15">
        <f t="shared" si="334"/>
        <v>46026</v>
      </c>
      <c r="L748" s="15">
        <v>46022</v>
      </c>
      <c r="M748" s="15">
        <f t="shared" si="335"/>
        <v>46031</v>
      </c>
      <c r="N748" s="13">
        <v>46031</v>
      </c>
      <c r="O748" s="2" t="str">
        <f>IFERROR(IF(tblColetas[[#This Row],[Status Coleta]]="Reprovado","Reprovado",IF(ISERROR(SEARCH("Poço",D748)),IF(N748="","Erro",IF(Q748="Reprovado","",WORKDAY(N748,IF(D748="Operacional",10,3),FERIADOS!$A$3:$A$119))),"-")),"-")</f>
        <v>-</v>
      </c>
      <c r="P748" s="21"/>
      <c r="Q748" s="7" t="s">
        <v>37</v>
      </c>
      <c r="R748" s="13"/>
      <c r="S748" s="30"/>
      <c r="T748" s="43"/>
      <c r="W748" t="str">
        <f t="shared" si="336"/>
        <v>CDMPoço TUP-128 (P-06)Poço PVT</v>
      </c>
      <c r="X7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49" spans="1:24" ht="12.5" x14ac:dyDescent="0.25">
      <c r="A749" s="19"/>
      <c r="B749" s="19" t="s">
        <v>38</v>
      </c>
      <c r="C749" s="5" t="s">
        <v>96</v>
      </c>
      <c r="D749" s="20" t="s">
        <v>26</v>
      </c>
      <c r="E749" s="35"/>
      <c r="F749" s="29" cm="1">
        <f t="array" ref="F749">IF(V749 &lt;&gt; "", V749, IFERROR(_xlfn.SINGLE(INDEX($G$1:G748,SUMPRODUCT(MAX(($W$1:W748=W749)*(ROW($W$1:W748))))))+IF(D749="Fiscal",30,90),""))</f>
        <v>46030</v>
      </c>
      <c r="G749" s="21">
        <v>46016</v>
      </c>
      <c r="H749" s="15">
        <f t="shared" si="333"/>
        <v>46026</v>
      </c>
      <c r="I749" s="15">
        <v>46018</v>
      </c>
      <c r="J749" s="32" t="s">
        <v>233</v>
      </c>
      <c r="K749" s="15">
        <f t="shared" si="334"/>
        <v>46036</v>
      </c>
      <c r="L749" s="15">
        <v>46029</v>
      </c>
      <c r="M749" s="15">
        <f t="shared" si="335"/>
        <v>46041</v>
      </c>
      <c r="N749" s="13">
        <v>46041</v>
      </c>
      <c r="O749" s="2" t="str">
        <f>IFERROR(IF(tblColetas[[#This Row],[Status Coleta]]="Reprovado","Reprovado",IF(ISERROR(SEARCH("Poço",D749)),IF(N749="","Erro",IF(Q749="Reprovado","",WORKDAY(N749,IF(D749="Operacional",10,3),FERIADOS!$A$3:$A$119))),"-")),"-")</f>
        <v>-</v>
      </c>
      <c r="P749" s="21"/>
      <c r="Q749" s="7" t="s">
        <v>37</v>
      </c>
      <c r="R749" s="13"/>
      <c r="S749" s="30"/>
      <c r="T749" s="43"/>
      <c r="W749" t="str">
        <f t="shared" si="336"/>
        <v>CDPPoço TUP-120 (P-7)Poço CG</v>
      </c>
      <c r="X7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0" spans="1:24" ht="12.5" x14ac:dyDescent="0.25">
      <c r="A750" s="19"/>
      <c r="B750" s="19" t="s">
        <v>38</v>
      </c>
      <c r="C750" s="5" t="s">
        <v>96</v>
      </c>
      <c r="D750" s="20" t="s">
        <v>29</v>
      </c>
      <c r="E750" s="35"/>
      <c r="F750" s="29" cm="1">
        <f t="array" ref="F750">IF(V750 &lt;&gt; "", V750, IFERROR(_xlfn.SINGLE(INDEX($G$1:G749,SUMPRODUCT(MAX(($W$1:W749=W750)*(ROW($W$1:W749))))))+IF(D750="Fiscal",30,90),""))</f>
        <v>46030</v>
      </c>
      <c r="G750" s="21">
        <v>46016</v>
      </c>
      <c r="H750" s="15">
        <f t="shared" si="333"/>
        <v>46026</v>
      </c>
      <c r="I750" s="15">
        <v>46018</v>
      </c>
      <c r="J750" s="32" t="s">
        <v>233</v>
      </c>
      <c r="K750" s="15">
        <f t="shared" si="334"/>
        <v>46036</v>
      </c>
      <c r="L750" s="15">
        <v>46029</v>
      </c>
      <c r="M750" s="15">
        <f t="shared" si="335"/>
        <v>46041</v>
      </c>
      <c r="N750" s="13">
        <v>46041</v>
      </c>
      <c r="O750" s="2" t="str">
        <f>IFERROR(IF(tblColetas[[#This Row],[Status Coleta]]="Reprovado","Reprovado",IF(ISERROR(SEARCH("Poço",D750)),IF(N750="","Erro",IF(Q750="Reprovado","",WORKDAY(N750,IF(D750="Operacional",10,3),FERIADOS!$A$3:$A$119))),"-")),"-")</f>
        <v>-</v>
      </c>
      <c r="P750" s="21"/>
      <c r="Q750" s="7" t="s">
        <v>37</v>
      </c>
      <c r="R750" s="13"/>
      <c r="S750" s="30"/>
      <c r="T750" s="43"/>
      <c r="W750" t="str">
        <f t="shared" si="336"/>
        <v>CDPPoço TUP-120 (P-7)Poço PVT</v>
      </c>
      <c r="X7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1" spans="1:24" ht="12.5" x14ac:dyDescent="0.25">
      <c r="A751" s="19"/>
      <c r="B751" s="19" t="s">
        <v>192</v>
      </c>
      <c r="C751" s="5" t="s">
        <v>112</v>
      </c>
      <c r="D751" s="20" t="s">
        <v>72</v>
      </c>
      <c r="E751" s="35"/>
      <c r="F751" s="29" cm="1">
        <f t="array" ref="F751">IF(V751 &lt;&gt; "", V751, IFERROR(_xlfn.SINGLE(INDEX($G$1:G750,SUMPRODUCT(MAX(($W$1:W750=W751)*(ROW($W$1:W750))))))+IF(D751="Fiscal",30,90),""))</f>
        <v>45972</v>
      </c>
      <c r="G751" s="21">
        <v>45970</v>
      </c>
      <c r="H751" s="15">
        <f t="shared" si="333"/>
        <v>45980</v>
      </c>
      <c r="I751" s="15"/>
      <c r="J751" s="32"/>
      <c r="K751" s="15">
        <f t="shared" si="334"/>
        <v>45990</v>
      </c>
      <c r="L751" s="15"/>
      <c r="M751" s="15">
        <f t="shared" si="335"/>
        <v>45995</v>
      </c>
      <c r="N751" s="13">
        <v>45995</v>
      </c>
      <c r="O751" s="2">
        <f>IFERROR(IF(tblColetas[[#This Row],[Status Coleta]]="Reprovado","Reprovado",IF(ISERROR(SEARCH("Poço",D751)),IF(N751="","Erro",IF(Q751="Reprovado","",WORKDAY(N751,IF(D751="Operacional",10,3),FERIADOS!$A$3:$A$119))),"-")),"-")</f>
        <v>46000</v>
      </c>
      <c r="P751" s="21">
        <v>45999</v>
      </c>
      <c r="Q751" s="7" t="s">
        <v>37</v>
      </c>
      <c r="R751" s="13"/>
      <c r="S751" s="30"/>
      <c r="T751" s="43"/>
      <c r="W751" t="str">
        <f t="shared" si="336"/>
        <v>ADG776-AP-0006 (HP Flare)Fiscal</v>
      </c>
      <c r="X7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2" spans="1:24" ht="12.5" x14ac:dyDescent="0.25">
      <c r="A752" s="19"/>
      <c r="B752" s="19" t="s">
        <v>192</v>
      </c>
      <c r="C752" s="5" t="s">
        <v>193</v>
      </c>
      <c r="D752" s="20" t="s">
        <v>72</v>
      </c>
      <c r="E752" s="35"/>
      <c r="F752" s="29" cm="1">
        <f t="array" ref="F752">IF(V752 &lt;&gt; "", V752, IFERROR(_xlfn.SINGLE(INDEX($G$1:G751,SUMPRODUCT(MAX(($W$1:W751=W752)*(ROW($W$1:W751))))))+IF(D752="Fiscal",30,90),""))</f>
        <v>45972</v>
      </c>
      <c r="G752" s="21">
        <v>45970</v>
      </c>
      <c r="H752" s="15">
        <f t="shared" si="333"/>
        <v>45980</v>
      </c>
      <c r="I752" s="15"/>
      <c r="J752" s="32"/>
      <c r="K752" s="15">
        <f t="shared" si="334"/>
        <v>45990</v>
      </c>
      <c r="L752" s="15"/>
      <c r="M752" s="15">
        <f t="shared" si="335"/>
        <v>45995</v>
      </c>
      <c r="N752" s="13">
        <v>45995</v>
      </c>
      <c r="O752" s="2">
        <f>IFERROR(IF(tblColetas[[#This Row],[Status Coleta]]="Reprovado","Reprovado",IF(ISERROR(SEARCH("Poço",D752)),IF(N752="","Erro",IF(Q752="Reprovado","",WORKDAY(N752,IF(D752="Operacional",10,3),FERIADOS!$A$3:$A$119))),"-")),"-")</f>
        <v>46000</v>
      </c>
      <c r="P752" s="21">
        <v>45999</v>
      </c>
      <c r="Q752" s="7" t="s">
        <v>37</v>
      </c>
      <c r="R752" s="13"/>
      <c r="S752" s="30"/>
      <c r="T752" s="43"/>
      <c r="W752" t="str">
        <f t="shared" si="336"/>
        <v>ADG776-AP-0026 (LP Flare)Fiscal</v>
      </c>
      <c r="X7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3" spans="1:24" ht="12.5" x14ac:dyDescent="0.25">
      <c r="A753" s="19"/>
      <c r="B753" s="19" t="s">
        <v>192</v>
      </c>
      <c r="C753" s="5" t="s">
        <v>194</v>
      </c>
      <c r="D753" s="20" t="s">
        <v>72</v>
      </c>
      <c r="E753" s="35"/>
      <c r="F753" s="29" cm="1">
        <f t="array" ref="F753">IF(V753 &lt;&gt; "", V753, IFERROR(_xlfn.SINGLE(INDEX($G$1:G752,SUMPRODUCT(MAX(($W$1:W752=W753)*(ROW($W$1:W752))))))+IF(D753="Fiscal",30,90),""))</f>
        <v>45972</v>
      </c>
      <c r="G753" s="21">
        <v>45970</v>
      </c>
      <c r="H753" s="15">
        <f t="shared" si="333"/>
        <v>45980</v>
      </c>
      <c r="I753" s="15"/>
      <c r="J753" s="32"/>
      <c r="K753" s="15">
        <f t="shared" si="334"/>
        <v>45990</v>
      </c>
      <c r="L753" s="15"/>
      <c r="M753" s="15">
        <f t="shared" si="335"/>
        <v>45995</v>
      </c>
      <c r="N753" s="13">
        <v>45995</v>
      </c>
      <c r="O753" s="2" t="str">
        <f>IFERROR(IF(tblColetas[[#This Row],[Status Coleta]]="Reprovado","Reprovado",IF(ISERROR(SEARCH("Poço",D753)),IF(N753="","Erro",IF(Q753="Reprovado","",WORKDAY(N753,IF(D753="Operacional",10,3),FERIADOS!$A$3:$A$119))),"-")),"-")</f>
        <v>Reprovado</v>
      </c>
      <c r="P753" s="21"/>
      <c r="Q753" s="7" t="s">
        <v>81</v>
      </c>
      <c r="R753" s="13"/>
      <c r="S753" s="30"/>
      <c r="T753" s="43"/>
      <c r="W753" t="str">
        <f t="shared" si="336"/>
        <v>ADG777-AP-1212 (Fuel Gas)Fiscal</v>
      </c>
      <c r="X7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4" spans="1:24" ht="12.5" x14ac:dyDescent="0.25">
      <c r="A754" s="19"/>
      <c r="B754" s="19" t="s">
        <v>192</v>
      </c>
      <c r="C754" s="5" t="s">
        <v>195</v>
      </c>
      <c r="D754" s="20" t="s">
        <v>72</v>
      </c>
      <c r="E754" s="35"/>
      <c r="F754" s="29" cm="1">
        <f t="array" ref="F754">IF(V754 &lt;&gt; "", V754, IFERROR(_xlfn.SINGLE(INDEX($G$1:G753,SUMPRODUCT(MAX(($W$1:W753=W754)*(ROW($W$1:W753))))))+IF(D754="Fiscal",30,90),""))</f>
        <v>45972</v>
      </c>
      <c r="G754" s="21">
        <v>45970</v>
      </c>
      <c r="H754" s="15">
        <f t="shared" si="333"/>
        <v>45980</v>
      </c>
      <c r="I754" s="15"/>
      <c r="J754" s="32"/>
      <c r="K754" s="15">
        <f t="shared" si="334"/>
        <v>45990</v>
      </c>
      <c r="L754" s="15"/>
      <c r="M754" s="15">
        <f t="shared" si="335"/>
        <v>45995</v>
      </c>
      <c r="N754" s="13">
        <v>45995</v>
      </c>
      <c r="O754" s="2">
        <f>IFERROR(IF(tblColetas[[#This Row],[Status Coleta]]="Reprovado","Reprovado",IF(ISERROR(SEARCH("Poço",D754)),IF(N754="","Erro",IF(Q754="Reprovado","",WORKDAY(N754,IF(D754="Operacional",10,3),FERIADOS!$A$3:$A$119))),"-")),"-")</f>
        <v>46000</v>
      </c>
      <c r="P754" s="21">
        <v>45999</v>
      </c>
      <c r="Q754" s="7" t="s">
        <v>37</v>
      </c>
      <c r="R754" s="13"/>
      <c r="S754" s="30"/>
      <c r="T754" s="43"/>
      <c r="W754" t="str">
        <f t="shared" si="336"/>
        <v>ADG771-AP-0225 (Flare Assist)Fiscal</v>
      </c>
      <c r="X7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5" spans="1:24" ht="12.5" x14ac:dyDescent="0.25">
      <c r="A755" s="19"/>
      <c r="B755" s="19" t="s">
        <v>192</v>
      </c>
      <c r="C755" s="5" t="s">
        <v>220</v>
      </c>
      <c r="D755" s="20" t="s">
        <v>70</v>
      </c>
      <c r="E755" s="35"/>
      <c r="F755" s="29" cm="1">
        <f t="array" ref="F755">IF(V755 &lt;&gt; "", V755, IFERROR(_xlfn.SINGLE(INDEX($G$1:G754,SUMPRODUCT(MAX(($W$1:W754=W755)*(ROW($W$1:W754))))))+IF(D755="Fiscal",30,90),""))</f>
        <v>46032</v>
      </c>
      <c r="G755" s="21">
        <v>45999</v>
      </c>
      <c r="H755" s="15">
        <f t="shared" si="333"/>
        <v>46009</v>
      </c>
      <c r="I755" s="15"/>
      <c r="J755" s="32"/>
      <c r="K755" s="15">
        <f t="shared" si="334"/>
        <v>46019</v>
      </c>
      <c r="L755" s="15"/>
      <c r="M755" s="15">
        <f t="shared" si="335"/>
        <v>46024</v>
      </c>
      <c r="N755" s="13">
        <v>46021</v>
      </c>
      <c r="O755" s="2" t="str">
        <f>IFERROR(IF(tblColetas[[#This Row],[Status Coleta]]="Reprovado","Reprovado",IF(ISERROR(SEARCH("Poço",D755)),IF(N755="","Erro",IF(Q755="Reprovado","",WORKDAY(N755,IF(D755="Operacional",10,3),FERIADOS!$A$3:$A$119))),"-")),"-")</f>
        <v>Reprovado</v>
      </c>
      <c r="P755" s="21"/>
      <c r="Q755" s="7" t="s">
        <v>81</v>
      </c>
      <c r="R755" s="13"/>
      <c r="S755" s="30"/>
      <c r="T755" s="43"/>
      <c r="W755" t="str">
        <f t="shared" si="336"/>
        <v>ADG773-AP-0014 (Gas Lift)Gas Lift</v>
      </c>
      <c r="X7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6" spans="1:24" ht="12.5" x14ac:dyDescent="0.25">
      <c r="A756" s="19"/>
      <c r="B756" s="19" t="s">
        <v>145</v>
      </c>
      <c r="C756" s="5" t="s">
        <v>166</v>
      </c>
      <c r="D756" s="20" t="s">
        <v>26</v>
      </c>
      <c r="E756" s="35"/>
      <c r="F756" s="29" cm="1">
        <f t="array" ref="F756">IF(V756 &lt;&gt; "", V756, IFERROR(_xlfn.SINGLE(INDEX($G$1:G755,SUMPRODUCT(MAX(($W$1:W755=W756)*(ROW($W$1:W755))))))+IF(D756="Fiscal",30,90),""))</f>
        <v>46033</v>
      </c>
      <c r="G756" s="21">
        <v>45971</v>
      </c>
      <c r="H756" s="15">
        <f t="shared" ref="H756:H766" si="337">IF(G756="","Erro", G756+10)</f>
        <v>45981</v>
      </c>
      <c r="I756" s="15">
        <v>45980</v>
      </c>
      <c r="J756" s="32"/>
      <c r="K756" s="15">
        <f t="shared" ref="K756:K766" si="338">IF(G756="","Erro",G756+20)</f>
        <v>45991</v>
      </c>
      <c r="L756" s="15">
        <v>45986</v>
      </c>
      <c r="M756" s="15">
        <f t="shared" ref="M756:M766" si="339">IF(G756="","Erro",G756+IF(D756="Operacional",45,25))</f>
        <v>45996</v>
      </c>
      <c r="N756" s="13">
        <v>45996</v>
      </c>
      <c r="O756" s="2" t="str">
        <f>IFERROR(IF(tblColetas[[#This Row],[Status Coleta]]="Reprovado","Reprovado",IF(ISERROR(SEARCH("Poço",D756)),IF(N756="","Erro",IF(Q756="Reprovado","",WORKDAY(N756,IF(D756="Operacional",10,3),FERIADOS!$A$3:$A$119))),"-")),"-")</f>
        <v>-</v>
      </c>
      <c r="P756" s="21"/>
      <c r="Q756" s="7" t="s">
        <v>37</v>
      </c>
      <c r="R756" s="13"/>
      <c r="S756" s="30"/>
      <c r="T756" s="43"/>
      <c r="W756" t="str">
        <f t="shared" ref="W756:W766" si="340">B756&amp;C756&amp;D756</f>
        <v>ATDPoço 7-BUZ-74D-RJS (P-5)Poço CG</v>
      </c>
      <c r="X7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7" spans="1:24" ht="12.5" x14ac:dyDescent="0.25">
      <c r="A757" s="19"/>
      <c r="B757" s="19" t="s">
        <v>145</v>
      </c>
      <c r="C757" s="5" t="s">
        <v>166</v>
      </c>
      <c r="D757" s="20" t="s">
        <v>29</v>
      </c>
      <c r="E757" s="35"/>
      <c r="F757" s="29" cm="1">
        <f t="array" ref="F757">IF(V757 &lt;&gt; "", V757, IFERROR(_xlfn.SINGLE(INDEX($G$1:G756,SUMPRODUCT(MAX(($W$1:W756=W757)*(ROW($W$1:W756))))))+IF(D757="Fiscal",30,90),""))</f>
        <v>46033</v>
      </c>
      <c r="G757" s="21">
        <v>45971</v>
      </c>
      <c r="H757" s="15">
        <f t="shared" si="337"/>
        <v>45981</v>
      </c>
      <c r="I757" s="15">
        <v>45980</v>
      </c>
      <c r="J757" s="32"/>
      <c r="K757" s="15">
        <f t="shared" si="338"/>
        <v>45991</v>
      </c>
      <c r="L757" s="15">
        <v>45986</v>
      </c>
      <c r="M757" s="15">
        <f t="shared" si="339"/>
        <v>45996</v>
      </c>
      <c r="N757" s="13">
        <v>45996</v>
      </c>
      <c r="O757" s="2" t="str">
        <f>IFERROR(IF(tblColetas[[#This Row],[Status Coleta]]="Reprovado","Reprovado",IF(ISERROR(SEARCH("Poço",D757)),IF(N757="","Erro",IF(Q757="Reprovado","",WORKDAY(N757,IF(D757="Operacional",10,3),FERIADOS!$A$3:$A$119))),"-")),"-")</f>
        <v>-</v>
      </c>
      <c r="P757" s="21"/>
      <c r="Q757" s="7" t="s">
        <v>37</v>
      </c>
      <c r="R757" s="13"/>
      <c r="S757" s="30"/>
      <c r="T757" s="43"/>
      <c r="W757" t="str">
        <f t="shared" si="340"/>
        <v>ATDPoço 7-BUZ-74D-RJS (P-5)Poço PVT</v>
      </c>
      <c r="X7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8" spans="1:24" ht="12.5" x14ac:dyDescent="0.25">
      <c r="A758" s="19"/>
      <c r="B758" s="19" t="s">
        <v>52</v>
      </c>
      <c r="C758" s="5" t="s">
        <v>53</v>
      </c>
      <c r="D758" s="20" t="s">
        <v>29</v>
      </c>
      <c r="E758" s="35"/>
      <c r="F758" s="29" cm="1">
        <f t="array" ref="F758">IF(V758 &lt;&gt; "", V758, IFERROR(_xlfn.SINGLE(INDEX($G$1:G757,SUMPRODUCT(MAX(($W$1:W757=W758)*(ROW($W$1:W757))))))+IF(D758="Fiscal",30,90),""))</f>
        <v>46035</v>
      </c>
      <c r="G758" s="21">
        <v>46014</v>
      </c>
      <c r="H758" s="15">
        <f t="shared" si="337"/>
        <v>46024</v>
      </c>
      <c r="I758" s="15">
        <v>46015</v>
      </c>
      <c r="J758" s="32" t="s">
        <v>245</v>
      </c>
      <c r="K758" s="15">
        <f t="shared" si="338"/>
        <v>46034</v>
      </c>
      <c r="L758" s="15">
        <v>46029</v>
      </c>
      <c r="M758" s="15">
        <f t="shared" si="339"/>
        <v>46039</v>
      </c>
      <c r="N758" s="13">
        <v>46031</v>
      </c>
      <c r="O758" s="2" t="str">
        <f>IFERROR(IF(tblColetas[[#This Row],[Status Coleta]]="Reprovado","Reprovado",IF(ISERROR(SEARCH("Poço",D758)),IF(N758="","Erro",IF(Q758="Reprovado","",WORKDAY(N758,IF(D758="Operacional",10,3),FERIADOS!$A$3:$A$119))),"-")),"-")</f>
        <v>-</v>
      </c>
      <c r="P758" s="21"/>
      <c r="Q758" s="7" t="s">
        <v>37</v>
      </c>
      <c r="R758" s="13"/>
      <c r="S758" s="30"/>
      <c r="T758" s="43"/>
      <c r="W758" t="str">
        <f t="shared" si="340"/>
        <v>SEPPoço MRO-27  P-8Poço PVT</v>
      </c>
      <c r="X7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59" spans="1:24" ht="12.5" x14ac:dyDescent="0.25">
      <c r="A759" s="19"/>
      <c r="B759" s="19" t="s">
        <v>38</v>
      </c>
      <c r="C759" s="5" t="s">
        <v>41</v>
      </c>
      <c r="D759" s="20" t="s">
        <v>26</v>
      </c>
      <c r="E759" s="35"/>
      <c r="F759" s="29" cm="1">
        <f t="array" ref="F759">IF(V759 &lt;&gt; "", V759, IFERROR(_xlfn.SINGLE(INDEX($G$1:G758,SUMPRODUCT(MAX(($W$1:W758=W759)*(ROW($W$1:W758))))))+IF(D759="Fiscal",30,90),""))</f>
        <v>46034</v>
      </c>
      <c r="G759" s="21">
        <v>45957</v>
      </c>
      <c r="H759" s="15">
        <f t="shared" si="337"/>
        <v>45967</v>
      </c>
      <c r="I759" s="15">
        <v>45953</v>
      </c>
      <c r="J759" s="32" t="s">
        <v>213</v>
      </c>
      <c r="K759" s="15">
        <f t="shared" si="338"/>
        <v>45977</v>
      </c>
      <c r="L759" s="15">
        <v>45968</v>
      </c>
      <c r="M759" s="15">
        <f t="shared" si="339"/>
        <v>45982</v>
      </c>
      <c r="N759" s="13">
        <v>45982</v>
      </c>
      <c r="O759" s="2" t="str">
        <f>IFERROR(IF(tblColetas[[#This Row],[Status Coleta]]="Reprovado","Reprovado",IF(ISERROR(SEARCH("Poço",D759)),IF(N759="","Erro",IF(Q759="Reprovado","",WORKDAY(N759,IF(D759="Operacional",10,3),FERIADOS!$A$3:$A$119))),"-")),"-")</f>
        <v>-</v>
      </c>
      <c r="P759" s="21"/>
      <c r="Q759" s="7"/>
      <c r="R759" s="13"/>
      <c r="S759" s="30"/>
      <c r="T759" s="43"/>
      <c r="W759" t="str">
        <f t="shared" si="340"/>
        <v>CDPPoço LL-15 (P-3)Poço CG</v>
      </c>
      <c r="X7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0" spans="1:24" ht="12.5" x14ac:dyDescent="0.25">
      <c r="A760" s="19"/>
      <c r="B760" s="19" t="s">
        <v>38</v>
      </c>
      <c r="C760" s="5" t="s">
        <v>41</v>
      </c>
      <c r="D760" s="20" t="s">
        <v>29</v>
      </c>
      <c r="E760" s="35"/>
      <c r="F760" s="29" cm="1">
        <f t="array" ref="F760">IF(V760 &lt;&gt; "", V760, IFERROR(_xlfn.SINGLE(INDEX($G$1:G759,SUMPRODUCT(MAX(($W$1:W759=W760)*(ROW($W$1:W759))))))+IF(D760="Fiscal",30,90),""))</f>
        <v>46034</v>
      </c>
      <c r="G760" s="21">
        <v>45957</v>
      </c>
      <c r="H760" s="15">
        <f t="shared" si="337"/>
        <v>45967</v>
      </c>
      <c r="I760" s="15">
        <v>45953</v>
      </c>
      <c r="J760" s="32" t="s">
        <v>213</v>
      </c>
      <c r="K760" s="15">
        <f t="shared" si="338"/>
        <v>45977</v>
      </c>
      <c r="L760" s="15">
        <v>45968</v>
      </c>
      <c r="M760" s="15">
        <f t="shared" si="339"/>
        <v>45982</v>
      </c>
      <c r="N760" s="13">
        <v>45982</v>
      </c>
      <c r="O760" s="2" t="str">
        <f>IFERROR(IF(tblColetas[[#This Row],[Status Coleta]]="Reprovado","Reprovado",IF(ISERROR(SEARCH("Poço",D760)),IF(N760="","Erro",IF(Q760="Reprovado","",WORKDAY(N760,IF(D760="Operacional",10,3),FERIADOS!$A$3:$A$119))),"-")),"-")</f>
        <v>-</v>
      </c>
      <c r="P760" s="21"/>
      <c r="Q760" s="7"/>
      <c r="R760" s="13"/>
      <c r="S760" s="30"/>
      <c r="T760" s="43"/>
      <c r="W760" t="str">
        <f t="shared" si="340"/>
        <v>CDPPoço LL-15 (P-3)Poço PVT</v>
      </c>
      <c r="X7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1" spans="1:24" ht="12.5" x14ac:dyDescent="0.25">
      <c r="A761" s="8"/>
      <c r="B761" s="8" t="s">
        <v>46</v>
      </c>
      <c r="C761" s="5" t="s">
        <v>47</v>
      </c>
      <c r="D761" s="9" t="s">
        <v>26</v>
      </c>
      <c r="E761" s="36"/>
      <c r="F761" s="29" cm="1">
        <f t="array" ref="F761">IF(V761 &lt;&gt; "", V761, IFERROR(_xlfn.SINGLE(INDEX($G$1:G760,SUMPRODUCT(MAX(($W$1:W760=W761)*(ROW($W$1:W760))))))+IF(D761="Fiscal",30,90),""))</f>
        <v>46041</v>
      </c>
      <c r="G761" s="13">
        <v>46030</v>
      </c>
      <c r="H761" s="15">
        <f t="shared" si="337"/>
        <v>46040</v>
      </c>
      <c r="I761" s="15">
        <v>46040</v>
      </c>
      <c r="J761" s="32" t="s">
        <v>246</v>
      </c>
      <c r="K761" s="15">
        <f t="shared" si="338"/>
        <v>46050</v>
      </c>
      <c r="L761" s="15">
        <v>46049</v>
      </c>
      <c r="M761" s="15">
        <f t="shared" si="339"/>
        <v>46055</v>
      </c>
      <c r="N761" s="13">
        <v>46055</v>
      </c>
      <c r="O761" s="2" t="str">
        <f>IFERROR(IF(tblColetas[[#This Row],[Status Coleta]]="Reprovado","Reprovado",IF(ISERROR(SEARCH("Poço",D761)),IF(N761="","Erro",IF(Q761="Reprovado","",WORKDAY(N761,IF(D761="Operacional",10,3),FERIADOS!$A$3:$A$119))),"-")),"-")</f>
        <v>-</v>
      </c>
      <c r="P761" s="13"/>
      <c r="Q761" s="7"/>
      <c r="R761" s="13"/>
      <c r="S761" s="30"/>
      <c r="T761" s="43"/>
      <c r="W761" t="str">
        <f t="shared" si="340"/>
        <v>CDMPoço LL-87 (P-14)Poço CG</v>
      </c>
      <c r="X7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2" spans="1:24" ht="12.5" x14ac:dyDescent="0.25">
      <c r="A762" s="8"/>
      <c r="B762" s="8" t="s">
        <v>46</v>
      </c>
      <c r="C762" s="5" t="s">
        <v>47</v>
      </c>
      <c r="D762" s="9" t="s">
        <v>29</v>
      </c>
      <c r="E762" s="36"/>
      <c r="F762" s="29" cm="1">
        <f t="array" ref="F762">IF(V762 &lt;&gt; "", V762, IFERROR(_xlfn.SINGLE(INDEX($G$1:G761,SUMPRODUCT(MAX(($W$1:W761=W762)*(ROW($W$1:W761))))))+IF(D762="Fiscal",30,90),""))</f>
        <v>46041</v>
      </c>
      <c r="G762" s="13">
        <v>46030</v>
      </c>
      <c r="H762" s="15">
        <f t="shared" si="337"/>
        <v>46040</v>
      </c>
      <c r="I762" s="15">
        <v>46040</v>
      </c>
      <c r="J762" s="32" t="s">
        <v>246</v>
      </c>
      <c r="K762" s="15">
        <f t="shared" si="338"/>
        <v>46050</v>
      </c>
      <c r="L762" s="15">
        <v>46049</v>
      </c>
      <c r="M762" s="15">
        <f t="shared" si="339"/>
        <v>46055</v>
      </c>
      <c r="N762" s="13">
        <v>46055</v>
      </c>
      <c r="O762" s="2" t="str">
        <f>IFERROR(IF(tblColetas[[#This Row],[Status Coleta]]="Reprovado","Reprovado",IF(ISERROR(SEARCH("Poço",D762)),IF(N762="","Erro",IF(Q762="Reprovado","",WORKDAY(N762,IF(D762="Operacional",10,3),FERIADOS!$A$3:$A$119))),"-")),"-")</f>
        <v>-</v>
      </c>
      <c r="P762" s="13"/>
      <c r="Q762" s="7"/>
      <c r="R762" s="13"/>
      <c r="S762" s="30"/>
      <c r="T762" s="43"/>
      <c r="W762" t="str">
        <f t="shared" si="340"/>
        <v>CDMPoço LL-87 (P-14)Poço PVT</v>
      </c>
      <c r="X7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3" spans="1:24" ht="12.5" x14ac:dyDescent="0.25">
      <c r="A763" s="8"/>
      <c r="B763" s="8" t="s">
        <v>34</v>
      </c>
      <c r="C763" s="5" t="s">
        <v>67</v>
      </c>
      <c r="D763" s="9" t="s">
        <v>26</v>
      </c>
      <c r="E763" s="36"/>
      <c r="F763" s="29" cm="1">
        <f t="array" ref="F763">IF(V763 &lt;&gt; "", V763, IFERROR(_xlfn.SINGLE(INDEX($G$1:G762,SUMPRODUCT(MAX(($W$1:W762=W763)*(ROW($W$1:W762))))))+IF(D763="Fiscal",30,90),""))</f>
        <v>46038</v>
      </c>
      <c r="G763" s="13">
        <v>46015</v>
      </c>
      <c r="H763" s="15">
        <f t="shared" si="337"/>
        <v>46025</v>
      </c>
      <c r="I763" s="15">
        <v>46021</v>
      </c>
      <c r="J763" s="32" t="s">
        <v>247</v>
      </c>
      <c r="K763" s="15">
        <f t="shared" si="338"/>
        <v>46035</v>
      </c>
      <c r="L763" s="15">
        <v>46030</v>
      </c>
      <c r="M763" s="15">
        <f t="shared" si="339"/>
        <v>46040</v>
      </c>
      <c r="N763" s="13">
        <v>46038</v>
      </c>
      <c r="O763" s="2" t="str">
        <f>IFERROR(IF(tblColetas[[#This Row],[Status Coleta]]="Reprovado","Reprovado",IF(ISERROR(SEARCH("Poço",D763)),IF(N763="","Erro",IF(Q763="Reprovado","",WORKDAY(N763,IF(D763="Operacional",10,3),FERIADOS!$A$3:$A$119))),"-")),"-")</f>
        <v>-</v>
      </c>
      <c r="P763" s="13"/>
      <c r="Q763" s="7" t="s">
        <v>37</v>
      </c>
      <c r="R763" s="13"/>
      <c r="S763" s="30"/>
      <c r="T763" s="43"/>
      <c r="W763" t="str">
        <f t="shared" si="340"/>
        <v>CDSPoço LL-81 (P-09)Poço CG</v>
      </c>
      <c r="X7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4" spans="1:24" ht="12.5" x14ac:dyDescent="0.25">
      <c r="A764" s="8"/>
      <c r="B764" s="8" t="s">
        <v>34</v>
      </c>
      <c r="C764" s="5" t="s">
        <v>67</v>
      </c>
      <c r="D764" s="9" t="s">
        <v>29</v>
      </c>
      <c r="E764" s="36"/>
      <c r="F764" s="29" cm="1">
        <f t="array" ref="F764">IF(V764 &lt;&gt; "", V764, IFERROR(_xlfn.SINGLE(INDEX($G$1:G763,SUMPRODUCT(MAX(($W$1:W763=W764)*(ROW($W$1:W763))))))+IF(D764="Fiscal",30,90),""))</f>
        <v>46038</v>
      </c>
      <c r="G764" s="13">
        <v>46015</v>
      </c>
      <c r="H764" s="15">
        <f t="shared" si="337"/>
        <v>46025</v>
      </c>
      <c r="I764" s="15">
        <v>46021</v>
      </c>
      <c r="J764" s="32" t="s">
        <v>247</v>
      </c>
      <c r="K764" s="15">
        <f t="shared" si="338"/>
        <v>46035</v>
      </c>
      <c r="L764" s="15">
        <v>46030</v>
      </c>
      <c r="M764" s="15">
        <f t="shared" si="339"/>
        <v>46040</v>
      </c>
      <c r="N764" s="13">
        <v>46038</v>
      </c>
      <c r="O764" s="2" t="str">
        <f>IFERROR(IF(tblColetas[[#This Row],[Status Coleta]]="Reprovado","Reprovado",IF(ISERROR(SEARCH("Poço",D764)),IF(N764="","Erro",IF(Q764="Reprovado","",WORKDAY(N764,IF(D764="Operacional",10,3),FERIADOS!$A$3:$A$119))),"-")),"-")</f>
        <v>-</v>
      </c>
      <c r="P764" s="13"/>
      <c r="Q764" s="7" t="s">
        <v>37</v>
      </c>
      <c r="R764" s="13"/>
      <c r="S764" s="30"/>
      <c r="T764" s="43"/>
      <c r="W764" t="str">
        <f t="shared" si="340"/>
        <v>CDSPoço LL-81 (P-09)Poço PVT</v>
      </c>
      <c r="X7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5" spans="1:24" ht="12.5" x14ac:dyDescent="0.25">
      <c r="A765" s="8"/>
      <c r="B765" s="8" t="s">
        <v>34</v>
      </c>
      <c r="C765" s="5" t="s">
        <v>89</v>
      </c>
      <c r="D765" s="9" t="s">
        <v>26</v>
      </c>
      <c r="E765" s="36"/>
      <c r="F765" s="29" cm="1">
        <f t="array" ref="F765">IF(V765 &lt;&gt; "", V765, IFERROR(_xlfn.SINGLE(INDEX($G$1:G764,SUMPRODUCT(MAX(($W$1:W764=W765)*(ROW($W$1:W764))))))+IF(D765="Fiscal",30,90),""))</f>
        <v>46043</v>
      </c>
      <c r="G765" s="13">
        <v>46032</v>
      </c>
      <c r="H765" s="15">
        <f t="shared" si="337"/>
        <v>46042</v>
      </c>
      <c r="I765" s="15">
        <v>46042</v>
      </c>
      <c r="J765" s="32" t="s">
        <v>237</v>
      </c>
      <c r="K765" s="15">
        <f t="shared" si="338"/>
        <v>46052</v>
      </c>
      <c r="L765" s="15">
        <v>46052</v>
      </c>
      <c r="M765" s="15">
        <f t="shared" si="339"/>
        <v>46057</v>
      </c>
      <c r="N765" s="13">
        <v>46057</v>
      </c>
      <c r="O765" s="2" t="str">
        <f>IFERROR(IF(tblColetas[[#This Row],[Status Coleta]]="Reprovado","Reprovado",IF(ISERROR(SEARCH("Poço",D765)),IF(N765="","Erro",IF(Q765="Reprovado","",WORKDAY(N765,IF(D765="Operacional",10,3),FERIADOS!$A$3:$A$119))),"-")),"-")</f>
        <v>-</v>
      </c>
      <c r="P765" s="13"/>
      <c r="Q765" s="7"/>
      <c r="R765" s="13"/>
      <c r="S765" s="30"/>
      <c r="T765" s="43"/>
      <c r="W765" t="str">
        <f t="shared" si="340"/>
        <v>CDSPoço LL-46 (P-01)Poço CG</v>
      </c>
      <c r="X7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6" spans="1:24" ht="12.5" x14ac:dyDescent="0.25">
      <c r="A766" s="8"/>
      <c r="B766" s="8" t="s">
        <v>34</v>
      </c>
      <c r="C766" s="5" t="s">
        <v>89</v>
      </c>
      <c r="D766" s="9" t="s">
        <v>29</v>
      </c>
      <c r="E766" s="36"/>
      <c r="F766" s="29" cm="1">
        <f t="array" ref="F766">IF(V766 &lt;&gt; "", V766, IFERROR(_xlfn.SINGLE(INDEX($G$1:G765,SUMPRODUCT(MAX(($W$1:W765=W766)*(ROW($W$1:W765))))))+IF(D766="Fiscal",30,90),""))</f>
        <v>46043</v>
      </c>
      <c r="G766" s="13">
        <v>46032</v>
      </c>
      <c r="H766" s="15">
        <f t="shared" si="337"/>
        <v>46042</v>
      </c>
      <c r="I766" s="15">
        <v>46042</v>
      </c>
      <c r="J766" s="32" t="s">
        <v>237</v>
      </c>
      <c r="K766" s="15">
        <f t="shared" si="338"/>
        <v>46052</v>
      </c>
      <c r="L766" s="15">
        <v>46052</v>
      </c>
      <c r="M766" s="15">
        <f t="shared" si="339"/>
        <v>46057</v>
      </c>
      <c r="N766" s="13">
        <v>46057</v>
      </c>
      <c r="O766" s="2" t="str">
        <f>IFERROR(IF(tblColetas[[#This Row],[Status Coleta]]="Reprovado","Reprovado",IF(ISERROR(SEARCH("Poço",D766)),IF(N766="","Erro",IF(Q766="Reprovado","",WORKDAY(N766,IF(D766="Operacional",10,3),FERIADOS!$A$3:$A$119))),"-")),"-")</f>
        <v>-</v>
      </c>
      <c r="P766" s="13"/>
      <c r="Q766" s="7"/>
      <c r="R766" s="13"/>
      <c r="S766" s="30"/>
      <c r="T766" s="43"/>
      <c r="W766" t="str">
        <f t="shared" si="340"/>
        <v>CDSPoço LL-46 (P-01)Poço PVT</v>
      </c>
      <c r="X7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7" spans="1:24" ht="12.5" x14ac:dyDescent="0.25">
      <c r="A767" s="19"/>
      <c r="B767" s="19" t="s">
        <v>38</v>
      </c>
      <c r="C767" s="5" t="s">
        <v>74</v>
      </c>
      <c r="D767" s="20" t="s">
        <v>72</v>
      </c>
      <c r="E767" s="35"/>
      <c r="F767" s="29" cm="1">
        <f t="array" ref="F767">IF(V767 &lt;&gt; "", V767, IFERROR(_xlfn.SINGLE(INDEX($G$1:G766,SUMPRODUCT(MAX(($W$1:W766=W767)*(ROW($W$1:W766))))))+IF(D767="Fiscal",30,90),""))</f>
        <v>45984</v>
      </c>
      <c r="G767" s="21">
        <v>45982</v>
      </c>
      <c r="H767" s="15">
        <f t="shared" ref="H767:H775" si="341">IF(G767="","Erro", G767+10)</f>
        <v>45992</v>
      </c>
      <c r="I767" s="15"/>
      <c r="J767" s="32"/>
      <c r="K767" s="15">
        <f t="shared" ref="K767:K775" si="342">IF(G767="","Erro",G767+20)</f>
        <v>46002</v>
      </c>
      <c r="L767" s="15"/>
      <c r="M767" s="15">
        <f t="shared" ref="M767:M775" si="343">IF(G767="","Erro",G767+IF(D767="Operacional",45,25))</f>
        <v>46007</v>
      </c>
      <c r="N767" s="13">
        <v>46006</v>
      </c>
      <c r="O767" s="2">
        <f>IFERROR(IF(tblColetas[[#This Row],[Status Coleta]]="Reprovado","Reprovado",IF(ISERROR(SEARCH("Poço",D767)),IF(N767="","Erro",IF(Q767="Reprovado","",WORKDAY(N767,IF(D767="Operacional",10,3),FERIADOS!$A$3:$A$119))),"-")),"-")</f>
        <v>46009</v>
      </c>
      <c r="P767" s="21">
        <v>46008</v>
      </c>
      <c r="Q767" s="7" t="s">
        <v>37</v>
      </c>
      <c r="R767" s="13"/>
      <c r="S767" s="30"/>
      <c r="T767" s="43"/>
      <c r="W767" t="str">
        <f t="shared" ref="W767:W775" si="344">B767&amp;C767&amp;D767</f>
        <v>CDPT76-FT-0014 (HP Flare)Fiscal</v>
      </c>
      <c r="X7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8" spans="1:24" ht="12.5" x14ac:dyDescent="0.25">
      <c r="A768" s="19"/>
      <c r="B768" s="19" t="s">
        <v>38</v>
      </c>
      <c r="C768" s="5" t="s">
        <v>75</v>
      </c>
      <c r="D768" s="20" t="s">
        <v>72</v>
      </c>
      <c r="E768" s="35"/>
      <c r="F768" s="29" cm="1">
        <f t="array" ref="F768">IF(V768 &lt;&gt; "", V768, IFERROR(_xlfn.SINGLE(INDEX($G$1:G767,SUMPRODUCT(MAX(($W$1:W767=W768)*(ROW($W$1:W767))))))+IF(D768="Fiscal",30,90),""))</f>
        <v>45984</v>
      </c>
      <c r="G768" s="21">
        <v>45982</v>
      </c>
      <c r="H768" s="15">
        <f t="shared" si="341"/>
        <v>45992</v>
      </c>
      <c r="I768" s="15"/>
      <c r="J768" s="32"/>
      <c r="K768" s="15">
        <f t="shared" si="342"/>
        <v>46002</v>
      </c>
      <c r="L768" s="15"/>
      <c r="M768" s="15">
        <f t="shared" si="343"/>
        <v>46007</v>
      </c>
      <c r="N768" s="13">
        <v>46006</v>
      </c>
      <c r="O768" s="2">
        <f>IFERROR(IF(tblColetas[[#This Row],[Status Coleta]]="Reprovado","Reprovado",IF(ISERROR(SEARCH("Poço",D768)),IF(N768="","Erro",IF(Q768="Reprovado","",WORKDAY(N768,IF(D768="Operacional",10,3),FERIADOS!$A$3:$A$119))),"-")),"-")</f>
        <v>46009</v>
      </c>
      <c r="P768" s="21">
        <v>46008</v>
      </c>
      <c r="Q768" s="7" t="s">
        <v>37</v>
      </c>
      <c r="R768" s="13"/>
      <c r="S768" s="30"/>
      <c r="T768" s="43"/>
      <c r="W768" t="str">
        <f t="shared" si="344"/>
        <v>CDPT76-FT-0034 (LP Flare)Fiscal</v>
      </c>
      <c r="X7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69" spans="1:24" ht="12.5" x14ac:dyDescent="0.25">
      <c r="A769" s="19"/>
      <c r="B769" s="19" t="s">
        <v>38</v>
      </c>
      <c r="C769" s="5" t="s">
        <v>71</v>
      </c>
      <c r="D769" s="20" t="s">
        <v>72</v>
      </c>
      <c r="E769" s="35"/>
      <c r="F769" s="29" cm="1">
        <f t="array" ref="F769">IF(V769 &lt;&gt; "", V769, IFERROR(_xlfn.SINGLE(INDEX($G$1:G768,SUMPRODUCT(MAX(($W$1:W768=W769)*(ROW($W$1:W768))))))+IF(D769="Fiscal",30,90),""))</f>
        <v>45983</v>
      </c>
      <c r="G769" s="21">
        <v>45981</v>
      </c>
      <c r="H769" s="15">
        <f t="shared" si="341"/>
        <v>45991</v>
      </c>
      <c r="I769" s="15"/>
      <c r="J769" s="32"/>
      <c r="K769" s="15">
        <f t="shared" si="342"/>
        <v>46001</v>
      </c>
      <c r="L769" s="15"/>
      <c r="M769" s="15">
        <f t="shared" si="343"/>
        <v>46006</v>
      </c>
      <c r="N769" s="13">
        <v>46006</v>
      </c>
      <c r="O769" s="2">
        <f>IFERROR(IF(tblColetas[[#This Row],[Status Coleta]]="Reprovado","Reprovado",IF(ISERROR(SEARCH("Poço",D769)),IF(N769="","Erro",IF(Q769="Reprovado","",WORKDAY(N769,IF(D769="Operacional",10,3),FERIADOS!$A$3:$A$119))),"-")),"-")</f>
        <v>46009</v>
      </c>
      <c r="P769" s="21">
        <v>46008</v>
      </c>
      <c r="Q769" s="7" t="s">
        <v>37</v>
      </c>
      <c r="R769" s="13"/>
      <c r="S769" s="30"/>
      <c r="T769" s="43"/>
      <c r="W769" t="str">
        <f t="shared" si="344"/>
        <v>CDPT77-FT-0103 (Fuel Gas)Fiscal</v>
      </c>
      <c r="X7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0" spans="1:24" ht="12.5" x14ac:dyDescent="0.25">
      <c r="A770" s="19"/>
      <c r="B770" s="19" t="s">
        <v>38</v>
      </c>
      <c r="C770" s="5" t="s">
        <v>98</v>
      </c>
      <c r="D770" s="20" t="s">
        <v>72</v>
      </c>
      <c r="E770" s="35"/>
      <c r="F770" s="29" cm="1">
        <f t="array" ref="F770">IF(V770 &lt;&gt; "", V770, IFERROR(_xlfn.SINGLE(INDEX($G$1:G769,SUMPRODUCT(MAX(($W$1:W769=W770)*(ROW($W$1:W769))))))+IF(D770="Fiscal",30,90),""))</f>
        <v>45983</v>
      </c>
      <c r="G770" s="21">
        <v>45981</v>
      </c>
      <c r="H770" s="15">
        <f t="shared" si="341"/>
        <v>45991</v>
      </c>
      <c r="I770" s="15"/>
      <c r="J770" s="32"/>
      <c r="K770" s="15">
        <f t="shared" si="342"/>
        <v>46001</v>
      </c>
      <c r="L770" s="15"/>
      <c r="M770" s="15">
        <f t="shared" si="343"/>
        <v>46006</v>
      </c>
      <c r="N770" s="13">
        <v>46006</v>
      </c>
      <c r="O770" s="2">
        <f>IFERROR(IF(tblColetas[[#This Row],[Status Coleta]]="Reprovado","Reprovado",IF(ISERROR(SEARCH("Poço",D770)),IF(N770="","Erro",IF(Q770="Reprovado","",WORKDAY(N770,IF(D770="Operacional",10,3),FERIADOS!$A$3:$A$119))),"-")),"-")</f>
        <v>46009</v>
      </c>
      <c r="P770" s="21">
        <v>46008</v>
      </c>
      <c r="Q770" s="7" t="s">
        <v>37</v>
      </c>
      <c r="R770" s="13"/>
      <c r="S770" s="30"/>
      <c r="T770" s="43"/>
      <c r="W770" t="str">
        <f t="shared" si="344"/>
        <v>CDPT74-FT-6701 (Export Gas)Fiscal</v>
      </c>
      <c r="X7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1" spans="1:24" ht="12.5" x14ac:dyDescent="0.25">
      <c r="A771" s="19"/>
      <c r="B771" s="19" t="s">
        <v>38</v>
      </c>
      <c r="C771" s="5" t="s">
        <v>99</v>
      </c>
      <c r="D771" s="20" t="s">
        <v>70</v>
      </c>
      <c r="E771" s="35"/>
      <c r="F771" s="29" cm="1">
        <f t="array" ref="F771">IF(V771 &lt;&gt; "", V771, IFERROR(_xlfn.SINGLE(INDEX($G$1:G770,SUMPRODUCT(MAX(($W$1:W770=W771)*(ROW($W$1:W770))))))+IF(D771="Fiscal",30,90),""))</f>
        <v>46044</v>
      </c>
      <c r="G771" s="21">
        <v>46031</v>
      </c>
      <c r="H771" s="15">
        <f t="shared" si="341"/>
        <v>46041</v>
      </c>
      <c r="I771" s="15"/>
      <c r="J771" s="32"/>
      <c r="K771" s="15">
        <f t="shared" si="342"/>
        <v>46051</v>
      </c>
      <c r="L771" s="15"/>
      <c r="M771" s="15">
        <f t="shared" si="343"/>
        <v>46056</v>
      </c>
      <c r="N771" s="13">
        <v>46056</v>
      </c>
      <c r="O771" s="2">
        <f>IFERROR(IF(tblColetas[[#This Row],[Status Coleta]]="Reprovado","Reprovado",IF(ISERROR(SEARCH("Poço",D771)),IF(N771="","Erro",IF(Q771="Reprovado","",WORKDAY(N771,IF(D771="Operacional",10,3),FERIADOS!$A$3:$A$119))),"-")),"-")</f>
        <v>46059</v>
      </c>
      <c r="P771" s="21">
        <v>46058</v>
      </c>
      <c r="Q771" s="7" t="s">
        <v>37</v>
      </c>
      <c r="R771" s="13"/>
      <c r="S771" s="30"/>
      <c r="T771" s="43"/>
      <c r="W771" t="str">
        <f t="shared" si="344"/>
        <v>CDPT73-AP-0016 (Gas Lift)Gas Lift</v>
      </c>
      <c r="X7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2" spans="1:24" ht="12.5" x14ac:dyDescent="0.25">
      <c r="A772" s="19"/>
      <c r="B772" s="19" t="s">
        <v>46</v>
      </c>
      <c r="C772" s="5" t="s">
        <v>74</v>
      </c>
      <c r="D772" s="20" t="s">
        <v>72</v>
      </c>
      <c r="E772" s="35"/>
      <c r="F772" s="29" cm="1">
        <f t="array" ref="F772">IF(V772 &lt;&gt; "", V772, IFERROR(_xlfn.SINGLE(INDEX($G$1:G771,SUMPRODUCT(MAX(($W$1:W771=W772)*(ROW($W$1:W771))))))+IF(D772="Fiscal",30,90),""))</f>
        <v>45983</v>
      </c>
      <c r="G772" s="21">
        <v>45982</v>
      </c>
      <c r="H772" s="15">
        <f t="shared" si="341"/>
        <v>45992</v>
      </c>
      <c r="I772" s="15"/>
      <c r="J772" s="32"/>
      <c r="K772" s="15">
        <f t="shared" si="342"/>
        <v>46002</v>
      </c>
      <c r="L772" s="15"/>
      <c r="M772" s="15">
        <f t="shared" si="343"/>
        <v>46007</v>
      </c>
      <c r="N772" s="13">
        <v>46006</v>
      </c>
      <c r="O772" s="2">
        <f>IFERROR(IF(tblColetas[[#This Row],[Status Coleta]]="Reprovado","Reprovado",IF(ISERROR(SEARCH("Poço",D772)),IF(N772="","Erro",IF(Q772="Reprovado","",WORKDAY(N772,IF(D772="Operacional",10,3),FERIADOS!$A$3:$A$119))),"-")),"-")</f>
        <v>46009</v>
      </c>
      <c r="P772" s="21">
        <v>46008</v>
      </c>
      <c r="Q772" s="7" t="s">
        <v>37</v>
      </c>
      <c r="R772" s="13"/>
      <c r="S772" s="30"/>
      <c r="T772" s="43"/>
      <c r="W772" t="str">
        <f t="shared" si="344"/>
        <v>CDMT76-FT-0014 (HP Flare)Fiscal</v>
      </c>
      <c r="X7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3" spans="1:24" ht="12.5" x14ac:dyDescent="0.25">
      <c r="A773" s="19"/>
      <c r="B773" s="19" t="s">
        <v>46</v>
      </c>
      <c r="C773" s="5" t="s">
        <v>75</v>
      </c>
      <c r="D773" s="20" t="s">
        <v>72</v>
      </c>
      <c r="E773" s="35"/>
      <c r="F773" s="29" cm="1">
        <f t="array" ref="F773">IF(V773 &lt;&gt; "", V773, IFERROR(_xlfn.SINGLE(INDEX($G$1:G772,SUMPRODUCT(MAX(($W$1:W772=W773)*(ROW($W$1:W772))))))+IF(D773="Fiscal",30,90),""))</f>
        <v>45983</v>
      </c>
      <c r="G773" s="21">
        <v>45982</v>
      </c>
      <c r="H773" s="15">
        <f t="shared" si="341"/>
        <v>45992</v>
      </c>
      <c r="I773" s="15"/>
      <c r="J773" s="32"/>
      <c r="K773" s="15">
        <f t="shared" si="342"/>
        <v>46002</v>
      </c>
      <c r="L773" s="15"/>
      <c r="M773" s="15">
        <f t="shared" si="343"/>
        <v>46007</v>
      </c>
      <c r="N773" s="13">
        <v>46006</v>
      </c>
      <c r="O773" s="2">
        <f>IFERROR(IF(tblColetas[[#This Row],[Status Coleta]]="Reprovado","Reprovado",IF(ISERROR(SEARCH("Poço",D773)),IF(N773="","Erro",IF(Q773="Reprovado","",WORKDAY(N773,IF(D773="Operacional",10,3),FERIADOS!$A$3:$A$119))),"-")),"-")</f>
        <v>46009</v>
      </c>
      <c r="P773" s="21">
        <v>46008</v>
      </c>
      <c r="Q773" s="7" t="s">
        <v>37</v>
      </c>
      <c r="R773" s="13"/>
      <c r="S773" s="30"/>
      <c r="T773" s="43"/>
      <c r="W773" t="str">
        <f t="shared" si="344"/>
        <v>CDMT76-FT-0034 (LP Flare)Fiscal</v>
      </c>
      <c r="X7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4" spans="1:24" ht="12.5" x14ac:dyDescent="0.25">
      <c r="A774" s="19"/>
      <c r="B774" s="19" t="s">
        <v>46</v>
      </c>
      <c r="C774" s="5" t="s">
        <v>71</v>
      </c>
      <c r="D774" s="20" t="s">
        <v>72</v>
      </c>
      <c r="E774" s="35"/>
      <c r="F774" s="29" cm="1">
        <f t="array" ref="F774">IF(V774 &lt;&gt; "", V774, IFERROR(_xlfn.SINGLE(INDEX($G$1:G773,SUMPRODUCT(MAX(($W$1:W773=W774)*(ROW($W$1:W773))))))+IF(D774="Fiscal",30,90),""))</f>
        <v>45983</v>
      </c>
      <c r="G774" s="21">
        <v>45981</v>
      </c>
      <c r="H774" s="15">
        <f t="shared" si="341"/>
        <v>45991</v>
      </c>
      <c r="I774" s="15"/>
      <c r="J774" s="32"/>
      <c r="K774" s="15">
        <f t="shared" si="342"/>
        <v>46001</v>
      </c>
      <c r="L774" s="15"/>
      <c r="M774" s="15">
        <f t="shared" si="343"/>
        <v>46006</v>
      </c>
      <c r="N774" s="13">
        <v>46006</v>
      </c>
      <c r="O774" s="2">
        <f>IFERROR(IF(tblColetas[[#This Row],[Status Coleta]]="Reprovado","Reprovado",IF(ISERROR(SEARCH("Poço",D774)),IF(N774="","Erro",IF(Q774="Reprovado","",WORKDAY(N774,IF(D774="Operacional",10,3),FERIADOS!$A$3:$A$119))),"-")),"-")</f>
        <v>46009</v>
      </c>
      <c r="P774" s="21">
        <v>46008</v>
      </c>
      <c r="Q774" s="7" t="s">
        <v>37</v>
      </c>
      <c r="R774" s="13"/>
      <c r="S774" s="30"/>
      <c r="T774" s="43"/>
      <c r="W774" t="str">
        <f t="shared" si="344"/>
        <v>CDMT77-FT-0103 (Fuel Gas)Fiscal</v>
      </c>
      <c r="X7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5" spans="1:24" ht="12.5" x14ac:dyDescent="0.25">
      <c r="A775" s="19"/>
      <c r="B775" s="19" t="s">
        <v>46</v>
      </c>
      <c r="C775" s="5" t="s">
        <v>125</v>
      </c>
      <c r="D775" s="20" t="s">
        <v>72</v>
      </c>
      <c r="E775" s="35"/>
      <c r="F775" s="29" cm="1">
        <f t="array" ref="F775">IF(V775 &lt;&gt; "", V775, IFERROR(_xlfn.SINGLE(INDEX($G$1:G774,SUMPRODUCT(MAX(($W$1:W774=W775)*(ROW($W$1:W774))))))+IF(D775="Fiscal",30,90),""))</f>
        <v>45983</v>
      </c>
      <c r="G775" s="21">
        <v>45982</v>
      </c>
      <c r="H775" s="15">
        <f t="shared" si="341"/>
        <v>45992</v>
      </c>
      <c r="I775" s="15"/>
      <c r="J775" s="32"/>
      <c r="K775" s="15">
        <f t="shared" si="342"/>
        <v>46002</v>
      </c>
      <c r="L775" s="15"/>
      <c r="M775" s="15">
        <f t="shared" si="343"/>
        <v>46007</v>
      </c>
      <c r="N775" s="13">
        <v>46006</v>
      </c>
      <c r="O775" s="2">
        <f>IFERROR(IF(tblColetas[[#This Row],[Status Coleta]]="Reprovado","Reprovado",IF(ISERROR(SEARCH("Poço",D775)),IF(N775="","Erro",IF(Q775="Reprovado","",WORKDAY(N775,IF(D775="Operacional",10,3),FERIADOS!$A$3:$A$119))),"-")),"-")</f>
        <v>46009</v>
      </c>
      <c r="P775" s="21">
        <v>46008</v>
      </c>
      <c r="Q775" s="7" t="s">
        <v>37</v>
      </c>
      <c r="R775" s="13"/>
      <c r="S775" s="30"/>
      <c r="T775" s="43"/>
      <c r="W775" t="str">
        <f t="shared" si="344"/>
        <v>CDMT74-FT-6901 (Export Gas)Fiscal</v>
      </c>
      <c r="X7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6" spans="1:24" ht="12.5" x14ac:dyDescent="0.25">
      <c r="A776" s="19"/>
      <c r="B776" s="19" t="s">
        <v>34</v>
      </c>
      <c r="C776" s="5" t="s">
        <v>226</v>
      </c>
      <c r="D776" s="20" t="s">
        <v>26</v>
      </c>
      <c r="E776" s="35"/>
      <c r="F776" s="29" cm="1">
        <f t="array" ref="F776">IF(V776 &lt;&gt; "", V776, IFERROR(_xlfn.SINGLE(INDEX($G$1:G775,SUMPRODUCT(MAX(($W$1:W775=W776)*(ROW($W$1:W775))))))+IF(D776="Fiscal",30,90),""))</f>
        <v>46045</v>
      </c>
      <c r="G776" s="21">
        <v>45977</v>
      </c>
      <c r="H776" s="15">
        <f t="shared" ref="H776:H781" si="345">IF(G776="","Erro", G776+10)</f>
        <v>45987</v>
      </c>
      <c r="I776" s="15">
        <v>45978</v>
      </c>
      <c r="J776" s="32" t="s">
        <v>248</v>
      </c>
      <c r="K776" s="15">
        <f t="shared" ref="K776:K781" si="346">IF(G776="","Erro",G776+20)</f>
        <v>45997</v>
      </c>
      <c r="L776" s="15">
        <v>45986</v>
      </c>
      <c r="M776" s="15">
        <f t="shared" ref="M776:M781" si="347">IF(G776="","Erro",G776+IF(D776="Operacional",45,25))</f>
        <v>46002</v>
      </c>
      <c r="N776" s="13">
        <v>46001</v>
      </c>
      <c r="O776" s="2" t="str">
        <f>IFERROR(IF(tblColetas[[#This Row],[Status Coleta]]="Reprovado","Reprovado",IF(ISERROR(SEARCH("Poço",D776)),IF(N776="","Erro",IF(Q776="Reprovado","",WORKDAY(N776,IF(D776="Operacional",10,3),FERIADOS!$A$3:$A$119))),"-")),"-")</f>
        <v>-</v>
      </c>
      <c r="P776" s="21"/>
      <c r="Q776" s="7" t="s">
        <v>37</v>
      </c>
      <c r="R776" s="13"/>
      <c r="S776" s="30"/>
      <c r="T776" s="43"/>
      <c r="W776" t="str">
        <f t="shared" ref="W776:W781" si="348">B776&amp;C776&amp;D776</f>
        <v>CDSPoço RJS-677 (P-04)Poço CG</v>
      </c>
      <c r="X7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7" spans="1:24" ht="12.5" x14ac:dyDescent="0.25">
      <c r="A777" s="19"/>
      <c r="B777" s="19" t="s">
        <v>34</v>
      </c>
      <c r="C777" s="5" t="s">
        <v>226</v>
      </c>
      <c r="D777" s="20" t="s">
        <v>29</v>
      </c>
      <c r="E777" s="35"/>
      <c r="F777" s="29" cm="1">
        <f t="array" ref="F777">IF(V777 &lt;&gt; "", V777, IFERROR(_xlfn.SINGLE(INDEX($G$1:G776,SUMPRODUCT(MAX(($W$1:W776=W777)*(ROW($W$1:W776))))))+IF(D777="Fiscal",30,90),""))</f>
        <v>46045</v>
      </c>
      <c r="G777" s="21">
        <v>45977</v>
      </c>
      <c r="H777" s="15">
        <f t="shared" si="345"/>
        <v>45987</v>
      </c>
      <c r="I777" s="15">
        <v>45978</v>
      </c>
      <c r="J777" s="32" t="s">
        <v>248</v>
      </c>
      <c r="K777" s="15">
        <f t="shared" si="346"/>
        <v>45997</v>
      </c>
      <c r="L777" s="15">
        <v>45986</v>
      </c>
      <c r="M777" s="15">
        <f t="shared" si="347"/>
        <v>46002</v>
      </c>
      <c r="N777" s="13">
        <v>46001</v>
      </c>
      <c r="O777" s="2" t="str">
        <f>IFERROR(IF(tblColetas[[#This Row],[Status Coleta]]="Reprovado","Reprovado",IF(ISERROR(SEARCH("Poço",D777)),IF(N777="","Erro",IF(Q777="Reprovado","",WORKDAY(N777,IF(D777="Operacional",10,3),FERIADOS!$A$3:$A$119))),"-")),"-")</f>
        <v>-</v>
      </c>
      <c r="P777" s="21"/>
      <c r="Q777" s="7" t="s">
        <v>37</v>
      </c>
      <c r="R777" s="13"/>
      <c r="S777" s="30"/>
      <c r="T777" s="43"/>
      <c r="W777" t="str">
        <f t="shared" si="348"/>
        <v>CDSPoço RJS-677 (P-04)Poço PVT</v>
      </c>
      <c r="X7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8" spans="1:24" ht="12.5" x14ac:dyDescent="0.25">
      <c r="A778" s="17"/>
      <c r="B778" s="17" t="s">
        <v>145</v>
      </c>
      <c r="C778" s="6" t="s">
        <v>249</v>
      </c>
      <c r="D778" s="18" t="s">
        <v>26</v>
      </c>
      <c r="E778" s="35"/>
      <c r="F778" s="25" t="str" cm="1">
        <f t="array" ref="F778">IF(V778 &lt;&gt; "", V778, IFERROR(_xlfn.SINGLE(INDEX($G$1:G777,SUMPRODUCT(MAX(($W$1:W777=W778)*(ROW($W$1:W777))))))+IF(D778="Fiscal",30,90),""))</f>
        <v/>
      </c>
      <c r="G778" s="16">
        <v>45936</v>
      </c>
      <c r="H778" s="15">
        <f t="shared" si="345"/>
        <v>45946</v>
      </c>
      <c r="I778" s="15">
        <v>45949</v>
      </c>
      <c r="J778" s="32" t="s">
        <v>200</v>
      </c>
      <c r="K778" s="15">
        <f t="shared" si="346"/>
        <v>45956</v>
      </c>
      <c r="L778" s="15">
        <v>45953</v>
      </c>
      <c r="M778" s="14">
        <f t="shared" si="347"/>
        <v>45961</v>
      </c>
      <c r="N778" s="12">
        <v>45961</v>
      </c>
      <c r="O778" s="1" t="str">
        <f>IFERROR(IF(tblColetas[[#This Row],[Status Coleta]]="Reprovado","Reprovado",IF(ISERROR(SEARCH("Poço",D778)),IF(N778="","Erro",IF(Q778="Reprovado","",WORKDAY(N778,IF(D778="Operacional",10,3),FERIADOS!$A$3:$A$119))),"-")),"-")</f>
        <v>-</v>
      </c>
      <c r="P778" s="16"/>
      <c r="Q778" s="7"/>
      <c r="R778" s="12"/>
      <c r="S778" s="27"/>
      <c r="T778" s="42"/>
      <c r="W778" t="str">
        <f t="shared" si="348"/>
        <v>ATDPoço 7-BUZ-41D-RJS (PWAG1)Poço CG</v>
      </c>
      <c r="X7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79" spans="1:24" ht="12.5" x14ac:dyDescent="0.25">
      <c r="A779" s="17"/>
      <c r="B779" s="17" t="s">
        <v>145</v>
      </c>
      <c r="C779" s="6" t="s">
        <v>249</v>
      </c>
      <c r="D779" s="18" t="s">
        <v>29</v>
      </c>
      <c r="E779" s="35"/>
      <c r="F779" s="25" t="str" cm="1">
        <f t="array" ref="F779">IF(V779 &lt;&gt; "", V779, IFERROR(_xlfn.SINGLE(INDEX($G$1:G778,SUMPRODUCT(MAX(($W$1:W778=W779)*(ROW($W$1:W778))))))+IF(D779="Fiscal",30,90),""))</f>
        <v/>
      </c>
      <c r="G779" s="16">
        <v>45936</v>
      </c>
      <c r="H779" s="15">
        <f t="shared" si="345"/>
        <v>45946</v>
      </c>
      <c r="I779" s="15">
        <v>45949</v>
      </c>
      <c r="J779" s="32" t="s">
        <v>200</v>
      </c>
      <c r="K779" s="15">
        <f t="shared" si="346"/>
        <v>45956</v>
      </c>
      <c r="L779" s="15">
        <v>45953</v>
      </c>
      <c r="M779" s="14">
        <f t="shared" si="347"/>
        <v>45961</v>
      </c>
      <c r="N779" s="12">
        <v>45961</v>
      </c>
      <c r="O779" s="1" t="str">
        <f>IFERROR(IF(tblColetas[[#This Row],[Status Coleta]]="Reprovado","Reprovado",IF(ISERROR(SEARCH("Poço",D779)),IF(N779="","Erro",IF(Q779="Reprovado","",WORKDAY(N779,IF(D779="Operacional",10,3),FERIADOS!$A$3:$A$119))),"-")),"-")</f>
        <v>-</v>
      </c>
      <c r="P779" s="16"/>
      <c r="Q779" s="7"/>
      <c r="R779" s="12"/>
      <c r="S779" s="27"/>
      <c r="T779" s="42"/>
      <c r="W779" t="str">
        <f t="shared" si="348"/>
        <v>ATDPoço 7-BUZ-41D-RJS (PWAG1)Poço PVT</v>
      </c>
      <c r="X7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0" spans="1:24" ht="12.5" x14ac:dyDescent="0.25">
      <c r="A780" s="19"/>
      <c r="B780" s="19" t="s">
        <v>145</v>
      </c>
      <c r="C780" s="5" t="s">
        <v>249</v>
      </c>
      <c r="D780" s="20" t="s">
        <v>26</v>
      </c>
      <c r="E780" s="35"/>
      <c r="F780" s="29" cm="1">
        <f t="array" ref="F780">IF(V780 &lt;&gt; "", V780, IFERROR(_xlfn.SINGLE(INDEX($G$1:G779,SUMPRODUCT(MAX(($W$1:W779=W780)*(ROW($W$1:W779))))))+IF(D780="Fiscal",30,90),""))</f>
        <v>46026</v>
      </c>
      <c r="G780" s="21">
        <v>46019</v>
      </c>
      <c r="H780" s="15">
        <f t="shared" si="345"/>
        <v>46029</v>
      </c>
      <c r="I780" s="15">
        <v>46027</v>
      </c>
      <c r="J780" s="32" t="s">
        <v>250</v>
      </c>
      <c r="K780" s="15">
        <f t="shared" si="346"/>
        <v>46039</v>
      </c>
      <c r="L780" s="15">
        <v>46035</v>
      </c>
      <c r="M780" s="15">
        <f t="shared" si="347"/>
        <v>46044</v>
      </c>
      <c r="N780" s="13">
        <v>46044</v>
      </c>
      <c r="O780" s="2" t="str">
        <f>IFERROR(IF(tblColetas[[#This Row],[Status Coleta]]="Reprovado","Reprovado",IF(ISERROR(SEARCH("Poço",D780)),IF(N780="","Erro",IF(Q780="Reprovado","",WORKDAY(N780,IF(D780="Operacional",10,3),FERIADOS!$A$3:$A$119))),"-")),"-")</f>
        <v>-</v>
      </c>
      <c r="P780" s="21"/>
      <c r="Q780" s="7" t="s">
        <v>37</v>
      </c>
      <c r="R780" s="13"/>
      <c r="S780" s="30"/>
      <c r="T780" s="43"/>
      <c r="W780" t="str">
        <f t="shared" si="348"/>
        <v>ATDPoço 7-BUZ-41D-RJS (PWAG1)Poço CG</v>
      </c>
      <c r="X7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1" spans="1:24" ht="12.5" x14ac:dyDescent="0.25">
      <c r="A781" s="19"/>
      <c r="B781" s="19" t="s">
        <v>145</v>
      </c>
      <c r="C781" s="5" t="s">
        <v>249</v>
      </c>
      <c r="D781" s="20" t="s">
        <v>29</v>
      </c>
      <c r="E781" s="35"/>
      <c r="F781" s="29" cm="1">
        <f t="array" ref="F781">IF(V781 &lt;&gt; "", V781, IFERROR(_xlfn.SINGLE(INDEX($G$1:G780,SUMPRODUCT(MAX(($W$1:W780=W781)*(ROW($W$1:W780))))))+IF(D781="Fiscal",30,90),""))</f>
        <v>46026</v>
      </c>
      <c r="G781" s="21">
        <v>46019</v>
      </c>
      <c r="H781" s="15">
        <f t="shared" si="345"/>
        <v>46029</v>
      </c>
      <c r="I781" s="15">
        <v>46027</v>
      </c>
      <c r="J781" s="32" t="s">
        <v>250</v>
      </c>
      <c r="K781" s="15">
        <f t="shared" si="346"/>
        <v>46039</v>
      </c>
      <c r="L781" s="15">
        <v>46035</v>
      </c>
      <c r="M781" s="15">
        <f t="shared" si="347"/>
        <v>46044</v>
      </c>
      <c r="N781" s="13">
        <v>46044</v>
      </c>
      <c r="O781" s="2" t="str">
        <f>IFERROR(IF(tblColetas[[#This Row],[Status Coleta]]="Reprovado","Reprovado",IF(ISERROR(SEARCH("Poço",D781)),IF(N781="","Erro",IF(Q781="Reprovado","",WORKDAY(N781,IF(D781="Operacional",10,3),FERIADOS!$A$3:$A$119))),"-")),"-")</f>
        <v>-</v>
      </c>
      <c r="P781" s="21"/>
      <c r="Q781" s="7" t="s">
        <v>37</v>
      </c>
      <c r="R781" s="13"/>
      <c r="S781" s="30"/>
      <c r="T781" s="43"/>
      <c r="W781" t="str">
        <f t="shared" si="348"/>
        <v>ATDPoço 7-BUZ-41D-RJS (PWAG1)Poço PVT</v>
      </c>
      <c r="X7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2" spans="1:24" ht="12.5" x14ac:dyDescent="0.25">
      <c r="A782" s="19"/>
      <c r="B782" s="19" t="s">
        <v>31</v>
      </c>
      <c r="C782" s="5" t="s">
        <v>85</v>
      </c>
      <c r="D782" s="20" t="s">
        <v>26</v>
      </c>
      <c r="E782" s="35"/>
      <c r="F782" s="29" cm="1">
        <f t="array" ref="F782">IF(V782 &lt;&gt; "", V782, IFERROR(_xlfn.SINGLE(INDEX($G$1:G781,SUMPRODUCT(MAX(($W$1:W781=W782)*(ROW($W$1:W781))))))+IF(D782="Fiscal",30,90),""))</f>
        <v>46045</v>
      </c>
      <c r="G782" s="21">
        <v>46030</v>
      </c>
      <c r="H782" s="15">
        <f t="shared" ref="H782:H795" si="349">IF(G782="","Erro", G782+10)</f>
        <v>46040</v>
      </c>
      <c r="I782" s="15">
        <v>46035</v>
      </c>
      <c r="J782" s="32" t="s">
        <v>251</v>
      </c>
      <c r="K782" s="15">
        <f t="shared" ref="K782:K795" si="350">IF(G782="","Erro",G782+20)</f>
        <v>46050</v>
      </c>
      <c r="L782" s="15">
        <v>46048</v>
      </c>
      <c r="M782" s="15">
        <f t="shared" ref="M782:M795" si="351">IF(G782="","Erro",G782+IF(D782="Operacional",45,25))</f>
        <v>46055</v>
      </c>
      <c r="N782" s="13">
        <v>46055</v>
      </c>
      <c r="O782" s="2" t="str">
        <f>IFERROR(IF(tblColetas[[#This Row],[Status Coleta]]="Reprovado","Reprovado",IF(ISERROR(SEARCH("Poço",D782)),IF(N782="","Erro",IF(Q782="Reprovado","",WORKDAY(N782,IF(D782="Operacional",10,3),FERIADOS!$A$3:$A$119))),"-")),"-")</f>
        <v>-</v>
      </c>
      <c r="P782" s="21"/>
      <c r="Q782" s="7" t="s">
        <v>37</v>
      </c>
      <c r="R782" s="13"/>
      <c r="S782" s="30"/>
      <c r="T782" s="43"/>
      <c r="W782" t="str">
        <f t="shared" ref="W782:W795" si="352">B782&amp;C782&amp;D782</f>
        <v>CDIPoço SPH-17 (P-9)Poço CG</v>
      </c>
      <c r="X7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3" spans="1:24" ht="12.5" x14ac:dyDescent="0.25">
      <c r="A783" s="19"/>
      <c r="B783" s="19" t="s">
        <v>31</v>
      </c>
      <c r="C783" s="5" t="s">
        <v>85</v>
      </c>
      <c r="D783" s="20" t="s">
        <v>29</v>
      </c>
      <c r="E783" s="35"/>
      <c r="F783" s="29" cm="1">
        <f t="array" ref="F783">IF(V783 &lt;&gt; "", V783, IFERROR(_xlfn.SINGLE(INDEX($G$1:G782,SUMPRODUCT(MAX(($W$1:W782=W783)*(ROW($W$1:W782))))))+IF(D783="Fiscal",30,90),""))</f>
        <v>46045</v>
      </c>
      <c r="G783" s="21">
        <v>46030</v>
      </c>
      <c r="H783" s="15">
        <f t="shared" si="349"/>
        <v>46040</v>
      </c>
      <c r="I783" s="15">
        <v>46035</v>
      </c>
      <c r="J783" s="32" t="s">
        <v>251</v>
      </c>
      <c r="K783" s="15">
        <f t="shared" si="350"/>
        <v>46050</v>
      </c>
      <c r="L783" s="15">
        <v>46048</v>
      </c>
      <c r="M783" s="15">
        <f t="shared" si="351"/>
        <v>46055</v>
      </c>
      <c r="N783" s="13">
        <v>46055</v>
      </c>
      <c r="O783" s="2" t="str">
        <f>IFERROR(IF(tblColetas[[#This Row],[Status Coleta]]="Reprovado","Reprovado",IF(ISERROR(SEARCH("Poço",D783)),IF(N783="","Erro",IF(Q783="Reprovado","",WORKDAY(N783,IF(D783="Operacional",10,3),FERIADOS!$A$3:$A$119))),"-")),"-")</f>
        <v>-</v>
      </c>
      <c r="P783" s="21"/>
      <c r="Q783" s="7" t="s">
        <v>37</v>
      </c>
      <c r="R783" s="13"/>
      <c r="S783" s="30"/>
      <c r="T783" s="43"/>
      <c r="W783" t="str">
        <f t="shared" si="352"/>
        <v>CDIPoço SPH-17 (P-9)Poço PVT</v>
      </c>
      <c r="X7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4" spans="1:24" ht="12.5" x14ac:dyDescent="0.25">
      <c r="A784" s="19"/>
      <c r="B784" s="19" t="s">
        <v>31</v>
      </c>
      <c r="C784" s="5" t="s">
        <v>79</v>
      </c>
      <c r="D784" s="20" t="s">
        <v>26</v>
      </c>
      <c r="E784" s="35"/>
      <c r="F784" s="29" cm="1">
        <f t="array" ref="F784">IF(V784 &lt;&gt; "", V784, IFERROR(_xlfn.SINGLE(INDEX($G$1:G783,SUMPRODUCT(MAX(($W$1:W783=W784)*(ROW($W$1:W783))))))+IF(D784="Fiscal",30,90),""))</f>
        <v>46047</v>
      </c>
      <c r="G784" s="21">
        <v>46033</v>
      </c>
      <c r="H784" s="15">
        <f t="shared" si="349"/>
        <v>46043</v>
      </c>
      <c r="I784" s="15">
        <v>46035</v>
      </c>
      <c r="J784" s="32" t="s">
        <v>251</v>
      </c>
      <c r="K784" s="15">
        <f t="shared" si="350"/>
        <v>46053</v>
      </c>
      <c r="L784" s="15">
        <v>46048</v>
      </c>
      <c r="M784" s="15">
        <f t="shared" si="351"/>
        <v>46058</v>
      </c>
      <c r="N784" s="13">
        <v>46058</v>
      </c>
      <c r="O784" s="2" t="str">
        <f>IFERROR(IF(tblColetas[[#This Row],[Status Coleta]]="Reprovado","Reprovado",IF(ISERROR(SEARCH("Poço",D784)),IF(N784="","Erro",IF(Q784="Reprovado","",WORKDAY(N784,IF(D784="Operacional",10,3),FERIADOS!$A$3:$A$119))),"-")),"-")</f>
        <v>-</v>
      </c>
      <c r="P784" s="21"/>
      <c r="Q784" s="7"/>
      <c r="R784" s="13"/>
      <c r="S784" s="30" t="s">
        <v>365</v>
      </c>
      <c r="T784" s="43"/>
      <c r="W784" t="str">
        <f t="shared" si="352"/>
        <v>CDIPoço SPH-14 (P-6)Poço CG</v>
      </c>
      <c r="X7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5" spans="1:24" ht="12.5" x14ac:dyDescent="0.25">
      <c r="A785" s="19"/>
      <c r="B785" s="19" t="s">
        <v>31</v>
      </c>
      <c r="C785" s="5" t="s">
        <v>79</v>
      </c>
      <c r="D785" s="20" t="s">
        <v>29</v>
      </c>
      <c r="E785" s="35"/>
      <c r="F785" s="29" cm="1">
        <f t="array" ref="F785">IF(V785 &lt;&gt; "", V785, IFERROR(_xlfn.SINGLE(INDEX($G$1:G784,SUMPRODUCT(MAX(($W$1:W784=W785)*(ROW($W$1:W784))))))+IF(D785="Fiscal",30,90),""))</f>
        <v>46047</v>
      </c>
      <c r="G785" s="21">
        <v>46033</v>
      </c>
      <c r="H785" s="15">
        <f t="shared" si="349"/>
        <v>46043</v>
      </c>
      <c r="I785" s="15">
        <v>46035</v>
      </c>
      <c r="J785" s="32" t="s">
        <v>251</v>
      </c>
      <c r="K785" s="15">
        <f t="shared" si="350"/>
        <v>46053</v>
      </c>
      <c r="L785" s="15">
        <v>46048</v>
      </c>
      <c r="M785" s="15">
        <f t="shared" si="351"/>
        <v>46058</v>
      </c>
      <c r="N785" s="13">
        <v>46058</v>
      </c>
      <c r="O785" s="2" t="str">
        <f>IFERROR(IF(tblColetas[[#This Row],[Status Coleta]]="Reprovado","Reprovado",IF(ISERROR(SEARCH("Poço",D785)),IF(N785="","Erro",IF(Q785="Reprovado","",WORKDAY(N785,IF(D785="Operacional",10,3),FERIADOS!$A$3:$A$119))),"-")),"-")</f>
        <v>-</v>
      </c>
      <c r="P785" s="21"/>
      <c r="Q785" s="7"/>
      <c r="R785" s="13"/>
      <c r="S785" s="30"/>
      <c r="T785" s="43"/>
      <c r="W785" t="str">
        <f t="shared" si="352"/>
        <v>CDIPoço SPH-14 (P-6)Poço PVT</v>
      </c>
      <c r="X7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6" spans="1:24" ht="12.5" x14ac:dyDescent="0.25">
      <c r="A786" s="19"/>
      <c r="B786" s="19" t="s">
        <v>31</v>
      </c>
      <c r="C786" s="5" t="s">
        <v>107</v>
      </c>
      <c r="D786" s="20" t="s">
        <v>26</v>
      </c>
      <c r="E786" s="35"/>
      <c r="F786" s="29" cm="1">
        <f t="array" ref="F786">IF(V786 &lt;&gt; "", V786, IFERROR(_xlfn.SINGLE(INDEX($G$1:G785,SUMPRODUCT(MAX(($W$1:W785=W786)*(ROW($W$1:W785))))))+IF(D786="Fiscal",30,90),""))</f>
        <v>46048</v>
      </c>
      <c r="G786" s="21">
        <v>45963</v>
      </c>
      <c r="H786" s="15">
        <f t="shared" si="349"/>
        <v>45973</v>
      </c>
      <c r="I786" s="15">
        <v>45963</v>
      </c>
      <c r="J786" s="32"/>
      <c r="K786" s="15">
        <f t="shared" si="350"/>
        <v>45983</v>
      </c>
      <c r="L786" s="15">
        <v>45981</v>
      </c>
      <c r="M786" s="15">
        <f t="shared" si="351"/>
        <v>45988</v>
      </c>
      <c r="N786" s="13">
        <v>45988</v>
      </c>
      <c r="O786" s="2" t="str">
        <f>IFERROR(IF(tblColetas[[#This Row],[Status Coleta]]="Reprovado","Reprovado",IF(ISERROR(SEARCH("Poço",D786)),IF(N786="","Erro",IF(Q786="Reprovado","",WORKDAY(N786,IF(D786="Operacional",10,3),FERIADOS!$A$3:$A$119))),"-")),"-")</f>
        <v>-</v>
      </c>
      <c r="P786" s="21"/>
      <c r="Q786" s="7"/>
      <c r="R786" s="13"/>
      <c r="S786" s="30"/>
      <c r="T786" s="43"/>
      <c r="W786" t="str">
        <f t="shared" si="352"/>
        <v>CDIPoço SPH-7 (P-3)Poço CG</v>
      </c>
      <c r="X7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7" spans="1:24" ht="12.5" x14ac:dyDescent="0.25">
      <c r="A787" s="19"/>
      <c r="B787" s="19" t="s">
        <v>31</v>
      </c>
      <c r="C787" s="5" t="s">
        <v>107</v>
      </c>
      <c r="D787" s="20" t="s">
        <v>29</v>
      </c>
      <c r="E787" s="35"/>
      <c r="F787" s="29" cm="1">
        <f t="array" ref="F787">IF(V787 &lt;&gt; "", V787, IFERROR(_xlfn.SINGLE(INDEX($G$1:G786,SUMPRODUCT(MAX(($W$1:W786=W787)*(ROW($W$1:W786))))))+IF(D787="Fiscal",30,90),""))</f>
        <v>46048</v>
      </c>
      <c r="G787" s="21">
        <v>46029</v>
      </c>
      <c r="H787" s="15">
        <f t="shared" si="349"/>
        <v>46039</v>
      </c>
      <c r="I787" s="15">
        <v>46035</v>
      </c>
      <c r="J787" s="32" t="s">
        <v>251</v>
      </c>
      <c r="K787" s="15">
        <f t="shared" si="350"/>
        <v>46049</v>
      </c>
      <c r="L787" s="15">
        <v>46048</v>
      </c>
      <c r="M787" s="15">
        <f t="shared" si="351"/>
        <v>46054</v>
      </c>
      <c r="N787" s="13">
        <v>46052</v>
      </c>
      <c r="O787" s="2" t="str">
        <f>IFERROR(IF(tblColetas[[#This Row],[Status Coleta]]="Reprovado","Reprovado",IF(ISERROR(SEARCH("Poço",D787)),IF(N787="","Erro",IF(Q787="Reprovado","",WORKDAY(N787,IF(D787="Operacional",10,3),FERIADOS!$A$3:$A$119))),"-")),"-")</f>
        <v>-</v>
      </c>
      <c r="P787" s="21"/>
      <c r="Q787" s="7" t="s">
        <v>37</v>
      </c>
      <c r="R787" s="13"/>
      <c r="S787" s="30"/>
      <c r="T787" s="43"/>
      <c r="W787" t="str">
        <f t="shared" si="352"/>
        <v>CDIPoço SPH-7 (P-3)Poço PVT</v>
      </c>
      <c r="X7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8" spans="1:24" ht="12.5" x14ac:dyDescent="0.25">
      <c r="A788" s="8"/>
      <c r="B788" s="8" t="s">
        <v>31</v>
      </c>
      <c r="C788" s="5" t="s">
        <v>95</v>
      </c>
      <c r="D788" s="9" t="s">
        <v>26</v>
      </c>
      <c r="E788" s="36"/>
      <c r="F788" s="29" cm="1">
        <f t="array" ref="F788">IF(V788 &lt;&gt; "", V788, IFERROR(_xlfn.SINGLE(INDEX($G$1:G787,SUMPRODUCT(MAX(($W$1:W787=W788)*(ROW($W$1:W787))))))+IF(D788="Fiscal",30,90),""))</f>
        <v>46049</v>
      </c>
      <c r="G788" s="13">
        <v>45962</v>
      </c>
      <c r="H788" s="15">
        <f t="shared" si="349"/>
        <v>45972</v>
      </c>
      <c r="I788" s="15">
        <v>45962</v>
      </c>
      <c r="J788" s="32"/>
      <c r="K788" s="15">
        <f t="shared" si="350"/>
        <v>45982</v>
      </c>
      <c r="L788" s="15">
        <v>45981</v>
      </c>
      <c r="M788" s="15">
        <f t="shared" si="351"/>
        <v>45987</v>
      </c>
      <c r="N788" s="13">
        <v>45987</v>
      </c>
      <c r="O788" s="2" t="str">
        <f>IFERROR(IF(tblColetas[[#This Row],[Status Coleta]]="Reprovado","Reprovado",IF(ISERROR(SEARCH("Poço",D788)),IF(N788="","Erro",IF(Q788="Reprovado","",WORKDAY(N788,IF(D788="Operacional",10,3),FERIADOS!$A$3:$A$119))),"-")),"-")</f>
        <v>-</v>
      </c>
      <c r="P788" s="13"/>
      <c r="Q788" s="7"/>
      <c r="R788" s="13"/>
      <c r="S788" s="30"/>
      <c r="T788" s="43"/>
      <c r="W788" t="str">
        <f t="shared" si="352"/>
        <v>CDIPoço SPH-20 (P-5)Poço CG</v>
      </c>
      <c r="X7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89" spans="1:24" ht="12.5" x14ac:dyDescent="0.25">
      <c r="A789" s="8"/>
      <c r="B789" s="8" t="s">
        <v>31</v>
      </c>
      <c r="C789" s="5" t="s">
        <v>95</v>
      </c>
      <c r="D789" s="9" t="s">
        <v>29</v>
      </c>
      <c r="E789" s="36"/>
      <c r="F789" s="29" cm="1">
        <f t="array" ref="F789">IF(V789 &lt;&gt; "", V789, IFERROR(_xlfn.SINGLE(INDEX($G$1:G788,SUMPRODUCT(MAX(($W$1:W788=W789)*(ROW($W$1:W788))))))+IF(D789="Fiscal",30,90),""))</f>
        <v>46049</v>
      </c>
      <c r="G789" s="13">
        <v>46034</v>
      </c>
      <c r="H789" s="15">
        <f t="shared" si="349"/>
        <v>46044</v>
      </c>
      <c r="I789" s="15">
        <v>46035</v>
      </c>
      <c r="J789" s="32" t="s">
        <v>251</v>
      </c>
      <c r="K789" s="15">
        <f t="shared" si="350"/>
        <v>46054</v>
      </c>
      <c r="L789" s="15">
        <v>46048</v>
      </c>
      <c r="M789" s="15">
        <f t="shared" si="351"/>
        <v>46059</v>
      </c>
      <c r="N789" s="13">
        <v>46059</v>
      </c>
      <c r="O789" s="2" t="str">
        <f>IFERROR(IF(tblColetas[[#This Row],[Status Coleta]]="Reprovado","Reprovado",IF(ISERROR(SEARCH("Poço",D789)),IF(N789="","Erro",IF(Q789="Reprovado","",WORKDAY(N789,IF(D789="Operacional",10,3),FERIADOS!$A$3:$A$119))),"-")),"-")</f>
        <v>-</v>
      </c>
      <c r="P789" s="13"/>
      <c r="Q789" s="7"/>
      <c r="R789" s="13"/>
      <c r="S789" s="30"/>
      <c r="T789" s="43"/>
      <c r="W789" t="str">
        <f t="shared" si="352"/>
        <v>CDIPoço SPH-20 (P-5)Poço PVT</v>
      </c>
      <c r="X7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0" spans="1:24" ht="12.5" x14ac:dyDescent="0.25">
      <c r="A790" s="8"/>
      <c r="B790" s="8" t="s">
        <v>38</v>
      </c>
      <c r="C790" s="5" t="s">
        <v>39</v>
      </c>
      <c r="D790" s="9" t="s">
        <v>26</v>
      </c>
      <c r="E790" s="36"/>
      <c r="F790" s="29" cm="1">
        <f t="array" ref="F790">IF(V790 &lt;&gt; "", V790, IFERROR(_xlfn.SINGLE(INDEX($G$1:G789,SUMPRODUCT(MAX(($W$1:W789=W790)*(ROW($W$1:W789))))))+IF(D790="Fiscal",30,90),""))</f>
        <v>46049</v>
      </c>
      <c r="G790" s="13">
        <v>46034</v>
      </c>
      <c r="H790" s="15">
        <f t="shared" si="349"/>
        <v>46044</v>
      </c>
      <c r="I790" s="15">
        <v>46036</v>
      </c>
      <c r="J790" s="32" t="s">
        <v>252</v>
      </c>
      <c r="K790" s="15">
        <f t="shared" si="350"/>
        <v>46054</v>
      </c>
      <c r="L790" s="15">
        <v>46051</v>
      </c>
      <c r="M790" s="15">
        <f t="shared" si="351"/>
        <v>46059</v>
      </c>
      <c r="N790" s="13">
        <v>46059</v>
      </c>
      <c r="O790" s="2" t="str">
        <f>IFERROR(IF(tblColetas[[#This Row],[Status Coleta]]="Reprovado","Reprovado",IF(ISERROR(SEARCH("Poço",D790)),IF(N790="","Erro",IF(Q790="Reprovado","",WORKDAY(N790,IF(D790="Operacional",10,3),FERIADOS!$A$3:$A$119))),"-")),"-")</f>
        <v>-</v>
      </c>
      <c r="P790" s="13"/>
      <c r="Q790" s="7" t="s">
        <v>37</v>
      </c>
      <c r="R790" s="13"/>
      <c r="S790" s="30"/>
      <c r="T790" s="43"/>
      <c r="W790" t="str">
        <f t="shared" si="352"/>
        <v>CDPPoço LL-119 (P-02)Poço CG</v>
      </c>
      <c r="X7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1" spans="1:24" ht="12.5" x14ac:dyDescent="0.25">
      <c r="A791" s="8"/>
      <c r="B791" s="8" t="s">
        <v>38</v>
      </c>
      <c r="C791" s="5" t="s">
        <v>39</v>
      </c>
      <c r="D791" s="9" t="s">
        <v>29</v>
      </c>
      <c r="E791" s="36"/>
      <c r="F791" s="29" cm="1">
        <f t="array" ref="F791">IF(V791 &lt;&gt; "", V791, IFERROR(_xlfn.SINGLE(INDEX($G$1:G790,SUMPRODUCT(MAX(($W$1:W790=W791)*(ROW($W$1:W790))))))+IF(D791="Fiscal",30,90),""))</f>
        <v>46049</v>
      </c>
      <c r="G791" s="13">
        <v>46034</v>
      </c>
      <c r="H791" s="15">
        <f t="shared" si="349"/>
        <v>46044</v>
      </c>
      <c r="I791" s="15">
        <v>46036</v>
      </c>
      <c r="J791" s="32" t="s">
        <v>252</v>
      </c>
      <c r="K791" s="15">
        <f t="shared" si="350"/>
        <v>46054</v>
      </c>
      <c r="L791" s="15">
        <v>46051</v>
      </c>
      <c r="M791" s="15">
        <f t="shared" si="351"/>
        <v>46059</v>
      </c>
      <c r="N791" s="13">
        <v>46059</v>
      </c>
      <c r="O791" s="2" t="str">
        <f>IFERROR(IF(tblColetas[[#This Row],[Status Coleta]]="Reprovado","Reprovado",IF(ISERROR(SEARCH("Poço",D791)),IF(N791="","Erro",IF(Q791="Reprovado","",WORKDAY(N791,IF(D791="Operacional",10,3),FERIADOS!$A$3:$A$119))),"-")),"-")</f>
        <v>-</v>
      </c>
      <c r="P791" s="13"/>
      <c r="Q791" s="7" t="s">
        <v>37</v>
      </c>
      <c r="R791" s="13"/>
      <c r="S791" s="30"/>
      <c r="T791" s="43"/>
      <c r="W791" t="str">
        <f t="shared" si="352"/>
        <v>CDPPoço LL-119 (P-02)Poço PVT</v>
      </c>
      <c r="X7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2" spans="1:24" ht="12.5" x14ac:dyDescent="0.25">
      <c r="A792" s="8"/>
      <c r="B792" s="8" t="s">
        <v>192</v>
      </c>
      <c r="C792" s="5" t="s">
        <v>196</v>
      </c>
      <c r="D792" s="9" t="s">
        <v>26</v>
      </c>
      <c r="E792" s="36"/>
      <c r="F792" s="29" cm="1">
        <f t="array" ref="F792">IF(V792 &lt;&gt; "", V792, IFERROR(_xlfn.SINGLE(INDEX($G$1:G791,SUMPRODUCT(MAX(($W$1:W791=W792)*(ROW($W$1:W791))))))+IF(D792="Fiscal",30,90),""))</f>
        <v>45955</v>
      </c>
      <c r="G792" s="13">
        <v>45955</v>
      </c>
      <c r="H792" s="15">
        <f t="shared" si="349"/>
        <v>45965</v>
      </c>
      <c r="I792" s="15">
        <v>45960</v>
      </c>
      <c r="J792" s="32" t="s">
        <v>215</v>
      </c>
      <c r="K792" s="15">
        <f t="shared" si="350"/>
        <v>45975</v>
      </c>
      <c r="L792" s="15">
        <v>45968</v>
      </c>
      <c r="M792" s="15">
        <f t="shared" si="351"/>
        <v>45980</v>
      </c>
      <c r="N792" s="13">
        <v>45980</v>
      </c>
      <c r="O792" s="2" t="str">
        <f>IFERROR(IF(tblColetas[[#This Row],[Status Coleta]]="Reprovado","Reprovado",IF(ISERROR(SEARCH("Poço",D792)),IF(N792="","Erro",IF(Q792="Reprovado","",WORKDAY(N792,IF(D792="Operacional",10,3),FERIADOS!$A$3:$A$119))),"-")),"-")</f>
        <v>-</v>
      </c>
      <c r="P792" s="13"/>
      <c r="Q792" s="7"/>
      <c r="R792" s="13"/>
      <c r="S792" s="30"/>
      <c r="T792" s="43"/>
      <c r="V792" s="37">
        <v>45955</v>
      </c>
      <c r="W792" t="str">
        <f t="shared" si="352"/>
        <v>ADGPoço MRO-24 (P-06)Poço CG</v>
      </c>
      <c r="X7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3" spans="1:24" ht="12.5" x14ac:dyDescent="0.25">
      <c r="A793" s="8"/>
      <c r="B793" s="8" t="s">
        <v>192</v>
      </c>
      <c r="C793" s="5" t="s">
        <v>196</v>
      </c>
      <c r="D793" s="9" t="s">
        <v>29</v>
      </c>
      <c r="E793" s="36"/>
      <c r="F793" s="29" cm="1">
        <f t="array" ref="F793">IF(V793 &lt;&gt; "", V793, IFERROR(_xlfn.SINGLE(INDEX($G$1:G792,SUMPRODUCT(MAX(($W$1:W792=W793)*(ROW($W$1:W792))))))+IF(D793="Fiscal",30,90),""))</f>
        <v>45955</v>
      </c>
      <c r="G793" s="13">
        <v>45955</v>
      </c>
      <c r="H793" s="15">
        <f t="shared" si="349"/>
        <v>45965</v>
      </c>
      <c r="I793" s="15">
        <v>45960</v>
      </c>
      <c r="J793" s="32" t="s">
        <v>215</v>
      </c>
      <c r="K793" s="15">
        <f t="shared" si="350"/>
        <v>45975</v>
      </c>
      <c r="L793" s="15">
        <v>45968</v>
      </c>
      <c r="M793" s="15">
        <f t="shared" si="351"/>
        <v>45980</v>
      </c>
      <c r="N793" s="13">
        <v>45980</v>
      </c>
      <c r="O793" s="2" t="str">
        <f>IFERROR(IF(tblColetas[[#This Row],[Status Coleta]]="Reprovado","Reprovado",IF(ISERROR(SEARCH("Poço",D793)),IF(N793="","Erro",IF(Q793="Reprovado","",WORKDAY(N793,IF(D793="Operacional",10,3),FERIADOS!$A$3:$A$119))),"-")),"-")</f>
        <v>-</v>
      </c>
      <c r="P793" s="13"/>
      <c r="Q793" s="7"/>
      <c r="R793" s="13"/>
      <c r="S793" s="30"/>
      <c r="T793" s="43"/>
      <c r="V793" s="37">
        <v>45955</v>
      </c>
      <c r="W793" t="str">
        <f t="shared" si="352"/>
        <v>ADGPoço MRO-24 (P-06)Poço PVT</v>
      </c>
      <c r="X7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4" spans="1:24" ht="12.5" x14ac:dyDescent="0.25">
      <c r="A794" s="8"/>
      <c r="B794" s="8" t="s">
        <v>192</v>
      </c>
      <c r="C794" s="5" t="s">
        <v>196</v>
      </c>
      <c r="D794" s="9" t="s">
        <v>26</v>
      </c>
      <c r="E794" s="36"/>
      <c r="F794" s="29" cm="1">
        <f t="array" ref="F794">IF(V794 &lt;&gt; "", V794, IFERROR(_xlfn.SINGLE(INDEX($G$1:G793,SUMPRODUCT(MAX(($W$1:W793=W794)*(ROW($W$1:W793))))))+IF(D794="Fiscal",30,90),""))</f>
        <v>46045</v>
      </c>
      <c r="G794" s="13">
        <v>45993</v>
      </c>
      <c r="H794" s="15">
        <f t="shared" si="349"/>
        <v>46003</v>
      </c>
      <c r="I794" s="15">
        <v>45997</v>
      </c>
      <c r="J794" s="32" t="s">
        <v>217</v>
      </c>
      <c r="K794" s="15">
        <f t="shared" si="350"/>
        <v>46013</v>
      </c>
      <c r="L794" s="15">
        <v>46007</v>
      </c>
      <c r="M794" s="15">
        <f t="shared" si="351"/>
        <v>46018</v>
      </c>
      <c r="N794" s="13">
        <v>46017</v>
      </c>
      <c r="O794" s="2" t="str">
        <f>IFERROR(IF(tblColetas[[#This Row],[Status Coleta]]="Reprovado","Reprovado",IF(ISERROR(SEARCH("Poço",D794)),IF(N794="","Erro",IF(Q794="Reprovado","",WORKDAY(N794,IF(D794="Operacional",10,3),FERIADOS!$A$3:$A$119))),"-")),"-")</f>
        <v>-</v>
      </c>
      <c r="P794" s="13"/>
      <c r="Q794" s="7"/>
      <c r="R794" s="13"/>
      <c r="S794" s="30"/>
      <c r="T794" s="43"/>
      <c r="W794" t="str">
        <f t="shared" si="352"/>
        <v>ADGPoço MRO-24 (P-06)Poço CG</v>
      </c>
      <c r="X7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5" spans="1:24" ht="12.5" x14ac:dyDescent="0.25">
      <c r="A795" s="8"/>
      <c r="B795" s="8" t="s">
        <v>192</v>
      </c>
      <c r="C795" s="5" t="s">
        <v>196</v>
      </c>
      <c r="D795" s="9" t="s">
        <v>29</v>
      </c>
      <c r="E795" s="36"/>
      <c r="F795" s="29" cm="1">
        <f t="array" ref="F795">IF(V795 &lt;&gt; "", V795, IFERROR(_xlfn.SINGLE(INDEX($G$1:G794,SUMPRODUCT(MAX(($W$1:W794=W795)*(ROW($W$1:W794))))))+IF(D795="Fiscal",30,90),""))</f>
        <v>46045</v>
      </c>
      <c r="G795" s="13">
        <v>45993</v>
      </c>
      <c r="H795" s="15">
        <f t="shared" si="349"/>
        <v>46003</v>
      </c>
      <c r="I795" s="15">
        <v>45997</v>
      </c>
      <c r="J795" s="32" t="s">
        <v>217</v>
      </c>
      <c r="K795" s="15">
        <f t="shared" si="350"/>
        <v>46013</v>
      </c>
      <c r="L795" s="15">
        <v>46007</v>
      </c>
      <c r="M795" s="15">
        <f t="shared" si="351"/>
        <v>46018</v>
      </c>
      <c r="N795" s="13">
        <v>46017</v>
      </c>
      <c r="O795" s="2" t="str">
        <f>IFERROR(IF(tblColetas[[#This Row],[Status Coleta]]="Reprovado","Reprovado",IF(ISERROR(SEARCH("Poço",D795)),IF(N795="","Erro",IF(Q795="Reprovado","",WORKDAY(N795,IF(D795="Operacional",10,3),FERIADOS!$A$3:$A$119))),"-")),"-")</f>
        <v>Reprovado</v>
      </c>
      <c r="P795" s="13"/>
      <c r="Q795" s="7" t="s">
        <v>81</v>
      </c>
      <c r="R795" s="13"/>
      <c r="S795" s="33" t="s">
        <v>127</v>
      </c>
      <c r="T795" s="43"/>
      <c r="W795" t="str">
        <f t="shared" si="352"/>
        <v>ADGPoço MRO-24 (P-06)Poço PVT</v>
      </c>
      <c r="X7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6" spans="1:24" ht="12.5" x14ac:dyDescent="0.25">
      <c r="A796" s="19"/>
      <c r="B796" s="19" t="s">
        <v>38</v>
      </c>
      <c r="C796" s="5" t="s">
        <v>41</v>
      </c>
      <c r="D796" s="20" t="s">
        <v>26</v>
      </c>
      <c r="E796" s="35"/>
      <c r="F796" s="29" cm="1">
        <f t="array" ref="F796">IF(V796 &lt;&gt; "", V796, IFERROR(_xlfn.SINGLE(INDEX($G$1:G795,SUMPRODUCT(MAX(($W$1:W795=W796)*(ROW($W$1:W795))))))+IF(D796="Fiscal",30,90),""))</f>
        <v>46047</v>
      </c>
      <c r="G796" s="21">
        <v>46027</v>
      </c>
      <c r="H796" s="15">
        <f t="shared" ref="H796:H809" si="353">IF(G796="","Erro", G796+10)</f>
        <v>46037</v>
      </c>
      <c r="I796" s="15">
        <v>46034</v>
      </c>
      <c r="J796" s="32" t="s">
        <v>253</v>
      </c>
      <c r="K796" s="15">
        <f t="shared" ref="K796:K809" si="354">IF(G796="","Erro",G796+20)</f>
        <v>46047</v>
      </c>
      <c r="L796" s="15">
        <v>46038</v>
      </c>
      <c r="M796" s="15">
        <f t="shared" ref="M796:M809" si="355">IF(G796="","Erro",G796+IF(D796="Operacional",45,25))</f>
        <v>46052</v>
      </c>
      <c r="N796" s="13">
        <v>46052</v>
      </c>
      <c r="O796" s="2" t="str">
        <f>IFERROR(IF(tblColetas[[#This Row],[Status Coleta]]="Reprovado","Reprovado",IF(ISERROR(SEARCH("Poço",D796)),IF(N796="","Erro",IF(Q796="Reprovado","",WORKDAY(N796,IF(D796="Operacional",10,3),FERIADOS!$A$3:$A$119))),"-")),"-")</f>
        <v>-</v>
      </c>
      <c r="P796" s="21"/>
      <c r="Q796" s="7"/>
      <c r="R796" s="13"/>
      <c r="S796" s="30"/>
      <c r="T796" s="43"/>
      <c r="W796" t="str">
        <f t="shared" ref="W796:W809" si="356">B796&amp;C796&amp;D796</f>
        <v>CDPPoço LL-15 (P-3)Poço CG</v>
      </c>
      <c r="X7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7" spans="1:24" ht="12.5" x14ac:dyDescent="0.25">
      <c r="A797" s="19"/>
      <c r="B797" s="19" t="s">
        <v>38</v>
      </c>
      <c r="C797" s="5" t="s">
        <v>41</v>
      </c>
      <c r="D797" s="20" t="s">
        <v>29</v>
      </c>
      <c r="E797" s="35"/>
      <c r="F797" s="29" cm="1">
        <f t="array" ref="F797">IF(V797 &lt;&gt; "", V797, IFERROR(_xlfn.SINGLE(INDEX($G$1:G796,SUMPRODUCT(MAX(($W$1:W796=W797)*(ROW($W$1:W796))))))+IF(D797="Fiscal",30,90),""))</f>
        <v>46047</v>
      </c>
      <c r="G797" s="21">
        <v>46027</v>
      </c>
      <c r="H797" s="15">
        <f t="shared" si="353"/>
        <v>46037</v>
      </c>
      <c r="I797" s="15">
        <v>46034</v>
      </c>
      <c r="J797" s="32" t="s">
        <v>253</v>
      </c>
      <c r="K797" s="15">
        <f t="shared" si="354"/>
        <v>46047</v>
      </c>
      <c r="L797" s="15">
        <v>46038</v>
      </c>
      <c r="M797" s="15">
        <f t="shared" si="355"/>
        <v>46052</v>
      </c>
      <c r="N797" s="13">
        <v>46052</v>
      </c>
      <c r="O797" s="2" t="str">
        <f>IFERROR(IF(tblColetas[[#This Row],[Status Coleta]]="Reprovado","Reprovado",IF(ISERROR(SEARCH("Poço",D797)),IF(N797="","Erro",IF(Q797="Reprovado","",WORKDAY(N797,IF(D797="Operacional",10,3),FERIADOS!$A$3:$A$119))),"-")),"-")</f>
        <v>Reprovado</v>
      </c>
      <c r="P797" s="21"/>
      <c r="Q797" s="7" t="s">
        <v>81</v>
      </c>
      <c r="R797" s="13"/>
      <c r="S797" s="30"/>
      <c r="T797" s="43"/>
      <c r="W797" t="str">
        <f t="shared" si="356"/>
        <v>CDPPoço LL-15 (P-3)Poço PVT</v>
      </c>
      <c r="X7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8" spans="1:24" ht="12.5" x14ac:dyDescent="0.25">
      <c r="A798" s="19"/>
      <c r="B798" s="19" t="s">
        <v>34</v>
      </c>
      <c r="C798" s="5" t="s">
        <v>91</v>
      </c>
      <c r="D798" s="20" t="s">
        <v>26</v>
      </c>
      <c r="E798" s="35"/>
      <c r="F798" s="29" cm="1">
        <f t="array" ref="F798">IF(V798 &lt;&gt; "", V798, IFERROR(_xlfn.SINGLE(INDEX($G$1:G797,SUMPRODUCT(MAX(($W$1:W797=W798)*(ROW($W$1:W797))))))+IF(D798="Fiscal",30,90),""))</f>
        <v>46050</v>
      </c>
      <c r="G798" s="21">
        <v>46046</v>
      </c>
      <c r="H798" s="15">
        <f t="shared" si="353"/>
        <v>46056</v>
      </c>
      <c r="I798" s="15">
        <v>46048</v>
      </c>
      <c r="J798" s="32" t="s">
        <v>254</v>
      </c>
      <c r="K798" s="15">
        <f t="shared" si="354"/>
        <v>46066</v>
      </c>
      <c r="L798" s="15">
        <v>46058</v>
      </c>
      <c r="M798" s="15">
        <f t="shared" si="355"/>
        <v>46071</v>
      </c>
      <c r="N798" s="13"/>
      <c r="O798" s="2" t="str">
        <f>IFERROR(IF(tblColetas[[#This Row],[Status Coleta]]="Reprovado","Reprovado",IF(ISERROR(SEARCH("Poço",D798)),IF(N798="","Erro",IF(Q798="Reprovado","",WORKDAY(N798,IF(D798="Operacional",10,3),FERIADOS!$A$3:$A$119))),"-")),"-")</f>
        <v>-</v>
      </c>
      <c r="P798" s="21"/>
      <c r="Q798" s="7"/>
      <c r="R798" s="13"/>
      <c r="S798" s="30"/>
      <c r="T798" s="43"/>
      <c r="W798" t="str">
        <f t="shared" si="356"/>
        <v>CDSPoço LL-80 (P-08)Poço CG</v>
      </c>
      <c r="X7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799" spans="1:24" ht="12.5" x14ac:dyDescent="0.25">
      <c r="A799" s="19"/>
      <c r="B799" s="19" t="s">
        <v>34</v>
      </c>
      <c r="C799" s="5" t="s">
        <v>91</v>
      </c>
      <c r="D799" s="20" t="s">
        <v>29</v>
      </c>
      <c r="E799" s="35"/>
      <c r="F799" s="29" cm="1">
        <f t="array" ref="F799">IF(V799 &lt;&gt; "", V799, IFERROR(_xlfn.SINGLE(INDEX($G$1:G798,SUMPRODUCT(MAX(($W$1:W798=W799)*(ROW($W$1:W798))))))+IF(D799="Fiscal",30,90),""))</f>
        <v>46050</v>
      </c>
      <c r="G799" s="21">
        <v>46046</v>
      </c>
      <c r="H799" s="15">
        <f t="shared" si="353"/>
        <v>46056</v>
      </c>
      <c r="I799" s="15">
        <v>46048</v>
      </c>
      <c r="J799" s="32" t="s">
        <v>254</v>
      </c>
      <c r="K799" s="15">
        <f t="shared" si="354"/>
        <v>46066</v>
      </c>
      <c r="L799" s="15">
        <v>46058</v>
      </c>
      <c r="M799" s="15">
        <f t="shared" si="355"/>
        <v>46071</v>
      </c>
      <c r="N799" s="13"/>
      <c r="O799" s="2" t="str">
        <f>IFERROR(IF(tblColetas[[#This Row],[Status Coleta]]="Reprovado","Reprovado",IF(ISERROR(SEARCH("Poço",D799)),IF(N799="","Erro",IF(Q799="Reprovado","",WORKDAY(N799,IF(D799="Operacional",10,3),FERIADOS!$A$3:$A$119))),"-")),"-")</f>
        <v>-</v>
      </c>
      <c r="P799" s="21"/>
      <c r="Q799" s="7"/>
      <c r="R799" s="13"/>
      <c r="S799" s="30"/>
      <c r="T799" s="43"/>
      <c r="W799" t="str">
        <f t="shared" si="356"/>
        <v>CDSPoço LL-80 (P-08)Poço PVT</v>
      </c>
      <c r="X7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0" spans="1:24" ht="12.5" x14ac:dyDescent="0.25">
      <c r="A800" s="19"/>
      <c r="B800" s="19" t="s">
        <v>145</v>
      </c>
      <c r="C800" s="5" t="s">
        <v>146</v>
      </c>
      <c r="D800" s="20" t="s">
        <v>72</v>
      </c>
      <c r="E800" s="35"/>
      <c r="F800" s="29" cm="1">
        <f t="array" ref="F800">IF(V800 &lt;&gt; "", V800, IFERROR(_xlfn.SINGLE(INDEX($G$1:G799,SUMPRODUCT(MAX(($W$1:W799=W800)*(ROW($W$1:W799))))))+IF(D800="Fiscal",30,90),""))</f>
        <v>45990</v>
      </c>
      <c r="G800" s="21">
        <v>45989</v>
      </c>
      <c r="H800" s="15">
        <f t="shared" si="353"/>
        <v>45999</v>
      </c>
      <c r="I800" s="15"/>
      <c r="J800" s="32"/>
      <c r="K800" s="15">
        <f t="shared" si="354"/>
        <v>46009</v>
      </c>
      <c r="L800" s="15"/>
      <c r="M800" s="15">
        <f t="shared" si="355"/>
        <v>46014</v>
      </c>
      <c r="N800" s="13">
        <v>46014</v>
      </c>
      <c r="O800" s="2">
        <f>IFERROR(IF(tblColetas[[#This Row],[Status Coleta]]="Reprovado","Reprovado",IF(ISERROR(SEARCH("Poço",D800)),IF(N800="","Erro",IF(Q800="Reprovado","",WORKDAY(N800,IF(D800="Operacional",10,3),FERIADOS!$A$3:$A$119))),"-")),"-")</f>
        <v>46020</v>
      </c>
      <c r="P800" s="21">
        <v>46019</v>
      </c>
      <c r="Q800" s="7" t="s">
        <v>37</v>
      </c>
      <c r="R800" s="13"/>
      <c r="S800" s="30"/>
      <c r="T800" s="43"/>
      <c r="W800" t="str">
        <f t="shared" si="356"/>
        <v>ATD777-AP-1403 (Fuel Gas to Flare Stack)Fiscal</v>
      </c>
      <c r="X8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1" spans="1:24" ht="12.5" x14ac:dyDescent="0.25">
      <c r="A801" s="19"/>
      <c r="B801" s="19" t="s">
        <v>145</v>
      </c>
      <c r="C801" s="5" t="s">
        <v>147</v>
      </c>
      <c r="D801" s="20" t="s">
        <v>72</v>
      </c>
      <c r="E801" s="35"/>
      <c r="F801" s="29" cm="1">
        <f t="array" ref="F801">IF(V801 &lt;&gt; "", V801, IFERROR(_xlfn.SINGLE(INDEX($G$1:G800,SUMPRODUCT(MAX(($W$1:W800=W801)*(ROW($W$1:W800))))))+IF(D801="Fiscal",30,90),""))</f>
        <v>45990</v>
      </c>
      <c r="G801" s="21">
        <v>45989</v>
      </c>
      <c r="H801" s="15">
        <f t="shared" si="353"/>
        <v>45999</v>
      </c>
      <c r="I801" s="15"/>
      <c r="J801" s="32"/>
      <c r="K801" s="15">
        <f t="shared" si="354"/>
        <v>46009</v>
      </c>
      <c r="L801" s="15"/>
      <c r="M801" s="15">
        <f t="shared" si="355"/>
        <v>46014</v>
      </c>
      <c r="N801" s="13">
        <v>46014</v>
      </c>
      <c r="O801" s="2">
        <f>IFERROR(IF(tblColetas[[#This Row],[Status Coleta]]="Reprovado","Reprovado",IF(ISERROR(SEARCH("Poço",D801)),IF(N801="","Erro",IF(Q801="Reprovado","",WORKDAY(N801,IF(D801="Operacional",10,3),FERIADOS!$A$3:$A$119))),"-")),"-")</f>
        <v>46020</v>
      </c>
      <c r="P801" s="21">
        <v>46019</v>
      </c>
      <c r="Q801" s="7" t="s">
        <v>37</v>
      </c>
      <c r="R801" s="13"/>
      <c r="S801" s="30"/>
      <c r="T801" s="43"/>
      <c r="W801" t="str">
        <f t="shared" si="356"/>
        <v>ATD777-AP-1506 (Fuel Gas)Fiscal</v>
      </c>
      <c r="X8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2" spans="1:24" ht="12.5" x14ac:dyDescent="0.25">
      <c r="A802" s="19"/>
      <c r="B802" s="19" t="s">
        <v>145</v>
      </c>
      <c r="C802" s="5" t="s">
        <v>148</v>
      </c>
      <c r="D802" s="20" t="s">
        <v>72</v>
      </c>
      <c r="E802" s="35"/>
      <c r="F802" s="29" cm="1">
        <f t="array" ref="F802">IF(V802 &lt;&gt; "", V802, IFERROR(_xlfn.SINGLE(INDEX($G$1:G801,SUMPRODUCT(MAX(($W$1:W801=W802)*(ROW($W$1:W801))))))+IF(D802="Fiscal",30,90),""))</f>
        <v>45990</v>
      </c>
      <c r="G802" s="21">
        <v>45989</v>
      </c>
      <c r="H802" s="15">
        <f t="shared" si="353"/>
        <v>45999</v>
      </c>
      <c r="I802" s="15"/>
      <c r="J802" s="32"/>
      <c r="K802" s="15">
        <f t="shared" si="354"/>
        <v>46009</v>
      </c>
      <c r="L802" s="15"/>
      <c r="M802" s="15">
        <f t="shared" si="355"/>
        <v>46014</v>
      </c>
      <c r="N802" s="13">
        <v>46014</v>
      </c>
      <c r="O802" s="2">
        <f>IFERROR(IF(tblColetas[[#This Row],[Status Coleta]]="Reprovado","Reprovado",IF(ISERROR(SEARCH("Poço",D802)),IF(N802="","Erro",IF(Q802="Reprovado","",WORKDAY(N802,IF(D802="Operacional",10,3),FERIADOS!$A$3:$A$119))),"-")),"-")</f>
        <v>46020</v>
      </c>
      <c r="P802" s="21">
        <v>46019</v>
      </c>
      <c r="Q802" s="7" t="s">
        <v>37</v>
      </c>
      <c r="R802" s="13"/>
      <c r="S802" s="30"/>
      <c r="T802" s="43"/>
      <c r="W802" t="str">
        <f t="shared" si="356"/>
        <v>ATD776-AP-0018-2 (HP Flare)Fiscal</v>
      </c>
      <c r="X8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3" spans="1:24" ht="12.5" x14ac:dyDescent="0.25">
      <c r="A803" s="19"/>
      <c r="B803" s="19" t="s">
        <v>145</v>
      </c>
      <c r="C803" s="5" t="s">
        <v>149</v>
      </c>
      <c r="D803" s="20" t="s">
        <v>72</v>
      </c>
      <c r="E803" s="35"/>
      <c r="F803" s="29" cm="1">
        <f t="array" ref="F803">IF(V803 &lt;&gt; "", V803, IFERROR(_xlfn.SINGLE(INDEX($G$1:G802,SUMPRODUCT(MAX(($W$1:W802=W803)*(ROW($W$1:W802))))))+IF(D803="Fiscal",30,90),""))</f>
        <v>45990</v>
      </c>
      <c r="G803" s="21">
        <v>45989</v>
      </c>
      <c r="H803" s="15">
        <f t="shared" si="353"/>
        <v>45999</v>
      </c>
      <c r="I803" s="15"/>
      <c r="J803" s="32"/>
      <c r="K803" s="15">
        <f t="shared" si="354"/>
        <v>46009</v>
      </c>
      <c r="L803" s="15"/>
      <c r="M803" s="15">
        <f t="shared" si="355"/>
        <v>46014</v>
      </c>
      <c r="N803" s="13">
        <v>46014</v>
      </c>
      <c r="O803" s="2" t="str">
        <f>IFERROR(IF(tblColetas[[#This Row],[Status Coleta]]="Reprovado","Reprovado",IF(ISERROR(SEARCH("Poço",D803)),IF(N803="","Erro",IF(Q803="Reprovado","",WORKDAY(N803,IF(D803="Operacional",10,3),FERIADOS!$A$3:$A$119))),"-")),"-")</f>
        <v>Reprovado</v>
      </c>
      <c r="P803" s="21"/>
      <c r="Q803" s="7" t="s">
        <v>81</v>
      </c>
      <c r="R803" s="13"/>
      <c r="S803" s="30"/>
      <c r="T803" s="43"/>
      <c r="W803" t="str">
        <f t="shared" si="356"/>
        <v>ATD776-AP-0036-2 (LP Flare)Fiscal</v>
      </c>
      <c r="X8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4" spans="1:24" ht="12.5" x14ac:dyDescent="0.25">
      <c r="A804" s="19"/>
      <c r="B804" s="19" t="s">
        <v>145</v>
      </c>
      <c r="C804" s="5" t="s">
        <v>151</v>
      </c>
      <c r="D804" s="20" t="s">
        <v>72</v>
      </c>
      <c r="E804" s="35"/>
      <c r="F804" s="29" cm="1">
        <f t="array" ref="F804">IF(V804 &lt;&gt; "", V804, IFERROR(_xlfn.SINGLE(INDEX($G$1:G803,SUMPRODUCT(MAX(($W$1:W803=W804)*(ROW($W$1:W803))))))+IF(D804="Fiscal",30,90),""))</f>
        <v>45990</v>
      </c>
      <c r="G804" s="21">
        <v>45989</v>
      </c>
      <c r="H804" s="15">
        <f t="shared" si="353"/>
        <v>45999</v>
      </c>
      <c r="I804" s="15"/>
      <c r="J804" s="32"/>
      <c r="K804" s="15">
        <f t="shared" si="354"/>
        <v>46009</v>
      </c>
      <c r="L804" s="15"/>
      <c r="M804" s="15">
        <f t="shared" si="355"/>
        <v>46014</v>
      </c>
      <c r="N804" s="13">
        <v>46014</v>
      </c>
      <c r="O804" s="2" t="str">
        <f>IFERROR(IF(tblColetas[[#This Row],[Status Coleta]]="Reprovado","Reprovado",IF(ISERROR(SEARCH("Poço",D804)),IF(N804="","Erro",IF(Q804="Reprovado","",WORKDAY(N804,IF(D804="Operacional",10,3),FERIADOS!$A$3:$A$119))),"-")),"-")</f>
        <v>Reprovado</v>
      </c>
      <c r="P804" s="21"/>
      <c r="Q804" s="7" t="s">
        <v>81</v>
      </c>
      <c r="R804" s="13"/>
      <c r="S804" s="30"/>
      <c r="T804" s="43"/>
      <c r="W804" t="str">
        <f t="shared" si="356"/>
        <v>ATD776-AP-7001 (Flare Assist)Fiscal</v>
      </c>
      <c r="X8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5" spans="1:24" ht="12.5" x14ac:dyDescent="0.25">
      <c r="A805" s="19"/>
      <c r="B805" s="19" t="s">
        <v>31</v>
      </c>
      <c r="C805" s="5" t="s">
        <v>122</v>
      </c>
      <c r="D805" s="20" t="s">
        <v>72</v>
      </c>
      <c r="E805" s="35"/>
      <c r="F805" s="29" cm="1">
        <f t="array" ref="F805">IF(V805 &lt;&gt; "", V805, IFERROR(_xlfn.SINGLE(INDEX($G$1:G804,SUMPRODUCT(MAX(($W$1:W804=W805)*(ROW($W$1:W804))))))+IF(D805="Fiscal",30,90),""))</f>
        <v>45990</v>
      </c>
      <c r="G805" s="21">
        <v>45990</v>
      </c>
      <c r="H805" s="15">
        <f t="shared" si="353"/>
        <v>46000</v>
      </c>
      <c r="I805" s="15"/>
      <c r="J805" s="32"/>
      <c r="K805" s="15">
        <f t="shared" si="354"/>
        <v>46010</v>
      </c>
      <c r="L805" s="15"/>
      <c r="M805" s="15">
        <f t="shared" si="355"/>
        <v>46015</v>
      </c>
      <c r="N805" s="13">
        <v>46014</v>
      </c>
      <c r="O805" s="2">
        <f>IFERROR(IF(tblColetas[[#This Row],[Status Coleta]]="Reprovado","Reprovado",IF(ISERROR(SEARCH("Poço",D805)),IF(N805="","Erro",IF(Q805="Reprovado","",WORKDAY(N805,IF(D805="Operacional",10,3),FERIADOS!$A$3:$A$119))),"-")),"-")</f>
        <v>46020</v>
      </c>
      <c r="P805" s="21">
        <v>46020</v>
      </c>
      <c r="Q805" s="7" t="s">
        <v>37</v>
      </c>
      <c r="R805" s="13"/>
      <c r="S805" s="30"/>
      <c r="T805" s="43"/>
      <c r="W805" t="str">
        <f t="shared" si="356"/>
        <v>CDIT77-FT-6911 (Export gas)Fiscal</v>
      </c>
      <c r="X8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6" spans="1:24" ht="12.5" x14ac:dyDescent="0.25">
      <c r="A806" s="19"/>
      <c r="B806" s="19" t="s">
        <v>31</v>
      </c>
      <c r="C806" s="5" t="s">
        <v>71</v>
      </c>
      <c r="D806" s="20" t="s">
        <v>72</v>
      </c>
      <c r="E806" s="35"/>
      <c r="F806" s="29" cm="1">
        <f t="array" ref="F806">IF(V806 &lt;&gt; "", V806, IFERROR(_xlfn.SINGLE(INDEX($G$1:G805,SUMPRODUCT(MAX(($W$1:W805=W806)*(ROW($W$1:W805))))))+IF(D806="Fiscal",30,90),""))</f>
        <v>45990</v>
      </c>
      <c r="G806" s="21">
        <v>45990</v>
      </c>
      <c r="H806" s="15">
        <f t="shared" si="353"/>
        <v>46000</v>
      </c>
      <c r="I806" s="15"/>
      <c r="J806" s="32"/>
      <c r="K806" s="15">
        <f t="shared" si="354"/>
        <v>46010</v>
      </c>
      <c r="L806" s="15"/>
      <c r="M806" s="15">
        <f t="shared" si="355"/>
        <v>46015</v>
      </c>
      <c r="N806" s="13">
        <v>46014</v>
      </c>
      <c r="O806" s="2">
        <f>IFERROR(IF(tblColetas[[#This Row],[Status Coleta]]="Reprovado","Reprovado",IF(ISERROR(SEARCH("Poço",D806)),IF(N806="","Erro",IF(Q806="Reprovado","",WORKDAY(N806,IF(D806="Operacional",10,3),FERIADOS!$A$3:$A$119))),"-")),"-")</f>
        <v>46020</v>
      </c>
      <c r="P806" s="21">
        <v>46020</v>
      </c>
      <c r="Q806" s="7" t="s">
        <v>37</v>
      </c>
      <c r="R806" s="13"/>
      <c r="S806" s="30"/>
      <c r="T806" s="43"/>
      <c r="W806" t="str">
        <f t="shared" si="356"/>
        <v>CDIT77-FT-0103 (Fuel Gas)Fiscal</v>
      </c>
      <c r="X8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7" spans="1:24" ht="12.5" x14ac:dyDescent="0.25">
      <c r="A807" s="19"/>
      <c r="B807" s="19" t="s">
        <v>31</v>
      </c>
      <c r="C807" s="5" t="s">
        <v>74</v>
      </c>
      <c r="D807" s="20" t="s">
        <v>72</v>
      </c>
      <c r="E807" s="35"/>
      <c r="F807" s="29" cm="1">
        <f t="array" ref="F807">IF(V807 &lt;&gt; "", V807, IFERROR(_xlfn.SINGLE(INDEX($G$1:G806,SUMPRODUCT(MAX(($W$1:W806=W807)*(ROW($W$1:W806))))))+IF(D807="Fiscal",30,90),""))</f>
        <v>45990</v>
      </c>
      <c r="G807" s="21">
        <v>45990</v>
      </c>
      <c r="H807" s="15">
        <f t="shared" si="353"/>
        <v>46000</v>
      </c>
      <c r="I807" s="15"/>
      <c r="J807" s="32"/>
      <c r="K807" s="15">
        <f t="shared" si="354"/>
        <v>46010</v>
      </c>
      <c r="L807" s="15"/>
      <c r="M807" s="15">
        <f t="shared" si="355"/>
        <v>46015</v>
      </c>
      <c r="N807" s="13">
        <v>46014</v>
      </c>
      <c r="O807" s="2">
        <f>IFERROR(IF(tblColetas[[#This Row],[Status Coleta]]="Reprovado","Reprovado",IF(ISERROR(SEARCH("Poço",D807)),IF(N807="","Erro",IF(Q807="Reprovado","",WORKDAY(N807,IF(D807="Operacional",10,3),FERIADOS!$A$3:$A$119))),"-")),"-")</f>
        <v>46020</v>
      </c>
      <c r="P807" s="21">
        <v>46020</v>
      </c>
      <c r="Q807" s="7" t="s">
        <v>37</v>
      </c>
      <c r="R807" s="13"/>
      <c r="S807" s="30"/>
      <c r="T807" s="43"/>
      <c r="W807" t="str">
        <f t="shared" si="356"/>
        <v>CDIT76-FT-0014 (HP Flare)Fiscal</v>
      </c>
      <c r="X8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8" spans="1:24" ht="12.5" x14ac:dyDescent="0.25">
      <c r="A808" s="19"/>
      <c r="B808" s="19" t="s">
        <v>31</v>
      </c>
      <c r="C808" s="5" t="s">
        <v>75</v>
      </c>
      <c r="D808" s="20" t="s">
        <v>72</v>
      </c>
      <c r="E808" s="35"/>
      <c r="F808" s="29" cm="1">
        <f t="array" ref="F808">IF(V808 &lt;&gt; "", V808, IFERROR(_xlfn.SINGLE(INDEX($G$1:G807,SUMPRODUCT(MAX(($W$1:W807=W808)*(ROW($W$1:W807))))))+IF(D808="Fiscal",30,90),""))</f>
        <v>45990</v>
      </c>
      <c r="G808" s="21">
        <v>45990</v>
      </c>
      <c r="H808" s="15">
        <f t="shared" si="353"/>
        <v>46000</v>
      </c>
      <c r="I808" s="15"/>
      <c r="J808" s="32"/>
      <c r="K808" s="15">
        <f t="shared" si="354"/>
        <v>46010</v>
      </c>
      <c r="L808" s="15"/>
      <c r="M808" s="15">
        <f t="shared" si="355"/>
        <v>46015</v>
      </c>
      <c r="N808" s="13">
        <v>46014</v>
      </c>
      <c r="O808" s="2">
        <f>IFERROR(IF(tblColetas[[#This Row],[Status Coleta]]="Reprovado","Reprovado",IF(ISERROR(SEARCH("Poço",D808)),IF(N808="","Erro",IF(Q808="Reprovado","",WORKDAY(N808,IF(D808="Operacional",10,3),FERIADOS!$A$3:$A$119))),"-")),"-")</f>
        <v>46020</v>
      </c>
      <c r="P808" s="21">
        <v>46020</v>
      </c>
      <c r="Q808" s="7" t="s">
        <v>37</v>
      </c>
      <c r="R808" s="13"/>
      <c r="S808" s="30"/>
      <c r="T808" s="43"/>
      <c r="W808" t="str">
        <f t="shared" si="356"/>
        <v>CDIT76-FT-0034 (LP Flare)Fiscal</v>
      </c>
      <c r="X8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09" spans="1:24" ht="12.5" x14ac:dyDescent="0.25">
      <c r="A809" s="19"/>
      <c r="B809" s="19" t="s">
        <v>31</v>
      </c>
      <c r="C809" s="5" t="s">
        <v>69</v>
      </c>
      <c r="D809" s="20" t="s">
        <v>70</v>
      </c>
      <c r="E809" s="35"/>
      <c r="F809" s="29" cm="1">
        <f t="array" ref="F809">IF(V809 &lt;&gt; "", V809, IFERROR(_xlfn.SINGLE(INDEX($G$1:G808,SUMPRODUCT(MAX(($W$1:W808=W809)*(ROW($W$1:W808))))))+IF(D809="Fiscal",30,90),""))</f>
        <v>46050</v>
      </c>
      <c r="G809" s="21">
        <v>46046</v>
      </c>
      <c r="H809" s="15">
        <f t="shared" si="353"/>
        <v>46056</v>
      </c>
      <c r="I809" s="15"/>
      <c r="J809" s="32"/>
      <c r="K809" s="15">
        <f t="shared" si="354"/>
        <v>46066</v>
      </c>
      <c r="L809" s="15"/>
      <c r="M809" s="15">
        <f t="shared" si="355"/>
        <v>46071</v>
      </c>
      <c r="N809" s="13"/>
      <c r="O809" s="2" t="str">
        <f>IFERROR(IF(tblColetas[[#This Row],[Status Coleta]]="Reprovado","Reprovado",IF(ISERROR(SEARCH("Poço",D809)),IF(N809="","Erro",IF(Q809="Reprovado","",WORKDAY(N809,IF(D809="Operacional",10,3),FERIADOS!$A$3:$A$119))),"-")),"-")</f>
        <v>Erro</v>
      </c>
      <c r="P809" s="21"/>
      <c r="Q809" s="7"/>
      <c r="R809" s="13"/>
      <c r="S809" s="30"/>
      <c r="T809" s="43"/>
      <c r="W809" t="str">
        <f t="shared" si="356"/>
        <v>CDIT73-AP-0001 (Gas Lift)Gas Lift</v>
      </c>
      <c r="X8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0" spans="1:24" ht="12.5" x14ac:dyDescent="0.25">
      <c r="A810" s="19"/>
      <c r="B810" s="19" t="s">
        <v>24</v>
      </c>
      <c r="C810" s="5" t="s">
        <v>76</v>
      </c>
      <c r="D810" s="20" t="s">
        <v>72</v>
      </c>
      <c r="E810" s="35"/>
      <c r="F810" s="29" cm="1">
        <f t="array" ref="F810">IF(V810 &lt;&gt; "", V810, IFERROR(_xlfn.SINGLE(INDEX($G$1:G809,SUMPRODUCT(MAX(($W$1:W809=W810)*(ROW($W$1:W809))))))+IF(D810="Fiscal",30,90),""))</f>
        <v>45996</v>
      </c>
      <c r="G810" s="21">
        <v>45991</v>
      </c>
      <c r="H810" s="15">
        <f t="shared" ref="H810:H824" si="357">IF(G810="","Erro", G810+10)</f>
        <v>46001</v>
      </c>
      <c r="I810" s="15">
        <v>45994</v>
      </c>
      <c r="J810" s="32" t="s">
        <v>167</v>
      </c>
      <c r="K810" s="15">
        <f t="shared" ref="K810:K824" si="358">IF(G810="","Erro",G810+20)</f>
        <v>46011</v>
      </c>
      <c r="L810" s="15">
        <v>46001</v>
      </c>
      <c r="M810" s="15">
        <f t="shared" ref="M810:M824" si="359">IF(G810="","Erro",G810+IF(D810="Operacional",45,25))</f>
        <v>46016</v>
      </c>
      <c r="N810" s="13">
        <v>46015</v>
      </c>
      <c r="O810" s="2">
        <f>IFERROR(IF(tblColetas[[#This Row],[Status Coleta]]="Reprovado","Reprovado",IF(ISERROR(SEARCH("Poço",D810)),IF(N810="","Erro",IF(Q810="Reprovado","",WORKDAY(N810,IF(D810="Operacional",10,3),FERIADOS!$A$3:$A$119))),"-")),"-")</f>
        <v>46021</v>
      </c>
      <c r="P810" s="21">
        <v>46020</v>
      </c>
      <c r="Q810" s="7" t="s">
        <v>37</v>
      </c>
      <c r="R810" s="13"/>
      <c r="S810" s="30"/>
      <c r="T810" s="43"/>
      <c r="W810" t="str">
        <f t="shared" ref="W810:W824" si="360">B810&amp;C810&amp;D810</f>
        <v>CDAM74-FT-005 (Export gas)Fiscal</v>
      </c>
      <c r="X8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1" spans="1:24" ht="12.5" x14ac:dyDescent="0.25">
      <c r="A811" s="19"/>
      <c r="B811" s="19" t="s">
        <v>24</v>
      </c>
      <c r="C811" s="5" t="s">
        <v>78</v>
      </c>
      <c r="D811" s="20" t="s">
        <v>72</v>
      </c>
      <c r="E811" s="35"/>
      <c r="F811" s="29" cm="1">
        <f t="array" ref="F811">IF(V811 &lt;&gt; "", V811, IFERROR(_xlfn.SINGLE(INDEX($G$1:G810,SUMPRODUCT(MAX(($W$1:W810=W811)*(ROW($W$1:W810))))))+IF(D811="Fiscal",30,90),""))</f>
        <v>45996</v>
      </c>
      <c r="G811" s="21">
        <v>45991</v>
      </c>
      <c r="H811" s="15">
        <f t="shared" si="357"/>
        <v>46001</v>
      </c>
      <c r="I811" s="15">
        <v>45994</v>
      </c>
      <c r="J811" s="32" t="s">
        <v>167</v>
      </c>
      <c r="K811" s="15">
        <f t="shared" si="358"/>
        <v>46011</v>
      </c>
      <c r="L811" s="15">
        <v>46001</v>
      </c>
      <c r="M811" s="15">
        <f t="shared" si="359"/>
        <v>46016</v>
      </c>
      <c r="N811" s="13">
        <v>46015</v>
      </c>
      <c r="O811" s="2">
        <f>IFERROR(IF(tblColetas[[#This Row],[Status Coleta]]="Reprovado","Reprovado",IF(ISERROR(SEARCH("Poço",D811)),IF(N811="","Erro",IF(Q811="Reprovado","",WORKDAY(N811,IF(D811="Operacional",10,3),FERIADOS!$A$3:$A$119))),"-")),"-")</f>
        <v>46021</v>
      </c>
      <c r="P811" s="21">
        <v>46020</v>
      </c>
      <c r="Q811" s="7" t="s">
        <v>37</v>
      </c>
      <c r="R811" s="13"/>
      <c r="S811" s="30"/>
      <c r="T811" s="43"/>
      <c r="W811" t="str">
        <f t="shared" si="360"/>
        <v>CDAT77-FT-001 (Fuel Gas)Fiscal</v>
      </c>
      <c r="X8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2" spans="1:24" ht="12.5" x14ac:dyDescent="0.25">
      <c r="A812" s="19"/>
      <c r="B812" s="19" t="s">
        <v>46</v>
      </c>
      <c r="C812" s="5" t="s">
        <v>48</v>
      </c>
      <c r="D812" s="20" t="s">
        <v>26</v>
      </c>
      <c r="E812" s="35"/>
      <c r="F812" s="29" cm="1">
        <f t="array" ref="F812">IF(V812 &lt;&gt; "", V812, IFERROR(_xlfn.SINGLE(INDEX($G$1:G811,SUMPRODUCT(MAX(($W$1:W811=W812)*(ROW($W$1:W811))))))+IF(D812="Fiscal",30,90),""))</f>
        <v>46055</v>
      </c>
      <c r="G812" s="21">
        <v>46034</v>
      </c>
      <c r="H812" s="15">
        <f t="shared" si="357"/>
        <v>46044</v>
      </c>
      <c r="I812" s="15">
        <v>46040</v>
      </c>
      <c r="J812" s="32" t="s">
        <v>246</v>
      </c>
      <c r="K812" s="15">
        <f t="shared" si="358"/>
        <v>46054</v>
      </c>
      <c r="L812" s="15">
        <v>46049</v>
      </c>
      <c r="M812" s="15">
        <f t="shared" si="359"/>
        <v>46059</v>
      </c>
      <c r="N812" s="13">
        <v>46059</v>
      </c>
      <c r="O812" s="2" t="str">
        <f>IFERROR(IF(tblColetas[[#This Row],[Status Coleta]]="Reprovado","Reprovado",IF(ISERROR(SEARCH("Poço",D812)),IF(N812="","Erro",IF(Q812="Reprovado","",WORKDAY(N812,IF(D812="Operacional",10,3),FERIADOS!$A$3:$A$119))),"-")),"-")</f>
        <v>-</v>
      </c>
      <c r="P812" s="21"/>
      <c r="Q812" s="7" t="s">
        <v>37</v>
      </c>
      <c r="R812" s="13"/>
      <c r="S812" s="30"/>
      <c r="T812" s="43"/>
      <c r="W812" t="str">
        <f t="shared" si="360"/>
        <v>CDMPoço LL-66 (P-09)Poço CG</v>
      </c>
      <c r="X8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3" spans="1:24" ht="12.5" x14ac:dyDescent="0.25">
      <c r="A813" s="19"/>
      <c r="B813" s="19" t="s">
        <v>46</v>
      </c>
      <c r="C813" s="5" t="s">
        <v>48</v>
      </c>
      <c r="D813" s="20" t="s">
        <v>29</v>
      </c>
      <c r="E813" s="35"/>
      <c r="F813" s="29" cm="1">
        <f t="array" ref="F813">IF(V813 &lt;&gt; "", V813, IFERROR(_xlfn.SINGLE(INDEX($G$1:G812,SUMPRODUCT(MAX(($W$1:W812=W813)*(ROW($W$1:W812))))))+IF(D813="Fiscal",30,90),""))</f>
        <v>46055</v>
      </c>
      <c r="G813" s="21">
        <v>46034</v>
      </c>
      <c r="H813" s="15">
        <f t="shared" si="357"/>
        <v>46044</v>
      </c>
      <c r="I813" s="15">
        <v>46040</v>
      </c>
      <c r="J813" s="32" t="s">
        <v>246</v>
      </c>
      <c r="K813" s="15">
        <f t="shared" si="358"/>
        <v>46054</v>
      </c>
      <c r="L813" s="15">
        <v>46049</v>
      </c>
      <c r="M813" s="15">
        <f t="shared" si="359"/>
        <v>46059</v>
      </c>
      <c r="N813" s="13">
        <v>46059</v>
      </c>
      <c r="O813" s="2" t="str">
        <f>IFERROR(IF(tblColetas[[#This Row],[Status Coleta]]="Reprovado","Reprovado",IF(ISERROR(SEARCH("Poço",D813)),IF(N813="","Erro",IF(Q813="Reprovado","",WORKDAY(N813,IF(D813="Operacional",10,3),FERIADOS!$A$3:$A$119))),"-")),"-")</f>
        <v>-</v>
      </c>
      <c r="P813" s="21"/>
      <c r="Q813" s="7" t="s">
        <v>37</v>
      </c>
      <c r="R813" s="13"/>
      <c r="S813" s="30"/>
      <c r="T813" s="43"/>
      <c r="W813" t="str">
        <f t="shared" si="360"/>
        <v>CDMPoço LL-66 (P-09)Poço PVT</v>
      </c>
      <c r="X8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4" spans="1:24" ht="12.5" x14ac:dyDescent="0.25">
      <c r="A814" s="19"/>
      <c r="B814" s="19" t="s">
        <v>52</v>
      </c>
      <c r="C814" s="5" t="s">
        <v>83</v>
      </c>
      <c r="D814" s="20" t="s">
        <v>29</v>
      </c>
      <c r="E814" s="35"/>
      <c r="F814" s="29" cm="1">
        <f t="array" ref="F814">IF(V814 &lt;&gt; "", V814, IFERROR(_xlfn.SINGLE(INDEX($G$1:G813,SUMPRODUCT(MAX(($W$1:W813=W814)*(ROW($W$1:W813))))))+IF(D814="Fiscal",30,90),""))</f>
        <v>46021</v>
      </c>
      <c r="G814" s="21">
        <v>45962</v>
      </c>
      <c r="H814" s="15">
        <f t="shared" si="357"/>
        <v>45972</v>
      </c>
      <c r="I814" s="15">
        <v>45967</v>
      </c>
      <c r="J814" s="32" t="s">
        <v>185</v>
      </c>
      <c r="K814" s="15">
        <f t="shared" si="358"/>
        <v>45982</v>
      </c>
      <c r="L814" s="15">
        <v>45980</v>
      </c>
      <c r="M814" s="15">
        <f t="shared" si="359"/>
        <v>45987</v>
      </c>
      <c r="N814" s="13">
        <v>45987</v>
      </c>
      <c r="O814" s="2" t="str">
        <f>IFERROR(IF(tblColetas[[#This Row],[Status Coleta]]="Reprovado","Reprovado",IF(ISERROR(SEARCH("Poço",D814)),IF(N814="","Erro",IF(Q814="Reprovado","",WORKDAY(N814,IF(D814="Operacional",10,3),FERIADOS!$A$3:$A$119))),"-")),"-")</f>
        <v>-</v>
      </c>
      <c r="P814" s="21"/>
      <c r="Q814" s="7"/>
      <c r="R814" s="13"/>
      <c r="S814" s="30"/>
      <c r="T814" s="43"/>
      <c r="W814" t="str">
        <f t="shared" si="360"/>
        <v>SEPPoço MRO-16 P-2Poço PVT</v>
      </c>
      <c r="X8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5" spans="1:24" ht="12.5" x14ac:dyDescent="0.25">
      <c r="A815" s="19"/>
      <c r="B815" s="19" t="s">
        <v>52</v>
      </c>
      <c r="C815" s="5" t="s">
        <v>83</v>
      </c>
      <c r="D815" s="20" t="s">
        <v>26</v>
      </c>
      <c r="E815" s="35"/>
      <c r="F815" s="29" cm="1">
        <f t="array" ref="F815">IF(V815 &lt;&gt; "", V815, IFERROR(_xlfn.SINGLE(INDEX($G$1:G814,SUMPRODUCT(MAX(($W$1:W814=W815)*(ROW($W$1:W814))))))+IF(D815="Fiscal",30,90),""))</f>
        <v>46052</v>
      </c>
      <c r="G815" s="21">
        <v>46039</v>
      </c>
      <c r="H815" s="15">
        <f t="shared" si="357"/>
        <v>46049</v>
      </c>
      <c r="I815" s="15">
        <v>46046</v>
      </c>
      <c r="J815" s="32" t="s">
        <v>42</v>
      </c>
      <c r="K815" s="15">
        <f t="shared" si="358"/>
        <v>46059</v>
      </c>
      <c r="L815" s="15">
        <v>46051</v>
      </c>
      <c r="M815" s="15">
        <f t="shared" si="359"/>
        <v>46064</v>
      </c>
      <c r="N815" s="13">
        <v>46064</v>
      </c>
      <c r="O815" s="2" t="str">
        <f>IFERROR(IF(tblColetas[[#This Row],[Status Coleta]]="Reprovado","Reprovado",IF(ISERROR(SEARCH("Poço",D815)),IF(N815="","Erro",IF(Q815="Reprovado","",WORKDAY(N815,IF(D815="Operacional",10,3),FERIADOS!$A$3:$A$119))),"-")),"-")</f>
        <v>-</v>
      </c>
      <c r="P815" s="21"/>
      <c r="Q815" s="7"/>
      <c r="R815" s="13"/>
      <c r="S815" s="30"/>
      <c r="T815" s="43"/>
      <c r="W815" t="str">
        <f t="shared" si="360"/>
        <v>SEPPoço MRO-16 P-2Poço CG</v>
      </c>
      <c r="X8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6" spans="1:24" ht="12.5" x14ac:dyDescent="0.25">
      <c r="A816" s="19"/>
      <c r="B816" s="19" t="s">
        <v>52</v>
      </c>
      <c r="C816" s="5" t="s">
        <v>83</v>
      </c>
      <c r="D816" s="20" t="s">
        <v>29</v>
      </c>
      <c r="E816" s="35"/>
      <c r="F816" s="29" cm="1">
        <f t="array" ref="F816">IF(V816 &lt;&gt; "", V816, IFERROR(_xlfn.SINGLE(INDEX($G$1:G815,SUMPRODUCT(MAX(($W$1:W815=W816)*(ROW($W$1:W815))))))+IF(D816="Fiscal",30,90),""))</f>
        <v>46052</v>
      </c>
      <c r="G816" s="21">
        <v>46039</v>
      </c>
      <c r="H816" s="15">
        <f t="shared" si="357"/>
        <v>46049</v>
      </c>
      <c r="I816" s="15">
        <v>46046</v>
      </c>
      <c r="J816" s="32" t="s">
        <v>42</v>
      </c>
      <c r="K816" s="15">
        <f t="shared" si="358"/>
        <v>46059</v>
      </c>
      <c r="L816" s="15">
        <v>46051</v>
      </c>
      <c r="M816" s="15">
        <f t="shared" si="359"/>
        <v>46064</v>
      </c>
      <c r="N816" s="13">
        <v>46064</v>
      </c>
      <c r="O816" s="2" t="str">
        <f>IFERROR(IF(tblColetas[[#This Row],[Status Coleta]]="Reprovado","Reprovado",IF(ISERROR(SEARCH("Poço",D816)),IF(N816="","Erro",IF(Q816="Reprovado","",WORKDAY(N816,IF(D816="Operacional",10,3),FERIADOS!$A$3:$A$119))),"-")),"-")</f>
        <v>-</v>
      </c>
      <c r="P816" s="21"/>
      <c r="Q816" s="7"/>
      <c r="R816" s="13"/>
      <c r="S816" s="30"/>
      <c r="T816" s="43"/>
      <c r="W816" t="str">
        <f t="shared" si="360"/>
        <v>SEPPoço MRO-16 P-2Poço PVT</v>
      </c>
      <c r="X8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7" spans="1:24" ht="12.5" x14ac:dyDescent="0.25">
      <c r="A817" s="19"/>
      <c r="B817" s="19" t="s">
        <v>52</v>
      </c>
      <c r="C817" s="5" t="s">
        <v>111</v>
      </c>
      <c r="D817" s="20" t="s">
        <v>29</v>
      </c>
      <c r="E817" s="35"/>
      <c r="F817" s="29" cm="1">
        <f t="array" ref="F817">IF(V817 &lt;&gt; "", V817, IFERROR(_xlfn.SINGLE(INDEX($G$1:G816,SUMPRODUCT(MAX(($W$1:W816=W817)*(ROW($W$1:W816))))))+IF(D817="Fiscal",30,90),""))</f>
        <v>46056</v>
      </c>
      <c r="G817" s="21">
        <v>45979</v>
      </c>
      <c r="H817" s="15">
        <f t="shared" si="357"/>
        <v>45989</v>
      </c>
      <c r="I817" s="15">
        <v>45984</v>
      </c>
      <c r="J817" s="32" t="s">
        <v>225</v>
      </c>
      <c r="K817" s="15">
        <f t="shared" si="358"/>
        <v>45999</v>
      </c>
      <c r="L817" s="15">
        <v>45988</v>
      </c>
      <c r="M817" s="15">
        <f t="shared" si="359"/>
        <v>46004</v>
      </c>
      <c r="N817" s="13">
        <v>46003</v>
      </c>
      <c r="O817" s="2" t="str">
        <f>IFERROR(IF(tblColetas[[#This Row],[Status Coleta]]="Reprovado","Reprovado",IF(ISERROR(SEARCH("Poço",D817)),IF(N817="","Erro",IF(Q817="Reprovado","",WORKDAY(N817,IF(D817="Operacional",10,3),FERIADOS!$A$3:$A$119))),"-")),"-")</f>
        <v>-</v>
      </c>
      <c r="P817" s="21"/>
      <c r="Q817" s="7" t="s">
        <v>37</v>
      </c>
      <c r="R817" s="13"/>
      <c r="S817" s="30"/>
      <c r="T817" s="43"/>
      <c r="W817" t="str">
        <f t="shared" si="360"/>
        <v>SEPPoço 3-RJS-739A P-6Poço PVT</v>
      </c>
      <c r="X8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8" spans="1:24" ht="12.5" x14ac:dyDescent="0.25">
      <c r="A818" s="19"/>
      <c r="B818" s="19" t="s">
        <v>52</v>
      </c>
      <c r="C818" s="5" t="s">
        <v>104</v>
      </c>
      <c r="D818" s="20" t="s">
        <v>29</v>
      </c>
      <c r="E818" s="35"/>
      <c r="F818" s="29" cm="1">
        <f t="array" ref="F818">IF(V818 &lt;&gt; "", V818, IFERROR(_xlfn.SINGLE(INDEX($G$1:G817,SUMPRODUCT(MAX(($W$1:W817=W818)*(ROW($W$1:W817))))))+IF(D818="Fiscal",30,90),""))</f>
        <v>46056</v>
      </c>
      <c r="G818" s="21">
        <v>45983</v>
      </c>
      <c r="H818" s="15">
        <f t="shared" si="357"/>
        <v>45993</v>
      </c>
      <c r="I818" s="15">
        <v>45986</v>
      </c>
      <c r="J818" s="32" t="s">
        <v>225</v>
      </c>
      <c r="K818" s="15">
        <f t="shared" si="358"/>
        <v>46003</v>
      </c>
      <c r="L818" s="15">
        <v>46003</v>
      </c>
      <c r="M818" s="15">
        <f t="shared" si="359"/>
        <v>46008</v>
      </c>
      <c r="N818" s="13">
        <v>46008</v>
      </c>
      <c r="O818" s="2" t="str">
        <f>IFERROR(IF(tblColetas[[#This Row],[Status Coleta]]="Reprovado","Reprovado",IF(ISERROR(SEARCH("Poço",D818)),IF(N818="","Erro",IF(Q818="Reprovado","",WORKDAY(N818,IF(D818="Operacional",10,3),FERIADOS!$A$3:$A$119))),"-")),"-")</f>
        <v>-</v>
      </c>
      <c r="P818" s="21"/>
      <c r="Q818" s="7"/>
      <c r="R818" s="13"/>
      <c r="S818" s="30"/>
      <c r="T818" s="43"/>
      <c r="W818" t="str">
        <f t="shared" si="360"/>
        <v>SEPPoço MRO-17 P-3Poço PVT</v>
      </c>
      <c r="X8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19" spans="1:24" ht="12.5" x14ac:dyDescent="0.25">
      <c r="A819" s="19"/>
      <c r="B819" s="19" t="s">
        <v>31</v>
      </c>
      <c r="C819" s="5" t="s">
        <v>108</v>
      </c>
      <c r="D819" s="20" t="s">
        <v>26</v>
      </c>
      <c r="E819" s="35"/>
      <c r="F819" s="29" cm="1">
        <f t="array" ref="F819">IF(V819 &lt;&gt; "", V819, IFERROR(_xlfn.SINGLE(INDEX($G$1:G818,SUMPRODUCT(MAX(($W$1:W818=W819)*(ROW($W$1:W818))))))+IF(D819="Fiscal",30,90),""))</f>
        <v>46051</v>
      </c>
      <c r="G819" s="21">
        <v>46034</v>
      </c>
      <c r="H819" s="15">
        <f t="shared" si="357"/>
        <v>46044</v>
      </c>
      <c r="I819" s="15">
        <v>46040</v>
      </c>
      <c r="J819" s="32" t="s">
        <v>254</v>
      </c>
      <c r="K819" s="15">
        <f t="shared" si="358"/>
        <v>46054</v>
      </c>
      <c r="L819" s="15">
        <v>46048</v>
      </c>
      <c r="M819" s="15">
        <f t="shared" si="359"/>
        <v>46059</v>
      </c>
      <c r="N819" s="13">
        <v>46059</v>
      </c>
      <c r="O819" s="2" t="str">
        <f>IFERROR(IF(tblColetas[[#This Row],[Status Coleta]]="Reprovado","Reprovado",IF(ISERROR(SEARCH("Poço",D819)),IF(N819="","Erro",IF(Q819="Reprovado","",WORKDAY(N819,IF(D819="Operacional",10,3),FERIADOS!$A$3:$A$119))),"-")),"-")</f>
        <v>-</v>
      </c>
      <c r="P819" s="21"/>
      <c r="Q819" s="7"/>
      <c r="R819" s="13"/>
      <c r="S819" s="30"/>
      <c r="T819" s="43"/>
      <c r="W819" t="str">
        <f t="shared" si="360"/>
        <v>CDIPoço SPH-6 (P-10)Poço CG</v>
      </c>
      <c r="X8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0" spans="1:24" ht="12.5" x14ac:dyDescent="0.25">
      <c r="A820" s="19"/>
      <c r="B820" s="19" t="s">
        <v>31</v>
      </c>
      <c r="C820" s="5" t="s">
        <v>108</v>
      </c>
      <c r="D820" s="20" t="s">
        <v>29</v>
      </c>
      <c r="E820" s="35"/>
      <c r="F820" s="29" cm="1">
        <f t="array" ref="F820">IF(V820 &lt;&gt; "", V820, IFERROR(_xlfn.SINGLE(INDEX($G$1:G819,SUMPRODUCT(MAX(($W$1:W819=W820)*(ROW($W$1:W819))))))+IF(D820="Fiscal",30,90),""))</f>
        <v>46051</v>
      </c>
      <c r="G820" s="21">
        <v>46034</v>
      </c>
      <c r="H820" s="15">
        <f t="shared" si="357"/>
        <v>46044</v>
      </c>
      <c r="I820" s="15">
        <v>46040</v>
      </c>
      <c r="J820" s="32" t="s">
        <v>254</v>
      </c>
      <c r="K820" s="15">
        <f t="shared" si="358"/>
        <v>46054</v>
      </c>
      <c r="L820" s="15">
        <v>46048</v>
      </c>
      <c r="M820" s="15">
        <f t="shared" si="359"/>
        <v>46059</v>
      </c>
      <c r="N820" s="13">
        <v>46059</v>
      </c>
      <c r="O820" s="2" t="str">
        <f>IFERROR(IF(tblColetas[[#This Row],[Status Coleta]]="Reprovado","Reprovado",IF(ISERROR(SEARCH("Poço",D820)),IF(N820="","Erro",IF(Q820="Reprovado","",WORKDAY(N820,IF(D820="Operacional",10,3),FERIADOS!$A$3:$A$119))),"-")),"-")</f>
        <v>-</v>
      </c>
      <c r="P820" s="21"/>
      <c r="Q820" s="7"/>
      <c r="R820" s="13"/>
      <c r="S820" s="30"/>
      <c r="T820" s="43"/>
      <c r="W820" t="str">
        <f t="shared" si="360"/>
        <v>CDIPoço SPH-6 (P-10)Poço PVT</v>
      </c>
      <c r="X8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1" spans="1:24" ht="12.5" x14ac:dyDescent="0.25">
      <c r="A821" s="19"/>
      <c r="B821" s="19" t="s">
        <v>31</v>
      </c>
      <c r="C821" s="5" t="s">
        <v>105</v>
      </c>
      <c r="D821" s="20" t="s">
        <v>26</v>
      </c>
      <c r="E821" s="35"/>
      <c r="F821" s="29" cm="1">
        <f t="array" ref="F821">IF(V821 &lt;&gt; "", V821, IFERROR(_xlfn.SINGLE(INDEX($G$1:G820,SUMPRODUCT(MAX(($W$1:W820=W821)*(ROW($W$1:W820))))))+IF(D821="Fiscal",30,90),""))</f>
        <v>46052</v>
      </c>
      <c r="G821" s="21">
        <v>46007</v>
      </c>
      <c r="H821" s="15">
        <f t="shared" si="357"/>
        <v>46017</v>
      </c>
      <c r="I821" s="15">
        <v>46013</v>
      </c>
      <c r="J821" s="32" t="s">
        <v>255</v>
      </c>
      <c r="K821" s="15">
        <f t="shared" si="358"/>
        <v>46027</v>
      </c>
      <c r="L821" s="15">
        <v>46022</v>
      </c>
      <c r="M821" s="15">
        <f t="shared" si="359"/>
        <v>46032</v>
      </c>
      <c r="N821" s="13">
        <v>46031</v>
      </c>
      <c r="O821" s="2" t="str">
        <f>IFERROR(IF(tblColetas[[#This Row],[Status Coleta]]="Reprovado","Reprovado",IF(ISERROR(SEARCH("Poço",D821)),IF(N821="","Erro",IF(Q821="Reprovado","",WORKDAY(N821,IF(D821="Operacional",10,3),FERIADOS!$A$3:$A$119))),"-")),"-")</f>
        <v>-</v>
      </c>
      <c r="P821" s="21"/>
      <c r="Q821" s="7" t="s">
        <v>37</v>
      </c>
      <c r="R821" s="13"/>
      <c r="S821" s="30"/>
      <c r="T821" s="43"/>
      <c r="W821" t="str">
        <f t="shared" si="360"/>
        <v>CDIPoço SPH-16 (P-7)Poço CG</v>
      </c>
      <c r="X8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2" spans="1:24" ht="12.5" x14ac:dyDescent="0.25">
      <c r="A822" s="19"/>
      <c r="B822" s="19" t="s">
        <v>31</v>
      </c>
      <c r="C822" s="5" t="s">
        <v>105</v>
      </c>
      <c r="D822" s="20" t="s">
        <v>29</v>
      </c>
      <c r="E822" s="35"/>
      <c r="F822" s="29" cm="1">
        <f t="array" ref="F822">IF(V822 &lt;&gt; "", V822, IFERROR(_xlfn.SINGLE(INDEX($G$1:G821,SUMPRODUCT(MAX(($W$1:W821=W822)*(ROW($W$1:W821))))))+IF(D822="Fiscal",30,90),""))</f>
        <v>46052</v>
      </c>
      <c r="G822" s="21">
        <v>46007</v>
      </c>
      <c r="H822" s="15">
        <f t="shared" si="357"/>
        <v>46017</v>
      </c>
      <c r="I822" s="15">
        <v>46013</v>
      </c>
      <c r="J822" s="32" t="s">
        <v>255</v>
      </c>
      <c r="K822" s="15">
        <f t="shared" si="358"/>
        <v>46027</v>
      </c>
      <c r="L822" s="15">
        <v>46022</v>
      </c>
      <c r="M822" s="15">
        <f t="shared" si="359"/>
        <v>46032</v>
      </c>
      <c r="N822" s="13">
        <v>46031</v>
      </c>
      <c r="O822" s="2" t="str">
        <f>IFERROR(IF(tblColetas[[#This Row],[Status Coleta]]="Reprovado","Reprovado",IF(ISERROR(SEARCH("Poço",D822)),IF(N822="","Erro",IF(Q822="Reprovado","",WORKDAY(N822,IF(D822="Operacional",10,3),FERIADOS!$A$3:$A$119))),"-")),"-")</f>
        <v>-</v>
      </c>
      <c r="P822" s="21"/>
      <c r="Q822" s="7" t="s">
        <v>37</v>
      </c>
      <c r="R822" s="13"/>
      <c r="S822" s="30"/>
      <c r="T822" s="43"/>
      <c r="W822" t="str">
        <f t="shared" si="360"/>
        <v>CDIPoço SPH-16 (P-7)Poço PVT</v>
      </c>
      <c r="X8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3" spans="1:24" ht="12.5" x14ac:dyDescent="0.25">
      <c r="A823" s="19"/>
      <c r="B823" s="19" t="s">
        <v>145</v>
      </c>
      <c r="C823" s="5" t="s">
        <v>189</v>
      </c>
      <c r="D823" s="20" t="s">
        <v>26</v>
      </c>
      <c r="E823" s="35"/>
      <c r="F823" s="29" cm="1">
        <f t="array" ref="F823">IF(V823 &lt;&gt; "", V823, IFERROR(_xlfn.SINGLE(INDEX($G$1:G822,SUMPRODUCT(MAX(($W$1:W822=W823)*(ROW($W$1:W822))))))+IF(D823="Fiscal",30,90),""))</f>
        <v>46053</v>
      </c>
      <c r="G823" s="21">
        <v>46039</v>
      </c>
      <c r="H823" s="15">
        <f t="shared" si="357"/>
        <v>46049</v>
      </c>
      <c r="I823" s="15">
        <v>46039</v>
      </c>
      <c r="J823" s="32" t="s">
        <v>237</v>
      </c>
      <c r="K823" s="15">
        <f t="shared" si="358"/>
        <v>46059</v>
      </c>
      <c r="L823" s="15">
        <v>46049</v>
      </c>
      <c r="M823" s="15">
        <f t="shared" si="359"/>
        <v>46064</v>
      </c>
      <c r="N823" s="13">
        <v>46064</v>
      </c>
      <c r="O823" s="2" t="str">
        <f>IFERROR(IF(tblColetas[[#This Row],[Status Coleta]]="Reprovado","Reprovado",IF(ISERROR(SEARCH("Poço",D823)),IF(N823="","Erro",IF(Q823="Reprovado","",WORKDAY(N823,IF(D823="Operacional",10,3),FERIADOS!$A$3:$A$119))),"-")),"-")</f>
        <v>-</v>
      </c>
      <c r="P823" s="21"/>
      <c r="Q823" s="7"/>
      <c r="R823" s="13"/>
      <c r="S823" s="30"/>
      <c r="T823" s="43"/>
      <c r="W823" t="str">
        <f t="shared" si="360"/>
        <v>ATDPoço 7-BUZ-70D-RJS (P-1)Poço CG</v>
      </c>
      <c r="X8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4" spans="1:24" ht="12.5" x14ac:dyDescent="0.25">
      <c r="A824" s="19"/>
      <c r="B824" s="19" t="s">
        <v>145</v>
      </c>
      <c r="C824" s="5" t="s">
        <v>189</v>
      </c>
      <c r="D824" s="20" t="s">
        <v>29</v>
      </c>
      <c r="E824" s="35"/>
      <c r="F824" s="29" cm="1">
        <f t="array" ref="F824">IF(V824 &lt;&gt; "", V824, IFERROR(_xlfn.SINGLE(INDEX($G$1:G823,SUMPRODUCT(MAX(($W$1:W823=W824)*(ROW($W$1:W823))))))+IF(D824="Fiscal",30,90),""))</f>
        <v>46054</v>
      </c>
      <c r="G824" s="21">
        <v>46039</v>
      </c>
      <c r="H824" s="15">
        <f t="shared" si="357"/>
        <v>46049</v>
      </c>
      <c r="I824" s="15">
        <v>46039</v>
      </c>
      <c r="J824" s="32" t="s">
        <v>237</v>
      </c>
      <c r="K824" s="15">
        <f t="shared" si="358"/>
        <v>46059</v>
      </c>
      <c r="L824" s="15">
        <v>46049</v>
      </c>
      <c r="M824" s="15">
        <f t="shared" si="359"/>
        <v>46064</v>
      </c>
      <c r="N824" s="13">
        <v>46064</v>
      </c>
      <c r="O824" s="2" t="str">
        <f>IFERROR(IF(tblColetas[[#This Row],[Status Coleta]]="Reprovado","Reprovado",IF(ISERROR(SEARCH("Poço",D824)),IF(N824="","Erro",IF(Q824="Reprovado","",WORKDAY(N824,IF(D824="Operacional",10,3),FERIADOS!$A$3:$A$119))),"-")),"-")</f>
        <v>-</v>
      </c>
      <c r="P824" s="21"/>
      <c r="Q824" s="7"/>
      <c r="R824" s="13"/>
      <c r="S824" s="30"/>
      <c r="T824" s="43"/>
      <c r="W824" t="str">
        <f t="shared" si="360"/>
        <v>ATDPoço 7-BUZ-70D-RJS (P-1)Poço PVT</v>
      </c>
      <c r="X8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5" spans="1:24" ht="12.5" x14ac:dyDescent="0.25">
      <c r="A825" s="19"/>
      <c r="B825" s="19" t="s">
        <v>52</v>
      </c>
      <c r="C825" s="5" t="s">
        <v>112</v>
      </c>
      <c r="D825" s="20" t="s">
        <v>72</v>
      </c>
      <c r="E825" s="35"/>
      <c r="F825" s="29" cm="1">
        <f t="array" ref="F825">IF(V825 &lt;&gt; "", V825, IFERROR(_xlfn.SINGLE(INDEX($G$1:G824,SUMPRODUCT(MAX(($W$1:W824=W825)*(ROW($W$1:W824))))))+IF(D825="Fiscal",30,90),""))</f>
        <v>45995</v>
      </c>
      <c r="G825" s="21">
        <v>45995</v>
      </c>
      <c r="H825" s="15">
        <f t="shared" ref="H825:H837" si="361">IF(G825="","Erro", G825+10)</f>
        <v>46005</v>
      </c>
      <c r="I825" s="15"/>
      <c r="J825" s="32"/>
      <c r="K825" s="15">
        <f t="shared" ref="K825:K837" si="362">IF(G825="","Erro",G825+20)</f>
        <v>46015</v>
      </c>
      <c r="L825" s="15"/>
      <c r="M825" s="15">
        <f t="shared" ref="M825:M837" si="363">IF(G825="","Erro",G825+IF(D825="Operacional",45,25))</f>
        <v>46020</v>
      </c>
      <c r="N825" s="13">
        <v>46019</v>
      </c>
      <c r="O825" s="2">
        <f>IFERROR(IF(tblColetas[[#This Row],[Status Coleta]]="Reprovado","Reprovado",IF(ISERROR(SEARCH("Poço",D825)),IF(N825="","Erro",IF(Q825="Reprovado","",WORKDAY(N825,IF(D825="Operacional",10,3),FERIADOS!$A$3:$A$119))),"-")),"-")</f>
        <v>46022</v>
      </c>
      <c r="P825" s="21">
        <v>46022</v>
      </c>
      <c r="Q825" s="7" t="s">
        <v>37</v>
      </c>
      <c r="R825" s="13"/>
      <c r="S825" s="33" t="s">
        <v>256</v>
      </c>
      <c r="T825" s="43"/>
      <c r="W825" t="str">
        <f t="shared" ref="W825:W837" si="364">B825&amp;C825&amp;D825</f>
        <v>SEP776-AP-0006 (HP Flare)Fiscal</v>
      </c>
      <c r="X8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6" spans="1:24" ht="12.5" x14ac:dyDescent="0.25">
      <c r="A826" s="19"/>
      <c r="B826" s="19" t="s">
        <v>52</v>
      </c>
      <c r="C826" s="5" t="s">
        <v>113</v>
      </c>
      <c r="D826" s="20" t="s">
        <v>72</v>
      </c>
      <c r="E826" s="35"/>
      <c r="F826" s="29" cm="1">
        <f t="array" ref="F826">IF(V826 &lt;&gt; "", V826, IFERROR(_xlfn.SINGLE(INDEX($G$1:G825,SUMPRODUCT(MAX(($W$1:W825=W826)*(ROW($W$1:W825))))))+IF(D826="Fiscal",30,90),""))</f>
        <v>45995</v>
      </c>
      <c r="G826" s="21">
        <v>45995</v>
      </c>
      <c r="H826" s="15">
        <f t="shared" si="361"/>
        <v>46005</v>
      </c>
      <c r="I826" s="15"/>
      <c r="J826" s="32"/>
      <c r="K826" s="15">
        <f t="shared" si="362"/>
        <v>46015</v>
      </c>
      <c r="L826" s="15"/>
      <c r="M826" s="15">
        <f t="shared" si="363"/>
        <v>46020</v>
      </c>
      <c r="N826" s="13">
        <v>46019</v>
      </c>
      <c r="O826" s="2">
        <f>IFERROR(IF(tblColetas[[#This Row],[Status Coleta]]="Reprovado","Reprovado",IF(ISERROR(SEARCH("Poço",D826)),IF(N826="","Erro",IF(Q826="Reprovado","",WORKDAY(N826,IF(D826="Operacional",10,3),FERIADOS!$A$3:$A$119))),"-")),"-")</f>
        <v>46022</v>
      </c>
      <c r="P826" s="21">
        <v>46022</v>
      </c>
      <c r="Q826" s="7" t="s">
        <v>37</v>
      </c>
      <c r="R826" s="13"/>
      <c r="S826" s="33" t="s">
        <v>256</v>
      </c>
      <c r="T826" s="43"/>
      <c r="W826" t="str">
        <f t="shared" si="364"/>
        <v>SEP776-AP-0030 (LP Flare)Fiscal</v>
      </c>
      <c r="X8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7" spans="1:24" ht="12.5" x14ac:dyDescent="0.25">
      <c r="A827" s="19"/>
      <c r="B827" s="19" t="s">
        <v>52</v>
      </c>
      <c r="C827" s="5" t="s">
        <v>114</v>
      </c>
      <c r="D827" s="20" t="s">
        <v>72</v>
      </c>
      <c r="E827" s="35"/>
      <c r="F827" s="29" cm="1">
        <f t="array" ref="F827">IF(V827 &lt;&gt; "", V827, IFERROR(_xlfn.SINGLE(INDEX($G$1:G826,SUMPRODUCT(MAX(($W$1:W826=W827)*(ROW($W$1:W826))))))+IF(D827="Fiscal",30,90),""))</f>
        <v>45994</v>
      </c>
      <c r="G827" s="21">
        <v>45994</v>
      </c>
      <c r="H827" s="15">
        <f t="shared" si="361"/>
        <v>46004</v>
      </c>
      <c r="I827" s="15"/>
      <c r="J827" s="32"/>
      <c r="K827" s="15">
        <f t="shared" si="362"/>
        <v>46014</v>
      </c>
      <c r="L827" s="15"/>
      <c r="M827" s="15">
        <f t="shared" si="363"/>
        <v>46019</v>
      </c>
      <c r="N827" s="13">
        <v>46019</v>
      </c>
      <c r="O827" s="2">
        <f>IFERROR(IF(tblColetas[[#This Row],[Status Coleta]]="Reprovado","Reprovado",IF(ISERROR(SEARCH("Poço",D827)),IF(N827="","Erro",IF(Q827="Reprovado","",WORKDAY(N827,IF(D827="Operacional",10,3),FERIADOS!$A$3:$A$119))),"-")),"-")</f>
        <v>46022</v>
      </c>
      <c r="P827" s="21">
        <v>46022</v>
      </c>
      <c r="Q827" s="7" t="s">
        <v>37</v>
      </c>
      <c r="R827" s="13"/>
      <c r="S827" s="33" t="s">
        <v>256</v>
      </c>
      <c r="T827" s="43"/>
      <c r="W827" t="str">
        <f t="shared" si="364"/>
        <v>SEP777-AP-1104 (Fuel Gas)Fiscal</v>
      </c>
      <c r="X8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8" spans="1:24" ht="12.5" x14ac:dyDescent="0.25">
      <c r="A828" s="19"/>
      <c r="B828" s="19" t="s">
        <v>52</v>
      </c>
      <c r="C828" s="5" t="s">
        <v>115</v>
      </c>
      <c r="D828" s="20" t="s">
        <v>72</v>
      </c>
      <c r="E828" s="35"/>
      <c r="F828" s="29" cm="1">
        <f t="array" ref="F828">IF(V828 &lt;&gt; "", V828, IFERROR(_xlfn.SINGLE(INDEX($G$1:G827,SUMPRODUCT(MAX(($W$1:W827=W828)*(ROW($W$1:W827))))))+IF(D828="Fiscal",30,90),""))</f>
        <v>45994</v>
      </c>
      <c r="G828" s="21">
        <v>45994</v>
      </c>
      <c r="H828" s="15">
        <f t="shared" si="361"/>
        <v>46004</v>
      </c>
      <c r="I828" s="15"/>
      <c r="J828" s="32"/>
      <c r="K828" s="15">
        <f t="shared" si="362"/>
        <v>46014</v>
      </c>
      <c r="L828" s="15"/>
      <c r="M828" s="15">
        <f t="shared" si="363"/>
        <v>46019</v>
      </c>
      <c r="N828" s="13">
        <v>46019</v>
      </c>
      <c r="O828" s="2">
        <f>IFERROR(IF(tblColetas[[#This Row],[Status Coleta]]="Reprovado","Reprovado",IF(ISERROR(SEARCH("Poço",D828)),IF(N828="","Erro",IF(Q828="Reprovado","",WORKDAY(N828,IF(D828="Operacional",10,3),FERIADOS!$A$3:$A$119))),"-")),"-")</f>
        <v>46022</v>
      </c>
      <c r="P828" s="21">
        <v>46022</v>
      </c>
      <c r="Q828" s="7" t="s">
        <v>37</v>
      </c>
      <c r="R828" s="13"/>
      <c r="S828" s="33" t="s">
        <v>256</v>
      </c>
      <c r="T828" s="43"/>
      <c r="W828" t="str">
        <f t="shared" si="364"/>
        <v>SEP771-AP-0221 (Flare Assist)Fiscal</v>
      </c>
      <c r="X8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29" spans="1:24" ht="12.5" x14ac:dyDescent="0.25">
      <c r="A829" s="19"/>
      <c r="B829" s="19" t="s">
        <v>52</v>
      </c>
      <c r="C829" s="5" t="s">
        <v>121</v>
      </c>
      <c r="D829" s="20" t="s">
        <v>70</v>
      </c>
      <c r="E829" s="35"/>
      <c r="F829" s="29" cm="1">
        <f t="array" ref="F829">IF(V829 &lt;&gt; "", V829, IFERROR(_xlfn.SINGLE(INDEX($G$1:G828,SUMPRODUCT(MAX(($W$1:W828=W829)*(ROW($W$1:W828))))))+IF(D829="Fiscal",30,90),""))</f>
        <v>46054</v>
      </c>
      <c r="G829" s="21">
        <v>45994</v>
      </c>
      <c r="H829" s="15">
        <f t="shared" si="361"/>
        <v>46004</v>
      </c>
      <c r="I829" s="15"/>
      <c r="J829" s="32"/>
      <c r="K829" s="15">
        <f t="shared" si="362"/>
        <v>46014</v>
      </c>
      <c r="L829" s="15"/>
      <c r="M829" s="15">
        <f t="shared" si="363"/>
        <v>46019</v>
      </c>
      <c r="N829" s="13">
        <v>46019</v>
      </c>
      <c r="O829" s="2" t="str">
        <f>IFERROR(IF(tblColetas[[#This Row],[Status Coleta]]="Reprovado","Reprovado",IF(ISERROR(SEARCH("Poço",D829)),IF(N829="","Erro",IF(Q829="Reprovado","",WORKDAY(N829,IF(D829="Operacional",10,3),FERIADOS!$A$3:$A$119))),"-")),"-")</f>
        <v>Reprovado</v>
      </c>
      <c r="P829" s="21"/>
      <c r="Q829" s="7" t="s">
        <v>81</v>
      </c>
      <c r="R829" s="13"/>
      <c r="S829" s="30"/>
      <c r="T829" s="43"/>
      <c r="W829" t="str">
        <f t="shared" si="364"/>
        <v>SEP773-AP-0011 (Gas Lift Total)Gas Lift</v>
      </c>
      <c r="X8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0" spans="1:24" ht="12.5" x14ac:dyDescent="0.25">
      <c r="A830" s="8"/>
      <c r="B830" s="8" t="s">
        <v>34</v>
      </c>
      <c r="C830" s="5" t="s">
        <v>35</v>
      </c>
      <c r="D830" s="9" t="s">
        <v>26</v>
      </c>
      <c r="E830" s="36"/>
      <c r="F830" s="29" cm="1">
        <f t="array" ref="F830">IF(V830 &lt;&gt; "", V830, IFERROR(_xlfn.SINGLE(INDEX($G$1:G829,SUMPRODUCT(MAX(($W$1:W829=W830)*(ROW($W$1:W829))))))+IF(D830="Fiscal",30,90),""))</f>
        <v>46057</v>
      </c>
      <c r="G830" s="13">
        <v>46052</v>
      </c>
      <c r="H830" s="15">
        <f t="shared" si="361"/>
        <v>46062</v>
      </c>
      <c r="I830" s="15">
        <v>46055</v>
      </c>
      <c r="J830" s="32" t="s">
        <v>366</v>
      </c>
      <c r="K830" s="15">
        <f t="shared" si="362"/>
        <v>46072</v>
      </c>
      <c r="L830" s="15"/>
      <c r="M830" s="15">
        <f t="shared" si="363"/>
        <v>46077</v>
      </c>
      <c r="N830" s="13"/>
      <c r="O830" s="2" t="str">
        <f>IFERROR(IF(tblColetas[[#This Row],[Status Coleta]]="Reprovado","Reprovado",IF(ISERROR(SEARCH("Poço",D830)),IF(N830="","Erro",IF(Q830="Reprovado","",WORKDAY(N830,IF(D830="Operacional",10,3),FERIADOS!$A$3:$A$119))),"-")),"-")</f>
        <v>-</v>
      </c>
      <c r="P830" s="13"/>
      <c r="Q830" s="7"/>
      <c r="R830" s="13"/>
      <c r="S830" s="30"/>
      <c r="T830" s="43"/>
      <c r="W830" t="str">
        <f t="shared" si="364"/>
        <v>CDSPoço LL-07 (P-03)Poço CG</v>
      </c>
      <c r="X8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1" spans="1:24" ht="12.5" x14ac:dyDescent="0.25">
      <c r="A831" s="8"/>
      <c r="B831" s="8" t="s">
        <v>34</v>
      </c>
      <c r="C831" s="5" t="s">
        <v>35</v>
      </c>
      <c r="D831" s="9" t="s">
        <v>29</v>
      </c>
      <c r="E831" s="36"/>
      <c r="F831" s="29" cm="1">
        <f t="array" ref="F831">IF(V831 &lt;&gt; "", V831, IFERROR(_xlfn.SINGLE(INDEX($G$1:G830,SUMPRODUCT(MAX(($W$1:W830=W831)*(ROW($W$1:W830))))))+IF(D831="Fiscal",30,90),""))</f>
        <v>46057</v>
      </c>
      <c r="G831" s="13">
        <v>46052</v>
      </c>
      <c r="H831" s="15">
        <f t="shared" si="361"/>
        <v>46062</v>
      </c>
      <c r="I831" s="15">
        <v>46055</v>
      </c>
      <c r="J831" s="32" t="s">
        <v>366</v>
      </c>
      <c r="K831" s="15">
        <f t="shared" si="362"/>
        <v>46072</v>
      </c>
      <c r="L831" s="15"/>
      <c r="M831" s="15">
        <f t="shared" si="363"/>
        <v>46077</v>
      </c>
      <c r="N831" s="13"/>
      <c r="O831" s="2" t="str">
        <f>IFERROR(IF(tblColetas[[#This Row],[Status Coleta]]="Reprovado","Reprovado",IF(ISERROR(SEARCH("Poço",D831)),IF(N831="","Erro",IF(Q831="Reprovado","",WORKDAY(N831,IF(D831="Operacional",10,3),FERIADOS!$A$3:$A$119))),"-")),"-")</f>
        <v>-</v>
      </c>
      <c r="P831" s="13"/>
      <c r="Q831" s="7"/>
      <c r="R831" s="13"/>
      <c r="S831" s="30"/>
      <c r="T831" s="43"/>
      <c r="W831" t="str">
        <f t="shared" si="364"/>
        <v>CDSPoço LL-07 (P-03)Poço PVT</v>
      </c>
      <c r="X8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2" spans="1:24" ht="12.5" x14ac:dyDescent="0.25">
      <c r="A832" s="8"/>
      <c r="B832" s="8" t="s">
        <v>34</v>
      </c>
      <c r="C832" s="5" t="s">
        <v>71</v>
      </c>
      <c r="D832" s="9" t="s">
        <v>72</v>
      </c>
      <c r="E832" s="36"/>
      <c r="F832" s="29" cm="1">
        <f t="array" ref="F832">IF(V832 &lt;&gt; "", V832, IFERROR(_xlfn.SINGLE(INDEX($G$1:G831,SUMPRODUCT(MAX(($W$1:W831=W832)*(ROW($W$1:W831))))))+IF(D832="Fiscal",30,90),""))</f>
        <v>45988</v>
      </c>
      <c r="G832" s="13">
        <v>45986</v>
      </c>
      <c r="H832" s="15">
        <f t="shared" si="361"/>
        <v>45996</v>
      </c>
      <c r="I832" s="15"/>
      <c r="J832" s="32"/>
      <c r="K832" s="15">
        <f t="shared" si="362"/>
        <v>46006</v>
      </c>
      <c r="L832" s="15"/>
      <c r="M832" s="15">
        <f t="shared" si="363"/>
        <v>46011</v>
      </c>
      <c r="N832" s="13">
        <v>46010</v>
      </c>
      <c r="O832" s="2">
        <f>IFERROR(IF(tblColetas[[#This Row],[Status Coleta]]="Reprovado","Reprovado",IF(ISERROR(SEARCH("Poço",D832)),IF(N832="","Erro",IF(Q832="Reprovado","",WORKDAY(N832,IF(D832="Operacional",10,3),FERIADOS!$A$3:$A$119))),"-")),"-")</f>
        <v>46015</v>
      </c>
      <c r="P832" s="13">
        <v>46014</v>
      </c>
      <c r="Q832" s="7" t="s">
        <v>37</v>
      </c>
      <c r="R832" s="13"/>
      <c r="S832" s="30"/>
      <c r="T832" s="43"/>
      <c r="W832" t="str">
        <f t="shared" si="364"/>
        <v>CDST77-FT-0103 (Fuel Gas)Fiscal</v>
      </c>
      <c r="X8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3" spans="1:24" ht="12.5" x14ac:dyDescent="0.25">
      <c r="A833" s="8"/>
      <c r="B833" s="8" t="s">
        <v>34</v>
      </c>
      <c r="C833" s="5" t="s">
        <v>73</v>
      </c>
      <c r="D833" s="9" t="s">
        <v>72</v>
      </c>
      <c r="E833" s="36"/>
      <c r="F833" s="29" cm="1">
        <f t="array" ref="F833">IF(V833 &lt;&gt; "", V833, IFERROR(_xlfn.SINGLE(INDEX($G$1:G832,SUMPRODUCT(MAX(($W$1:W832=W833)*(ROW($W$1:W832))))))+IF(D833="Fiscal",30,90),""))</f>
        <v>45988</v>
      </c>
      <c r="G833" s="13">
        <v>45986</v>
      </c>
      <c r="H833" s="15">
        <f t="shared" si="361"/>
        <v>45996</v>
      </c>
      <c r="I833" s="15"/>
      <c r="J833" s="32"/>
      <c r="K833" s="15">
        <f t="shared" si="362"/>
        <v>46006</v>
      </c>
      <c r="L833" s="15"/>
      <c r="M833" s="15">
        <f t="shared" si="363"/>
        <v>46011</v>
      </c>
      <c r="N833" s="13">
        <v>46010</v>
      </c>
      <c r="O833" s="2">
        <f>IFERROR(IF(tblColetas[[#This Row],[Status Coleta]]="Reprovado","Reprovado",IF(ISERROR(SEARCH("Poço",D833)),IF(N833="","Erro",IF(Q833="Reprovado","",WORKDAY(N833,IF(D833="Operacional",10,3),FERIADOS!$A$3:$A$119))),"-")),"-")</f>
        <v>46015</v>
      </c>
      <c r="P833" s="13">
        <v>46014</v>
      </c>
      <c r="Q833" s="7" t="s">
        <v>37</v>
      </c>
      <c r="R833" s="13"/>
      <c r="S833" s="30"/>
      <c r="T833" s="43"/>
      <c r="W833" t="str">
        <f t="shared" si="364"/>
        <v>CDST74-AX-6911 (Export Gas)Fiscal</v>
      </c>
      <c r="X8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4" spans="1:24" ht="12.5" x14ac:dyDescent="0.25">
      <c r="A834" s="8"/>
      <c r="B834" s="8" t="s">
        <v>34</v>
      </c>
      <c r="C834" s="5" t="s">
        <v>74</v>
      </c>
      <c r="D834" s="9" t="s">
        <v>72</v>
      </c>
      <c r="E834" s="36"/>
      <c r="F834" s="29" cm="1">
        <f t="array" ref="F834">IF(V834 &lt;&gt; "", V834, IFERROR(_xlfn.SINGLE(INDEX($G$1:G833,SUMPRODUCT(MAX(($W$1:W833=W834)*(ROW($W$1:W833))))))+IF(D834="Fiscal",30,90),""))</f>
        <v>45989</v>
      </c>
      <c r="G834" s="13">
        <v>45988</v>
      </c>
      <c r="H834" s="15">
        <f t="shared" si="361"/>
        <v>45998</v>
      </c>
      <c r="I834" s="15"/>
      <c r="J834" s="32"/>
      <c r="K834" s="15">
        <f t="shared" si="362"/>
        <v>46008</v>
      </c>
      <c r="L834" s="15"/>
      <c r="M834" s="15">
        <f t="shared" si="363"/>
        <v>46013</v>
      </c>
      <c r="N834" s="13">
        <v>46013</v>
      </c>
      <c r="O834" s="2">
        <f>IFERROR(IF(tblColetas[[#This Row],[Status Coleta]]="Reprovado","Reprovado",IF(ISERROR(SEARCH("Poço",D834)),IF(N834="","Erro",IF(Q834="Reprovado","",WORKDAY(N834,IF(D834="Operacional",10,3),FERIADOS!$A$3:$A$119))),"-")),"-")</f>
        <v>46017</v>
      </c>
      <c r="P834" s="13">
        <v>46015</v>
      </c>
      <c r="Q834" s="7" t="s">
        <v>37</v>
      </c>
      <c r="R834" s="13"/>
      <c r="S834" s="30"/>
      <c r="T834" s="43"/>
      <c r="W834" t="str">
        <f t="shared" si="364"/>
        <v>CDST76-FT-0014 (HP Flare)Fiscal</v>
      </c>
      <c r="X8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5" spans="1:24" ht="12.5" x14ac:dyDescent="0.25">
      <c r="A835" s="8"/>
      <c r="B835" s="8" t="s">
        <v>34</v>
      </c>
      <c r="C835" s="5" t="s">
        <v>75</v>
      </c>
      <c r="D835" s="9" t="s">
        <v>72</v>
      </c>
      <c r="E835" s="36"/>
      <c r="F835" s="29" cm="1">
        <f t="array" ref="F835">IF(V835 &lt;&gt; "", V835, IFERROR(_xlfn.SINGLE(INDEX($G$1:G834,SUMPRODUCT(MAX(($W$1:W834=W835)*(ROW($W$1:W834))))))+IF(D835="Fiscal",30,90),""))</f>
        <v>45989</v>
      </c>
      <c r="G835" s="13">
        <v>45988</v>
      </c>
      <c r="H835" s="15">
        <f t="shared" si="361"/>
        <v>45998</v>
      </c>
      <c r="I835" s="15"/>
      <c r="J835" s="32"/>
      <c r="K835" s="15">
        <f t="shared" si="362"/>
        <v>46008</v>
      </c>
      <c r="L835" s="15"/>
      <c r="M835" s="15">
        <f t="shared" si="363"/>
        <v>46013</v>
      </c>
      <c r="N835" s="13">
        <v>46013</v>
      </c>
      <c r="O835" s="2">
        <f>IFERROR(IF(tblColetas[[#This Row],[Status Coleta]]="Reprovado","Reprovado",IF(ISERROR(SEARCH("Poço",D835)),IF(N835="","Erro",IF(Q835="Reprovado","",WORKDAY(N835,IF(D835="Operacional",10,3),FERIADOS!$A$3:$A$119))),"-")),"-")</f>
        <v>46017</v>
      </c>
      <c r="P835" s="13">
        <v>46015</v>
      </c>
      <c r="Q835" s="7" t="s">
        <v>37</v>
      </c>
      <c r="R835" s="13"/>
      <c r="S835" s="30"/>
      <c r="T835" s="43"/>
      <c r="W835" t="str">
        <f t="shared" si="364"/>
        <v>CDST76-FT-0034 (LP Flare)Fiscal</v>
      </c>
      <c r="X8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6" spans="1:24" ht="12.5" x14ac:dyDescent="0.25">
      <c r="A836" s="8"/>
      <c r="B836" s="8" t="s">
        <v>145</v>
      </c>
      <c r="C836" s="5" t="s">
        <v>166</v>
      </c>
      <c r="D836" s="9" t="s">
        <v>26</v>
      </c>
      <c r="E836" s="36"/>
      <c r="F836" s="29" cm="1">
        <f t="array" ref="F836">IF(V836 &lt;&gt; "", V836, IFERROR(_xlfn.SINGLE(INDEX($G$1:G835,SUMPRODUCT(MAX(($W$1:W835=W836)*(ROW($W$1:W835))))))+IF(D836="Fiscal",30,90),""))</f>
        <v>46061</v>
      </c>
      <c r="G836" s="13">
        <v>45998</v>
      </c>
      <c r="H836" s="15">
        <f t="shared" si="361"/>
        <v>46008</v>
      </c>
      <c r="I836" s="15">
        <v>46005</v>
      </c>
      <c r="J836" s="32" t="s">
        <v>243</v>
      </c>
      <c r="K836" s="15">
        <f t="shared" si="362"/>
        <v>46018</v>
      </c>
      <c r="L836" s="15">
        <v>46020</v>
      </c>
      <c r="M836" s="15">
        <f t="shared" si="363"/>
        <v>46023</v>
      </c>
      <c r="N836" s="13">
        <v>46022</v>
      </c>
      <c r="O836" s="2" t="str">
        <f>IFERROR(IF(tblColetas[[#This Row],[Status Coleta]]="Reprovado","Reprovado",IF(ISERROR(SEARCH("Poço",D836)),IF(N836="","Erro",IF(Q836="Reprovado","",WORKDAY(N836,IF(D836="Operacional",10,3),FERIADOS!$A$3:$A$119))),"-")),"-")</f>
        <v>-</v>
      </c>
      <c r="P836" s="13"/>
      <c r="Q836" s="7" t="s">
        <v>37</v>
      </c>
      <c r="R836" s="13"/>
      <c r="S836" s="30"/>
      <c r="T836" s="43"/>
      <c r="W836" t="str">
        <f t="shared" si="364"/>
        <v>ATDPoço 7-BUZ-74D-RJS (P-5)Poço CG</v>
      </c>
      <c r="X8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7" spans="1:24" ht="12.5" x14ac:dyDescent="0.25">
      <c r="A837" s="8"/>
      <c r="B837" s="8" t="s">
        <v>145</v>
      </c>
      <c r="C837" s="5" t="s">
        <v>166</v>
      </c>
      <c r="D837" s="9" t="s">
        <v>29</v>
      </c>
      <c r="E837" s="36"/>
      <c r="F837" s="29" cm="1">
        <f t="array" ref="F837">IF(V837 &lt;&gt; "", V837, IFERROR(_xlfn.SINGLE(INDEX($G$1:G836,SUMPRODUCT(MAX(($W$1:W836=W837)*(ROW($W$1:W836))))))+IF(D837="Fiscal",30,90),""))</f>
        <v>46061</v>
      </c>
      <c r="G837" s="13">
        <v>45998</v>
      </c>
      <c r="H837" s="15">
        <f t="shared" si="361"/>
        <v>46008</v>
      </c>
      <c r="I837" s="15">
        <v>46005</v>
      </c>
      <c r="J837" s="32" t="s">
        <v>243</v>
      </c>
      <c r="K837" s="15">
        <f t="shared" si="362"/>
        <v>46018</v>
      </c>
      <c r="L837" s="15">
        <v>46020</v>
      </c>
      <c r="M837" s="15">
        <f t="shared" si="363"/>
        <v>46023</v>
      </c>
      <c r="N837" s="13">
        <v>46022</v>
      </c>
      <c r="O837" s="2" t="str">
        <f>IFERROR(IF(tblColetas[[#This Row],[Status Coleta]]="Reprovado","Reprovado",IF(ISERROR(SEARCH("Poço",D837)),IF(N837="","Erro",IF(Q837="Reprovado","",WORKDAY(N837,IF(D837="Operacional",10,3),FERIADOS!$A$3:$A$119))),"-")),"-")</f>
        <v>-</v>
      </c>
      <c r="P837" s="13"/>
      <c r="Q837" s="7" t="s">
        <v>37</v>
      </c>
      <c r="R837" s="13"/>
      <c r="S837" s="30"/>
      <c r="T837" s="43"/>
      <c r="W837" t="str">
        <f t="shared" si="364"/>
        <v>ATDPoço 7-BUZ-74D-RJS (P-5)Poço PVT</v>
      </c>
      <c r="X8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8" spans="1:24" ht="12.5" x14ac:dyDescent="0.25">
      <c r="A838" s="19"/>
      <c r="B838" s="19" t="s">
        <v>192</v>
      </c>
      <c r="C838" s="5" t="s">
        <v>112</v>
      </c>
      <c r="D838" s="20" t="s">
        <v>72</v>
      </c>
      <c r="E838" s="35"/>
      <c r="F838" s="29" cm="1">
        <f t="array" ref="F838">IF(V838 &lt;&gt; "", V838, IFERROR(_xlfn.SINGLE(INDEX($G$1:G837,SUMPRODUCT(MAX(($W$1:W837=W838)*(ROW($W$1:W837))))))+IF(D838="Fiscal",30,90),""))</f>
        <v>46000</v>
      </c>
      <c r="G838" s="21">
        <v>45998</v>
      </c>
      <c r="H838" s="15">
        <f t="shared" ref="H838:H843" si="365">IF(G838="","Erro", G838+10)</f>
        <v>46008</v>
      </c>
      <c r="I838" s="15"/>
      <c r="J838" s="32"/>
      <c r="K838" s="15">
        <f t="shared" ref="K838:K843" si="366">IF(G838="","Erro",G838+20)</f>
        <v>46018</v>
      </c>
      <c r="L838" s="15"/>
      <c r="M838" s="15">
        <f t="shared" ref="M838:M843" si="367">IF(G838="","Erro",G838+IF(D838="Operacional",45,25))</f>
        <v>46023</v>
      </c>
      <c r="N838" s="13">
        <v>46021</v>
      </c>
      <c r="O838" s="2">
        <f>IFERROR(IF(tblColetas[[#This Row],[Status Coleta]]="Reprovado","Reprovado",IF(ISERROR(SEARCH("Poço",D838)),IF(N838="","Erro",IF(Q838="Reprovado","",WORKDAY(N838,IF(D838="Operacional",10,3),FERIADOS!$A$3:$A$119))),"-")),"-")</f>
        <v>46027</v>
      </c>
      <c r="P838" s="21">
        <v>46027</v>
      </c>
      <c r="Q838" s="7" t="s">
        <v>37</v>
      </c>
      <c r="R838" s="13"/>
      <c r="S838" s="30"/>
      <c r="T838" s="43"/>
      <c r="W838" t="str">
        <f t="shared" ref="W838:W843" si="368">B838&amp;C838&amp;D838</f>
        <v>ADG776-AP-0006 (HP Flare)Fiscal</v>
      </c>
      <c r="X8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39" spans="1:24" ht="12.5" x14ac:dyDescent="0.25">
      <c r="A839" s="19"/>
      <c r="B839" s="19" t="s">
        <v>192</v>
      </c>
      <c r="C839" s="5" t="s">
        <v>193</v>
      </c>
      <c r="D839" s="20" t="s">
        <v>72</v>
      </c>
      <c r="E839" s="35"/>
      <c r="F839" s="29" cm="1">
        <f t="array" ref="F839">IF(V839 &lt;&gt; "", V839, IFERROR(_xlfn.SINGLE(INDEX($G$1:G838,SUMPRODUCT(MAX(($W$1:W838=W839)*(ROW($W$1:W838))))))+IF(D839="Fiscal",30,90),""))</f>
        <v>46000</v>
      </c>
      <c r="G839" s="21">
        <v>45998</v>
      </c>
      <c r="H839" s="15">
        <f t="shared" si="365"/>
        <v>46008</v>
      </c>
      <c r="I839" s="15"/>
      <c r="J839" s="32"/>
      <c r="K839" s="15">
        <f t="shared" si="366"/>
        <v>46018</v>
      </c>
      <c r="L839" s="15"/>
      <c r="M839" s="15">
        <f t="shared" si="367"/>
        <v>46023</v>
      </c>
      <c r="N839" s="13">
        <v>46021</v>
      </c>
      <c r="O839" s="2" t="str">
        <f>IFERROR(IF(tblColetas[[#This Row],[Status Coleta]]="Reprovado","Reprovado",IF(ISERROR(SEARCH("Poço",D839)),IF(N839="","Erro",IF(Q839="Reprovado","",WORKDAY(N839,IF(D839="Operacional",10,3),FERIADOS!$A$3:$A$119))),"-")),"-")</f>
        <v>Reprovado</v>
      </c>
      <c r="P839" s="21"/>
      <c r="Q839" s="7" t="s">
        <v>81</v>
      </c>
      <c r="R839" s="13"/>
      <c r="S839" s="30"/>
      <c r="T839" s="43"/>
      <c r="W839" t="str">
        <f t="shared" si="368"/>
        <v>ADG776-AP-0026 (LP Flare)Fiscal</v>
      </c>
      <c r="X8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0" spans="1:24" ht="12.5" x14ac:dyDescent="0.25">
      <c r="A840" s="19"/>
      <c r="B840" s="19" t="s">
        <v>192</v>
      </c>
      <c r="C840" s="5" t="s">
        <v>194</v>
      </c>
      <c r="D840" s="20" t="s">
        <v>72</v>
      </c>
      <c r="E840" s="35"/>
      <c r="F840" s="29" cm="1">
        <f t="array" ref="F840">IF(V840 &lt;&gt; "", V840, IFERROR(_xlfn.SINGLE(INDEX($G$1:G839,SUMPRODUCT(MAX(($W$1:W839=W840)*(ROW($W$1:W839))))))+IF(D840="Fiscal",30,90),""))</f>
        <v>46000</v>
      </c>
      <c r="G840" s="21">
        <v>45998</v>
      </c>
      <c r="H840" s="15">
        <f t="shared" si="365"/>
        <v>46008</v>
      </c>
      <c r="I840" s="15"/>
      <c r="J840" s="32"/>
      <c r="K840" s="15">
        <f t="shared" si="366"/>
        <v>46018</v>
      </c>
      <c r="L840" s="15"/>
      <c r="M840" s="15">
        <f t="shared" si="367"/>
        <v>46023</v>
      </c>
      <c r="N840" s="13">
        <v>46021</v>
      </c>
      <c r="O840" s="2">
        <f>IFERROR(IF(tblColetas[[#This Row],[Status Coleta]]="Reprovado","Reprovado",IF(ISERROR(SEARCH("Poço",D840)),IF(N840="","Erro",IF(Q840="Reprovado","",WORKDAY(N840,IF(D840="Operacional",10,3),FERIADOS!$A$3:$A$119))),"-")),"-")</f>
        <v>46027</v>
      </c>
      <c r="P840" s="21">
        <v>46027</v>
      </c>
      <c r="Q840" s="7" t="s">
        <v>37</v>
      </c>
      <c r="R840" s="13"/>
      <c r="S840" s="30"/>
      <c r="T840" s="43"/>
      <c r="W840" t="str">
        <f t="shared" si="368"/>
        <v>ADG777-AP-1212 (Fuel Gas)Fiscal</v>
      </c>
      <c r="X8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1" spans="1:24" ht="12.5" x14ac:dyDescent="0.25">
      <c r="A841" s="19"/>
      <c r="B841" s="19" t="s">
        <v>192</v>
      </c>
      <c r="C841" s="5" t="s">
        <v>195</v>
      </c>
      <c r="D841" s="20" t="s">
        <v>72</v>
      </c>
      <c r="E841" s="35"/>
      <c r="F841" s="29" cm="1">
        <f t="array" ref="F841">IF(V841 &lt;&gt; "", V841, IFERROR(_xlfn.SINGLE(INDEX($G$1:G840,SUMPRODUCT(MAX(($W$1:W840=W841)*(ROW($W$1:W840))))))+IF(D841="Fiscal",30,90),""))</f>
        <v>46000</v>
      </c>
      <c r="G841" s="21">
        <v>46000</v>
      </c>
      <c r="H841" s="15">
        <f t="shared" si="365"/>
        <v>46010</v>
      </c>
      <c r="I841" s="15"/>
      <c r="J841" s="32"/>
      <c r="K841" s="15">
        <f t="shared" si="366"/>
        <v>46020</v>
      </c>
      <c r="L841" s="15"/>
      <c r="M841" s="15">
        <f t="shared" si="367"/>
        <v>46025</v>
      </c>
      <c r="N841" s="13">
        <v>46024</v>
      </c>
      <c r="O841" s="2">
        <f>IFERROR(IF(tblColetas[[#This Row],[Status Coleta]]="Reprovado","Reprovado",IF(ISERROR(SEARCH("Poço",D841)),IF(N841="","Erro",IF(Q841="Reprovado","",WORKDAY(N841,IF(D841="Operacional",10,3),FERIADOS!$A$3:$A$119))),"-")),"-")</f>
        <v>46029</v>
      </c>
      <c r="P841" s="21">
        <v>46028</v>
      </c>
      <c r="Q841" s="7" t="s">
        <v>37</v>
      </c>
      <c r="R841" s="13"/>
      <c r="S841" s="30"/>
      <c r="T841" s="43"/>
      <c r="W841" t="str">
        <f t="shared" si="368"/>
        <v>ADG771-AP-0225 (Flare Assist)Fiscal</v>
      </c>
      <c r="X8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2" spans="1:24" ht="12.5" x14ac:dyDescent="0.25">
      <c r="A842" s="19"/>
      <c r="B842" s="19" t="s">
        <v>145</v>
      </c>
      <c r="C842" s="5" t="s">
        <v>221</v>
      </c>
      <c r="D842" s="20" t="s">
        <v>26</v>
      </c>
      <c r="E842" s="35"/>
      <c r="F842" s="29" cm="1">
        <f t="array" ref="F842">IF(V842 &lt;&gt; "", V842, IFERROR(_xlfn.SINGLE(INDEX($G$1:G841,SUMPRODUCT(MAX(($W$1:W841=W842)*(ROW($W$1:W841))))))+IF(D842="Fiscal",30,90),""))</f>
        <v>46062</v>
      </c>
      <c r="G842" s="21">
        <v>46047</v>
      </c>
      <c r="H842" s="15">
        <f t="shared" si="365"/>
        <v>46057</v>
      </c>
      <c r="I842" s="15">
        <v>46050</v>
      </c>
      <c r="J842" s="32" t="s">
        <v>251</v>
      </c>
      <c r="K842" s="15">
        <f t="shared" si="366"/>
        <v>46067</v>
      </c>
      <c r="L842" s="15">
        <v>46058</v>
      </c>
      <c r="M842" s="15">
        <f t="shared" si="367"/>
        <v>46072</v>
      </c>
      <c r="N842" s="13"/>
      <c r="O842" s="2" t="str">
        <f>IFERROR(IF(tblColetas[[#This Row],[Status Coleta]]="Reprovado","Reprovado",IF(ISERROR(SEARCH("Poço",D842)),IF(N842="","Erro",IF(Q842="Reprovado","",WORKDAY(N842,IF(D842="Operacional",10,3),FERIADOS!$A$3:$A$119))),"-")),"-")</f>
        <v>-</v>
      </c>
      <c r="P842" s="21"/>
      <c r="Q842" s="7"/>
      <c r="R842" s="13"/>
      <c r="S842" s="30"/>
      <c r="T842" s="43"/>
      <c r="W842" t="str">
        <f t="shared" si="368"/>
        <v>ATDPoço 9-RJS-716 (P-6)Poço CG</v>
      </c>
      <c r="X8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3" spans="1:24" ht="12.5" x14ac:dyDescent="0.25">
      <c r="A843" s="19"/>
      <c r="B843" s="19" t="s">
        <v>145</v>
      </c>
      <c r="C843" s="5" t="s">
        <v>221</v>
      </c>
      <c r="D843" s="20" t="s">
        <v>29</v>
      </c>
      <c r="E843" s="35"/>
      <c r="F843" s="29" cm="1">
        <f t="array" ref="F843">IF(V843 &lt;&gt; "", V843, IFERROR(_xlfn.SINGLE(INDEX($G$1:G842,SUMPRODUCT(MAX(($W$1:W842=W843)*(ROW($W$1:W842))))))+IF(D843="Fiscal",30,90),""))</f>
        <v>46062</v>
      </c>
      <c r="G843" s="21">
        <v>46047</v>
      </c>
      <c r="H843" s="15">
        <f t="shared" si="365"/>
        <v>46057</v>
      </c>
      <c r="I843" s="15">
        <v>46050</v>
      </c>
      <c r="J843" s="32" t="s">
        <v>251</v>
      </c>
      <c r="K843" s="15">
        <f t="shared" si="366"/>
        <v>46067</v>
      </c>
      <c r="L843" s="15">
        <v>46058</v>
      </c>
      <c r="M843" s="15">
        <f t="shared" si="367"/>
        <v>46072</v>
      </c>
      <c r="N843" s="13"/>
      <c r="O843" s="2" t="str">
        <f>IFERROR(IF(tblColetas[[#This Row],[Status Coleta]]="Reprovado","Reprovado",IF(ISERROR(SEARCH("Poço",D843)),IF(N843="","Erro",IF(Q843="Reprovado","",WORKDAY(N843,IF(D843="Operacional",10,3),FERIADOS!$A$3:$A$119))),"-")),"-")</f>
        <v>-</v>
      </c>
      <c r="P843" s="21"/>
      <c r="Q843" s="7"/>
      <c r="R843" s="13"/>
      <c r="S843" s="30"/>
      <c r="T843" s="43"/>
      <c r="W843" t="str">
        <f t="shared" si="368"/>
        <v>ATDPoço 9-RJS-716 (P-6)Poço PVT</v>
      </c>
      <c r="X8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4" spans="1:24" ht="12.5" x14ac:dyDescent="0.25">
      <c r="A844" s="8"/>
      <c r="B844" s="8" t="s">
        <v>52</v>
      </c>
      <c r="C844" s="5" t="s">
        <v>111</v>
      </c>
      <c r="D844" s="9" t="s">
        <v>26</v>
      </c>
      <c r="E844" s="36"/>
      <c r="F844" s="29" cm="1">
        <f t="array" ref="F844">IF(V844 &lt;&gt; "", V844, IFERROR(_xlfn.SINGLE(INDEX($G$1:G843,SUMPRODUCT(MAX(($W$1:W843=W844)*(ROW($W$1:W843))))))+IF(D844="Fiscal",30,90),""))</f>
        <v>46069</v>
      </c>
      <c r="G844" s="13">
        <v>46000</v>
      </c>
      <c r="H844" s="15">
        <f t="shared" ref="H844:H856" si="369">IF(G844="","Erro", G844+10)</f>
        <v>46010</v>
      </c>
      <c r="I844" s="15">
        <v>46000</v>
      </c>
      <c r="J844" s="32" t="s">
        <v>257</v>
      </c>
      <c r="K844" s="15">
        <f t="shared" ref="K844:K856" si="370">IF(G844="","Erro",G844+20)</f>
        <v>46020</v>
      </c>
      <c r="L844" s="15">
        <v>46014</v>
      </c>
      <c r="M844" s="15">
        <f t="shared" ref="M844:M856" si="371">IF(G844="","Erro",G844+IF(D844="Operacional",45,25))</f>
        <v>46025</v>
      </c>
      <c r="N844" s="13">
        <v>46024</v>
      </c>
      <c r="O844" s="2" t="str">
        <f>IFERROR(IF(tblColetas[[#This Row],[Status Coleta]]="Reprovado","Reprovado",IF(ISERROR(SEARCH("Poço",D844)),IF(N844="","Erro",IF(Q844="Reprovado","",WORKDAY(N844,IF(D844="Operacional",10,3),FERIADOS!$A$3:$A$119))),"-")),"-")</f>
        <v>-</v>
      </c>
      <c r="P844" s="13"/>
      <c r="Q844" s="7" t="s">
        <v>37</v>
      </c>
      <c r="R844" s="13"/>
      <c r="S844" s="30"/>
      <c r="T844" s="43"/>
      <c r="W844" t="str">
        <f t="shared" ref="W844:W856" si="372">B844&amp;C844&amp;D844</f>
        <v>SEPPoço 3-RJS-739A P-6Poço CG</v>
      </c>
      <c r="X8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5" spans="1:24" ht="12.5" x14ac:dyDescent="0.25">
      <c r="A845" s="8"/>
      <c r="B845" s="8" t="s">
        <v>52</v>
      </c>
      <c r="C845" s="5" t="s">
        <v>111</v>
      </c>
      <c r="D845" s="9" t="s">
        <v>29</v>
      </c>
      <c r="E845" s="36"/>
      <c r="F845" s="29" cm="1">
        <f t="array" ref="F845">IF(V845 &lt;&gt; "", V845, IFERROR(_xlfn.SINGLE(INDEX($G$1:G844,SUMPRODUCT(MAX(($W$1:W844=W845)*(ROW($W$1:W844))))))+IF(D845="Fiscal",30,90),""))</f>
        <v>46069</v>
      </c>
      <c r="G845" s="13">
        <v>46000</v>
      </c>
      <c r="H845" s="15">
        <f t="shared" si="369"/>
        <v>46010</v>
      </c>
      <c r="I845" s="15">
        <v>46000</v>
      </c>
      <c r="J845" s="32" t="s">
        <v>257</v>
      </c>
      <c r="K845" s="15">
        <f t="shared" si="370"/>
        <v>46020</v>
      </c>
      <c r="L845" s="15">
        <v>46014</v>
      </c>
      <c r="M845" s="15">
        <f t="shared" si="371"/>
        <v>46025</v>
      </c>
      <c r="N845" s="13">
        <v>46024</v>
      </c>
      <c r="O845" s="2" t="str">
        <f>IFERROR(IF(tblColetas[[#This Row],[Status Coleta]]="Reprovado","Reprovado",IF(ISERROR(SEARCH("Poço",D845)),IF(N845="","Erro",IF(Q845="Reprovado","",WORKDAY(N845,IF(D845="Operacional",10,3),FERIADOS!$A$3:$A$119))),"-")),"-")</f>
        <v>-</v>
      </c>
      <c r="P845" s="13"/>
      <c r="Q845" s="7" t="s">
        <v>37</v>
      </c>
      <c r="R845" s="13"/>
      <c r="S845" s="30"/>
      <c r="T845" s="43"/>
      <c r="W845" t="str">
        <f t="shared" si="372"/>
        <v>SEPPoço 3-RJS-739A P-6Poço PVT</v>
      </c>
      <c r="X8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6" spans="1:24" ht="12.5" x14ac:dyDescent="0.25">
      <c r="A846" s="19"/>
      <c r="B846" s="19" t="s">
        <v>46</v>
      </c>
      <c r="C846" s="5" t="s">
        <v>69</v>
      </c>
      <c r="D846" s="20" t="s">
        <v>70</v>
      </c>
      <c r="E846" s="35"/>
      <c r="F846" s="29" cm="1">
        <f t="array" ref="F846">IF(V846 &lt;&gt; "", V846, IFERROR(_xlfn.SINGLE(INDEX($G$1:G845,SUMPRODUCT(MAX(($W$1:W845=W846)*(ROW($W$1:W845))))))+IF(D846="Fiscal",30,90),""))</f>
        <v>46071</v>
      </c>
      <c r="G846" s="21">
        <v>46007</v>
      </c>
      <c r="H846" s="15">
        <f t="shared" si="369"/>
        <v>46017</v>
      </c>
      <c r="I846" s="15"/>
      <c r="J846" s="32"/>
      <c r="K846" s="15">
        <f t="shared" si="370"/>
        <v>46027</v>
      </c>
      <c r="L846" s="15"/>
      <c r="M846" s="15">
        <f t="shared" si="371"/>
        <v>46032</v>
      </c>
      <c r="N846" s="13">
        <v>46031</v>
      </c>
      <c r="O846" s="2">
        <f>IFERROR(IF(tblColetas[[#This Row],[Status Coleta]]="Reprovado","Reprovado",IF(ISERROR(SEARCH("Poço",D846)),IF(N846="","Erro",IF(Q846="Reprovado","",WORKDAY(N846,IF(D846="Operacional",10,3),FERIADOS!$A$3:$A$119))),"-")),"-")</f>
        <v>46036</v>
      </c>
      <c r="P846" s="21">
        <v>46035</v>
      </c>
      <c r="Q846" s="7" t="s">
        <v>37</v>
      </c>
      <c r="R846" s="13"/>
      <c r="S846" s="33" t="s">
        <v>258</v>
      </c>
      <c r="T846" s="43"/>
      <c r="W846" t="str">
        <f t="shared" si="372"/>
        <v>CDMT73-AP-0001 (Gas Lift)Gas Lift</v>
      </c>
      <c r="X8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7" spans="1:24" ht="12.5" x14ac:dyDescent="0.25">
      <c r="A847" s="19"/>
      <c r="B847" s="19" t="s">
        <v>46</v>
      </c>
      <c r="C847" s="5" t="s">
        <v>74</v>
      </c>
      <c r="D847" s="20" t="s">
        <v>72</v>
      </c>
      <c r="E847" s="35"/>
      <c r="F847" s="29" cm="1">
        <f t="array" ref="F847">IF(V847 &lt;&gt; "", V847, IFERROR(_xlfn.SINGLE(INDEX($G$1:G846,SUMPRODUCT(MAX(($W$1:W846=W847)*(ROW($W$1:W846))))))+IF(D847="Fiscal",30,90),""))</f>
        <v>46012</v>
      </c>
      <c r="G847" s="21">
        <v>46008</v>
      </c>
      <c r="H847" s="15">
        <f t="shared" si="369"/>
        <v>46018</v>
      </c>
      <c r="I847" s="15"/>
      <c r="J847" s="32"/>
      <c r="K847" s="15">
        <f t="shared" si="370"/>
        <v>46028</v>
      </c>
      <c r="L847" s="15"/>
      <c r="M847" s="15">
        <f t="shared" si="371"/>
        <v>46033</v>
      </c>
      <c r="N847" s="13">
        <v>46031</v>
      </c>
      <c r="O847" s="2">
        <f>IFERROR(IF(tblColetas[[#This Row],[Status Coleta]]="Reprovado","Reprovado",IF(ISERROR(SEARCH("Poço",D847)),IF(N847="","Erro",IF(Q847="Reprovado","",WORKDAY(N847,IF(D847="Operacional",10,3),FERIADOS!$A$3:$A$119))),"-")),"-")</f>
        <v>46036</v>
      </c>
      <c r="P847" s="21">
        <v>46035</v>
      </c>
      <c r="Q847" s="7" t="s">
        <v>37</v>
      </c>
      <c r="R847" s="13"/>
      <c r="S847" s="33" t="s">
        <v>258</v>
      </c>
      <c r="T847" s="43"/>
      <c r="W847" t="str">
        <f t="shared" si="372"/>
        <v>CDMT76-FT-0014 (HP Flare)Fiscal</v>
      </c>
      <c r="X8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8" spans="1:24" ht="12.5" x14ac:dyDescent="0.25">
      <c r="A848" s="19"/>
      <c r="B848" s="19" t="s">
        <v>46</v>
      </c>
      <c r="C848" s="5" t="s">
        <v>75</v>
      </c>
      <c r="D848" s="20" t="s">
        <v>72</v>
      </c>
      <c r="E848" s="35"/>
      <c r="F848" s="29" cm="1">
        <f t="array" ref="F848">IF(V848 &lt;&gt; "", V848, IFERROR(_xlfn.SINGLE(INDEX($G$1:G847,SUMPRODUCT(MAX(($W$1:W847=W848)*(ROW($W$1:W847))))))+IF(D848="Fiscal",30,90),""))</f>
        <v>46012</v>
      </c>
      <c r="G848" s="21">
        <v>46008</v>
      </c>
      <c r="H848" s="15">
        <f t="shared" si="369"/>
        <v>46018</v>
      </c>
      <c r="I848" s="15"/>
      <c r="J848" s="32"/>
      <c r="K848" s="15">
        <f t="shared" si="370"/>
        <v>46028</v>
      </c>
      <c r="L848" s="15"/>
      <c r="M848" s="15">
        <f t="shared" si="371"/>
        <v>46033</v>
      </c>
      <c r="N848" s="13">
        <v>46031</v>
      </c>
      <c r="O848" s="2">
        <f>IFERROR(IF(tblColetas[[#This Row],[Status Coleta]]="Reprovado","Reprovado",IF(ISERROR(SEARCH("Poço",D848)),IF(N848="","Erro",IF(Q848="Reprovado","",WORKDAY(N848,IF(D848="Operacional",10,3),FERIADOS!$A$3:$A$119))),"-")),"-")</f>
        <v>46036</v>
      </c>
      <c r="P848" s="21">
        <v>46035</v>
      </c>
      <c r="Q848" s="7" t="s">
        <v>37</v>
      </c>
      <c r="R848" s="13"/>
      <c r="S848" s="33" t="s">
        <v>258</v>
      </c>
      <c r="T848" s="43"/>
      <c r="W848" t="str">
        <f t="shared" si="372"/>
        <v>CDMT76-FT-0034 (LP Flare)Fiscal</v>
      </c>
      <c r="X8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49" spans="1:24" ht="12.5" x14ac:dyDescent="0.25">
      <c r="A849" s="19"/>
      <c r="B849" s="19" t="s">
        <v>46</v>
      </c>
      <c r="C849" s="5" t="s">
        <v>71</v>
      </c>
      <c r="D849" s="20" t="s">
        <v>72</v>
      </c>
      <c r="E849" s="35"/>
      <c r="F849" s="29" cm="1">
        <f t="array" ref="F849">IF(V849 &lt;&gt; "", V849, IFERROR(_xlfn.SINGLE(INDEX($G$1:G848,SUMPRODUCT(MAX(($W$1:W848=W849)*(ROW($W$1:W848))))))+IF(D849="Fiscal",30,90),""))</f>
        <v>46011</v>
      </c>
      <c r="G849" s="21">
        <v>46007</v>
      </c>
      <c r="H849" s="15">
        <f t="shared" si="369"/>
        <v>46017</v>
      </c>
      <c r="I849" s="15"/>
      <c r="J849" s="32"/>
      <c r="K849" s="15">
        <f t="shared" si="370"/>
        <v>46027</v>
      </c>
      <c r="L849" s="15"/>
      <c r="M849" s="15">
        <f t="shared" si="371"/>
        <v>46032</v>
      </c>
      <c r="N849" s="13">
        <v>46031</v>
      </c>
      <c r="O849" s="2">
        <f>IFERROR(IF(tblColetas[[#This Row],[Status Coleta]]="Reprovado","Reprovado",IF(ISERROR(SEARCH("Poço",D849)),IF(N849="","Erro",IF(Q849="Reprovado","",WORKDAY(N849,IF(D849="Operacional",10,3),FERIADOS!$A$3:$A$119))),"-")),"-")</f>
        <v>46036</v>
      </c>
      <c r="P849" s="21">
        <v>46035</v>
      </c>
      <c r="Q849" s="7" t="s">
        <v>37</v>
      </c>
      <c r="R849" s="13"/>
      <c r="S849" s="33" t="s">
        <v>258</v>
      </c>
      <c r="T849" s="43"/>
      <c r="W849" t="str">
        <f t="shared" si="372"/>
        <v>CDMT77-FT-0103 (Fuel Gas)Fiscal</v>
      </c>
      <c r="X8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0" spans="1:24" ht="12.5" x14ac:dyDescent="0.25">
      <c r="A850" s="19"/>
      <c r="B850" s="19" t="s">
        <v>46</v>
      </c>
      <c r="C850" s="5" t="s">
        <v>125</v>
      </c>
      <c r="D850" s="20" t="s">
        <v>72</v>
      </c>
      <c r="E850" s="35"/>
      <c r="F850" s="29" cm="1">
        <f t="array" ref="F850">IF(V850 &lt;&gt; "", V850, IFERROR(_xlfn.SINGLE(INDEX($G$1:G849,SUMPRODUCT(MAX(($W$1:W849=W850)*(ROW($W$1:W849))))))+IF(D850="Fiscal",30,90),""))</f>
        <v>46012</v>
      </c>
      <c r="G850" s="21">
        <v>46007</v>
      </c>
      <c r="H850" s="15">
        <f t="shared" si="369"/>
        <v>46017</v>
      </c>
      <c r="I850" s="15"/>
      <c r="J850" s="32"/>
      <c r="K850" s="15">
        <f t="shared" si="370"/>
        <v>46027</v>
      </c>
      <c r="L850" s="15"/>
      <c r="M850" s="15">
        <f t="shared" si="371"/>
        <v>46032</v>
      </c>
      <c r="N850" s="13">
        <v>46031</v>
      </c>
      <c r="O850" s="2">
        <f>IFERROR(IF(tblColetas[[#This Row],[Status Coleta]]="Reprovado","Reprovado",IF(ISERROR(SEARCH("Poço",D850)),IF(N850="","Erro",IF(Q850="Reprovado","",WORKDAY(N850,IF(D850="Operacional",10,3),FERIADOS!$A$3:$A$119))),"-")),"-")</f>
        <v>46036</v>
      </c>
      <c r="P850" s="21">
        <v>46035</v>
      </c>
      <c r="Q850" s="7" t="s">
        <v>37</v>
      </c>
      <c r="R850" s="13"/>
      <c r="S850" s="33" t="s">
        <v>258</v>
      </c>
      <c r="T850" s="43"/>
      <c r="W850" t="str">
        <f t="shared" si="372"/>
        <v>CDMT74-FT-6901 (Export Gas)Fiscal</v>
      </c>
      <c r="X8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1" spans="1:24" ht="12.5" x14ac:dyDescent="0.25">
      <c r="A851" s="19"/>
      <c r="B851" s="19" t="s">
        <v>38</v>
      </c>
      <c r="C851" s="5" t="s">
        <v>74</v>
      </c>
      <c r="D851" s="20" t="s">
        <v>72</v>
      </c>
      <c r="E851" s="35"/>
      <c r="F851" s="29" cm="1">
        <f t="array" ref="F851">IF(V851 &lt;&gt; "", V851, IFERROR(_xlfn.SINGLE(INDEX($G$1:G850,SUMPRODUCT(MAX(($W$1:W850=W851)*(ROW($W$1:W850))))))+IF(D851="Fiscal",30,90),""))</f>
        <v>46012</v>
      </c>
      <c r="G851" s="21">
        <v>46006</v>
      </c>
      <c r="H851" s="15">
        <f t="shared" si="369"/>
        <v>46016</v>
      </c>
      <c r="I851" s="15"/>
      <c r="J851" s="32"/>
      <c r="K851" s="15">
        <f t="shared" si="370"/>
        <v>46026</v>
      </c>
      <c r="L851" s="15"/>
      <c r="M851" s="15">
        <f t="shared" si="371"/>
        <v>46031</v>
      </c>
      <c r="N851" s="13">
        <v>46030</v>
      </c>
      <c r="O851" s="2">
        <f>IFERROR(IF(tblColetas[[#This Row],[Status Coleta]]="Reprovado","Reprovado",IF(ISERROR(SEARCH("Poço",D851)),IF(N851="","Erro",IF(Q851="Reprovado","",WORKDAY(N851,IF(D851="Operacional",10,3),FERIADOS!$A$3:$A$119))),"-")),"-")</f>
        <v>46035</v>
      </c>
      <c r="P851" s="21">
        <v>46035</v>
      </c>
      <c r="Q851" s="7" t="s">
        <v>37</v>
      </c>
      <c r="R851" s="13"/>
      <c r="S851" s="33" t="s">
        <v>258</v>
      </c>
      <c r="T851" s="43"/>
      <c r="W851" t="str">
        <f t="shared" si="372"/>
        <v>CDPT76-FT-0014 (HP Flare)Fiscal</v>
      </c>
      <c r="X8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2" spans="1:24" ht="12.5" x14ac:dyDescent="0.25">
      <c r="A852" s="19"/>
      <c r="B852" s="19" t="s">
        <v>38</v>
      </c>
      <c r="C852" s="5" t="s">
        <v>75</v>
      </c>
      <c r="D852" s="20" t="s">
        <v>72</v>
      </c>
      <c r="E852" s="35"/>
      <c r="F852" s="29" cm="1">
        <f t="array" ref="F852">IF(V852 &lt;&gt; "", V852, IFERROR(_xlfn.SINGLE(INDEX($G$1:G851,SUMPRODUCT(MAX(($W$1:W851=W852)*(ROW($W$1:W851))))))+IF(D852="Fiscal",30,90),""))</f>
        <v>46012</v>
      </c>
      <c r="G852" s="21">
        <v>46006</v>
      </c>
      <c r="H852" s="15">
        <f t="shared" si="369"/>
        <v>46016</v>
      </c>
      <c r="I852" s="15"/>
      <c r="J852" s="32"/>
      <c r="K852" s="15">
        <f t="shared" si="370"/>
        <v>46026</v>
      </c>
      <c r="L852" s="15"/>
      <c r="M852" s="15">
        <f t="shared" si="371"/>
        <v>46031</v>
      </c>
      <c r="N852" s="13">
        <v>46030</v>
      </c>
      <c r="O852" s="2">
        <f>IFERROR(IF(tblColetas[[#This Row],[Status Coleta]]="Reprovado","Reprovado",IF(ISERROR(SEARCH("Poço",D852)),IF(N852="","Erro",IF(Q852="Reprovado","",WORKDAY(N852,IF(D852="Operacional",10,3),FERIADOS!$A$3:$A$119))),"-")),"-")</f>
        <v>46035</v>
      </c>
      <c r="P852" s="21">
        <v>46035</v>
      </c>
      <c r="Q852" s="7" t="s">
        <v>37</v>
      </c>
      <c r="R852" s="13"/>
      <c r="S852" s="33" t="s">
        <v>258</v>
      </c>
      <c r="T852" s="43"/>
      <c r="W852" t="str">
        <f t="shared" si="372"/>
        <v>CDPT76-FT-0034 (LP Flare)Fiscal</v>
      </c>
      <c r="X8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3" spans="1:24" ht="12.5" x14ac:dyDescent="0.25">
      <c r="A853" s="19"/>
      <c r="B853" s="19" t="s">
        <v>38</v>
      </c>
      <c r="C853" s="5" t="s">
        <v>71</v>
      </c>
      <c r="D853" s="20" t="s">
        <v>72</v>
      </c>
      <c r="E853" s="35"/>
      <c r="F853" s="29" cm="1">
        <f t="array" ref="F853">IF(V853 &lt;&gt; "", V853, IFERROR(_xlfn.SINGLE(INDEX($G$1:G852,SUMPRODUCT(MAX(($W$1:W852=W853)*(ROW($W$1:W852))))))+IF(D853="Fiscal",30,90),""))</f>
        <v>46011</v>
      </c>
      <c r="G853" s="21">
        <v>46005</v>
      </c>
      <c r="H853" s="15">
        <f t="shared" si="369"/>
        <v>46015</v>
      </c>
      <c r="I853" s="15"/>
      <c r="J853" s="32"/>
      <c r="K853" s="15">
        <f t="shared" si="370"/>
        <v>46025</v>
      </c>
      <c r="L853" s="15"/>
      <c r="M853" s="15">
        <f t="shared" si="371"/>
        <v>46030</v>
      </c>
      <c r="N853" s="13">
        <v>46030</v>
      </c>
      <c r="O853" s="2">
        <f>IFERROR(IF(tblColetas[[#This Row],[Status Coleta]]="Reprovado","Reprovado",IF(ISERROR(SEARCH("Poço",D853)),IF(N853="","Erro",IF(Q853="Reprovado","",WORKDAY(N853,IF(D853="Operacional",10,3),FERIADOS!$A$3:$A$119))),"-")),"-")</f>
        <v>46035</v>
      </c>
      <c r="P853" s="21">
        <v>46035</v>
      </c>
      <c r="Q853" s="7" t="s">
        <v>37</v>
      </c>
      <c r="R853" s="13"/>
      <c r="S853" s="33" t="s">
        <v>258</v>
      </c>
      <c r="T853" s="43"/>
      <c r="W853" t="str">
        <f t="shared" si="372"/>
        <v>CDPT77-FT-0103 (Fuel Gas)Fiscal</v>
      </c>
      <c r="X8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4" spans="1:24" ht="12.5" x14ac:dyDescent="0.25">
      <c r="A854" s="19"/>
      <c r="B854" s="19" t="s">
        <v>38</v>
      </c>
      <c r="C854" s="5" t="s">
        <v>98</v>
      </c>
      <c r="D854" s="20" t="s">
        <v>72</v>
      </c>
      <c r="E854" s="35"/>
      <c r="F854" s="29" cm="1">
        <f t="array" ref="F854">IF(V854 &lt;&gt; "", V854, IFERROR(_xlfn.SINGLE(INDEX($G$1:G853,SUMPRODUCT(MAX(($W$1:W853=W854)*(ROW($W$1:W853))))))+IF(D854="Fiscal",30,90),""))</f>
        <v>46011</v>
      </c>
      <c r="G854" s="21">
        <v>46005</v>
      </c>
      <c r="H854" s="15">
        <f t="shared" si="369"/>
        <v>46015</v>
      </c>
      <c r="I854" s="15"/>
      <c r="J854" s="32"/>
      <c r="K854" s="15">
        <f t="shared" si="370"/>
        <v>46025</v>
      </c>
      <c r="L854" s="15"/>
      <c r="M854" s="15">
        <f t="shared" si="371"/>
        <v>46030</v>
      </c>
      <c r="N854" s="13">
        <v>46030</v>
      </c>
      <c r="O854" s="2">
        <f>IFERROR(IF(tblColetas[[#This Row],[Status Coleta]]="Reprovado","Reprovado",IF(ISERROR(SEARCH("Poço",D854)),IF(N854="","Erro",IF(Q854="Reprovado","",WORKDAY(N854,IF(D854="Operacional",10,3),FERIADOS!$A$3:$A$119))),"-")),"-")</f>
        <v>46035</v>
      </c>
      <c r="P854" s="21">
        <v>46035</v>
      </c>
      <c r="Q854" s="7" t="s">
        <v>37</v>
      </c>
      <c r="R854" s="13"/>
      <c r="S854" s="33" t="s">
        <v>258</v>
      </c>
      <c r="T854" s="43"/>
      <c r="W854" t="str">
        <f t="shared" si="372"/>
        <v>CDPT74-FT-6701 (Export Gas)Fiscal</v>
      </c>
      <c r="X8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5" spans="1:24" ht="12.5" x14ac:dyDescent="0.25">
      <c r="A855" s="19"/>
      <c r="B855" s="19" t="s">
        <v>52</v>
      </c>
      <c r="C855" s="5" t="s">
        <v>104</v>
      </c>
      <c r="D855" s="20" t="s">
        <v>29</v>
      </c>
      <c r="E855" s="35"/>
      <c r="F855" s="29" cm="1">
        <f t="array" ref="F855">IF(V855 &lt;&gt; "", V855, IFERROR(_xlfn.SINGLE(INDEX($G$1:G854,SUMPRODUCT(MAX(($W$1:W854=W855)*(ROW($W$1:W854))))))+IF(D855="Fiscal",30,90),""))</f>
        <v>46073</v>
      </c>
      <c r="G855" s="21"/>
      <c r="H855" s="15" t="str">
        <f t="shared" si="369"/>
        <v>Erro</v>
      </c>
      <c r="I855" s="15"/>
      <c r="J855" s="32"/>
      <c r="K855" s="15" t="str">
        <f t="shared" si="370"/>
        <v>Erro</v>
      </c>
      <c r="L855" s="15"/>
      <c r="M855" s="15" t="str">
        <f t="shared" si="371"/>
        <v>Erro</v>
      </c>
      <c r="N855" s="13"/>
      <c r="O855" s="2" t="str">
        <f>IFERROR(IF(tblColetas[[#This Row],[Status Coleta]]="Reprovado","Reprovado",IF(ISERROR(SEARCH("Poço",D855)),IF(N855="","Erro",IF(Q855="Reprovado","",WORKDAY(N855,IF(D855="Operacional",10,3),FERIADOS!$A$3:$A$119))),"-")),"-")</f>
        <v>-</v>
      </c>
      <c r="P855" s="21"/>
      <c r="Q855" s="7"/>
      <c r="R855" s="13"/>
      <c r="S855" s="30"/>
      <c r="T855" s="43"/>
      <c r="W855" t="str">
        <f t="shared" si="372"/>
        <v>SEPPoço MRO-17 P-3Poço PVT</v>
      </c>
      <c r="X8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6" spans="1:24" ht="12.5" x14ac:dyDescent="0.25">
      <c r="A856" s="19"/>
      <c r="B856" s="19" t="s">
        <v>52</v>
      </c>
      <c r="C856" s="5" t="s">
        <v>104</v>
      </c>
      <c r="D856" s="20" t="s">
        <v>26</v>
      </c>
      <c r="E856" s="35"/>
      <c r="F856" s="29" cm="1">
        <f t="array" ref="F856">IF(V856 &lt;&gt; "", V856, IFERROR(_xlfn.SINGLE(INDEX($G$1:G855,SUMPRODUCT(MAX(($W$1:W855=W856)*(ROW($W$1:W855))))))+IF(D856="Fiscal",30,90),""))</f>
        <v>46073</v>
      </c>
      <c r="G856" s="21"/>
      <c r="H856" s="15" t="str">
        <f t="shared" si="369"/>
        <v>Erro</v>
      </c>
      <c r="I856" s="15"/>
      <c r="J856" s="32"/>
      <c r="K856" s="15" t="str">
        <f t="shared" si="370"/>
        <v>Erro</v>
      </c>
      <c r="L856" s="15"/>
      <c r="M856" s="15" t="str">
        <f t="shared" si="371"/>
        <v>Erro</v>
      </c>
      <c r="N856" s="13"/>
      <c r="O856" s="2" t="str">
        <f>IFERROR(IF(tblColetas[[#This Row],[Status Coleta]]="Reprovado","Reprovado",IF(ISERROR(SEARCH("Poço",D856)),IF(N856="","Erro",IF(Q856="Reprovado","",WORKDAY(N856,IF(D856="Operacional",10,3),FERIADOS!$A$3:$A$119))),"-")),"-")</f>
        <v>-</v>
      </c>
      <c r="P856" s="21"/>
      <c r="Q856" s="7"/>
      <c r="R856" s="13"/>
      <c r="S856" s="30"/>
      <c r="T856" s="43"/>
      <c r="W856" t="str">
        <f t="shared" si="372"/>
        <v>SEPPoço MRO-17 P-3Poço CG</v>
      </c>
      <c r="X8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7" spans="1:24" ht="12.5" x14ac:dyDescent="0.25">
      <c r="A857" s="19"/>
      <c r="B857" s="19" t="s">
        <v>46</v>
      </c>
      <c r="C857" s="5" t="s">
        <v>230</v>
      </c>
      <c r="D857" s="20" t="s">
        <v>26</v>
      </c>
      <c r="E857" s="35"/>
      <c r="F857" s="29" cm="1">
        <f t="array" ref="F857">IF(V857 &lt;&gt; "", V857, IFERROR(_xlfn.SINGLE(INDEX($G$1:G856,SUMPRODUCT(MAX(($W$1:W856=W857)*(ROW($W$1:W856))))))+IF(D857="Fiscal",30,90),""))</f>
        <v>46068</v>
      </c>
      <c r="G857" s="21">
        <v>46064</v>
      </c>
      <c r="H857" s="15">
        <f t="shared" ref="H857:H879" si="373">IF(G857="","Erro", G857+10)</f>
        <v>46074</v>
      </c>
      <c r="I857" s="15"/>
      <c r="J857" s="32"/>
      <c r="K857" s="15">
        <f t="shared" ref="K857:K879" si="374">IF(G857="","Erro",G857+20)</f>
        <v>46084</v>
      </c>
      <c r="L857" s="15"/>
      <c r="M857" s="15">
        <f t="shared" ref="M857:M879" si="375">IF(G857="","Erro",G857+IF(D857="Operacional",45,25))</f>
        <v>46089</v>
      </c>
      <c r="N857" s="13"/>
      <c r="O857" s="2" t="str">
        <f>IFERROR(IF(tblColetas[[#This Row],[Status Coleta]]="Reprovado","Reprovado",IF(ISERROR(SEARCH("Poço",D857)),IF(N857="","Erro",IF(Q857="Reprovado","",WORKDAY(N857,IF(D857="Operacional",10,3),FERIADOS!$A$3:$A$119))),"-")),"-")</f>
        <v>-</v>
      </c>
      <c r="P857" s="21"/>
      <c r="Q857" s="7"/>
      <c r="R857" s="13"/>
      <c r="S857" s="30"/>
      <c r="T857" s="43"/>
      <c r="W857" t="str">
        <f t="shared" ref="W857:W879" si="376">B857&amp;C857&amp;D857</f>
        <v>CDMPoço TUP-132 (P-08)Poço CG</v>
      </c>
      <c r="X8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8" spans="1:24" ht="12.5" x14ac:dyDescent="0.25">
      <c r="A858" s="19"/>
      <c r="B858" s="19" t="s">
        <v>46</v>
      </c>
      <c r="C858" s="5" t="s">
        <v>230</v>
      </c>
      <c r="D858" s="20" t="s">
        <v>29</v>
      </c>
      <c r="E858" s="35"/>
      <c r="F858" s="29" cm="1">
        <f t="array" ref="F858">IF(V858 &lt;&gt; "", V858, IFERROR(_xlfn.SINGLE(INDEX($G$1:G857,SUMPRODUCT(MAX(($W$1:W857=W858)*(ROW($W$1:W857))))))+IF(D858="Fiscal",30,90),""))</f>
        <v>46068</v>
      </c>
      <c r="G858" s="21">
        <v>46064</v>
      </c>
      <c r="H858" s="15">
        <f t="shared" si="373"/>
        <v>46074</v>
      </c>
      <c r="I858" s="15"/>
      <c r="J858" s="32"/>
      <c r="K858" s="15">
        <f t="shared" si="374"/>
        <v>46084</v>
      </c>
      <c r="L858" s="15"/>
      <c r="M858" s="15">
        <f t="shared" si="375"/>
        <v>46089</v>
      </c>
      <c r="N858" s="13"/>
      <c r="O858" s="2" t="str">
        <f>IFERROR(IF(tblColetas[[#This Row],[Status Coleta]]="Reprovado","Reprovado",IF(ISERROR(SEARCH("Poço",D858)),IF(N858="","Erro",IF(Q858="Reprovado","",WORKDAY(N858,IF(D858="Operacional",10,3),FERIADOS!$A$3:$A$119))),"-")),"-")</f>
        <v>-</v>
      </c>
      <c r="P858" s="21"/>
      <c r="Q858" s="7"/>
      <c r="R858" s="13"/>
      <c r="S858" s="30"/>
      <c r="T858" s="43"/>
      <c r="W858" t="str">
        <f t="shared" si="376"/>
        <v>CDMPoço TUP-132 (P-08)Poço PVT</v>
      </c>
      <c r="X8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59" spans="1:24" ht="12.5" x14ac:dyDescent="0.25">
      <c r="A859" s="8"/>
      <c r="B859" s="8" t="s">
        <v>31</v>
      </c>
      <c r="C859" s="5" t="s">
        <v>95</v>
      </c>
      <c r="D859" s="9" t="s">
        <v>26</v>
      </c>
      <c r="E859" s="36"/>
      <c r="F859" s="29" cm="1">
        <f t="array" ref="F859">IF(V859 &lt;&gt; "", V859, IFERROR(_xlfn.SINGLE(INDEX($G$1:G858,SUMPRODUCT(MAX(($W$1:W858=W859)*(ROW($W$1:W858))))))+IF(D859="Fiscal",30,90),""))</f>
        <v>46052</v>
      </c>
      <c r="G859" s="13">
        <v>46034</v>
      </c>
      <c r="H859" s="15">
        <f t="shared" si="373"/>
        <v>46044</v>
      </c>
      <c r="I859" s="15">
        <v>46035</v>
      </c>
      <c r="J859" s="32" t="s">
        <v>251</v>
      </c>
      <c r="K859" s="15">
        <f t="shared" si="374"/>
        <v>46054</v>
      </c>
      <c r="L859" s="15">
        <v>46048</v>
      </c>
      <c r="M859" s="15">
        <f t="shared" si="375"/>
        <v>46059</v>
      </c>
      <c r="N859" s="13">
        <v>46059</v>
      </c>
      <c r="O859" s="2" t="str">
        <f>IFERROR(IF(tblColetas[[#This Row],[Status Coleta]]="Reprovado","Reprovado",IF(ISERROR(SEARCH("Poço",D859)),IF(N859="","Erro",IF(Q859="Reprovado","",WORKDAY(N859,IF(D859="Operacional",10,3),FERIADOS!$A$3:$A$119))),"-")),"-")</f>
        <v>-</v>
      </c>
      <c r="P859" s="13"/>
      <c r="Q859" s="7"/>
      <c r="R859" s="13"/>
      <c r="S859" s="30"/>
      <c r="T859" s="43"/>
      <c r="W859" t="str">
        <f t="shared" si="376"/>
        <v>CDIPoço SPH-20 (P-5)Poço CG</v>
      </c>
      <c r="X8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0" spans="1:24" ht="12.5" x14ac:dyDescent="0.25">
      <c r="A860" s="8"/>
      <c r="B860" s="8" t="s">
        <v>31</v>
      </c>
      <c r="C860" s="5" t="s">
        <v>107</v>
      </c>
      <c r="D860" s="9" t="s">
        <v>26</v>
      </c>
      <c r="E860" s="36"/>
      <c r="F860" s="29" cm="1">
        <f t="array" ref="F860">IF(V860 &lt;&gt; "", V860, IFERROR(_xlfn.SINGLE(INDEX($G$1:G859,SUMPRODUCT(MAX(($W$1:W859=W860)*(ROW($W$1:W859))))))+IF(D860="Fiscal",30,90),""))</f>
        <v>46053</v>
      </c>
      <c r="G860" s="13">
        <v>46029</v>
      </c>
      <c r="H860" s="15">
        <f t="shared" si="373"/>
        <v>46039</v>
      </c>
      <c r="I860" s="15">
        <v>46035</v>
      </c>
      <c r="J860" s="32" t="s">
        <v>251</v>
      </c>
      <c r="K860" s="15">
        <f t="shared" si="374"/>
        <v>46049</v>
      </c>
      <c r="L860" s="15">
        <v>46048</v>
      </c>
      <c r="M860" s="15">
        <f t="shared" si="375"/>
        <v>46054</v>
      </c>
      <c r="N860" s="13">
        <v>46052</v>
      </c>
      <c r="O860" s="2" t="str">
        <f>IFERROR(IF(tblColetas[[#This Row],[Status Coleta]]="Reprovado","Reprovado",IF(ISERROR(SEARCH("Poço",D860)),IF(N860="","Erro",IF(Q860="Reprovado","",WORKDAY(N860,IF(D860="Operacional",10,3),FERIADOS!$A$3:$A$119))),"-")),"-")</f>
        <v>-</v>
      </c>
      <c r="P860" s="13"/>
      <c r="Q860" s="7" t="s">
        <v>37</v>
      </c>
      <c r="R860" s="13"/>
      <c r="S860" s="30"/>
      <c r="T860" s="43"/>
      <c r="W860" t="str">
        <f t="shared" si="376"/>
        <v>CDIPoço SPH-7 (P-3)Poço CG</v>
      </c>
      <c r="X8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1" spans="1:24" ht="12.5" x14ac:dyDescent="0.25">
      <c r="A861" s="8"/>
      <c r="B861" s="8" t="s">
        <v>34</v>
      </c>
      <c r="C861" s="5" t="s">
        <v>109</v>
      </c>
      <c r="D861" s="9" t="s">
        <v>26</v>
      </c>
      <c r="E861" s="36"/>
      <c r="F861" s="29" cm="1">
        <f t="array" ref="F861">IF(V861 &lt;&gt; "", V861, IFERROR(_xlfn.SINGLE(INDEX($G$1:G860,SUMPRODUCT(MAX(($W$1:W860=W861)*(ROW($W$1:W860))))))+IF(D861="Fiscal",30,90),""))</f>
        <v>46078</v>
      </c>
      <c r="G861" s="13">
        <v>46064</v>
      </c>
      <c r="H861" s="15">
        <f t="shared" si="373"/>
        <v>46074</v>
      </c>
      <c r="I861" s="15"/>
      <c r="J861" s="32"/>
      <c r="K861" s="15">
        <f t="shared" si="374"/>
        <v>46084</v>
      </c>
      <c r="L861" s="15"/>
      <c r="M861" s="15">
        <f t="shared" si="375"/>
        <v>46089</v>
      </c>
      <c r="N861" s="13"/>
      <c r="O861" s="2" t="str">
        <f>IFERROR(IF(tblColetas[[#This Row],[Status Coleta]]="Reprovado","Reprovado",IF(ISERROR(SEARCH("Poço",D861)),IF(N861="","Erro",IF(Q861="Reprovado","",WORKDAY(N861,IF(D861="Operacional",10,3),FERIADOS!$A$3:$A$119))),"-")),"-")</f>
        <v>-</v>
      </c>
      <c r="P861" s="13"/>
      <c r="Q861" s="7"/>
      <c r="R861" s="13"/>
      <c r="S861" s="30"/>
      <c r="T861" s="43"/>
      <c r="W861" t="str">
        <f t="shared" si="376"/>
        <v>CDSPoço LL-106 (P-16)Poço CG</v>
      </c>
      <c r="X8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2" spans="1:24" ht="12.5" x14ac:dyDescent="0.25">
      <c r="A862" s="8"/>
      <c r="B862" s="8" t="s">
        <v>34</v>
      </c>
      <c r="C862" s="5" t="s">
        <v>109</v>
      </c>
      <c r="D862" s="9" t="s">
        <v>29</v>
      </c>
      <c r="E862" s="36"/>
      <c r="F862" s="29" cm="1">
        <f t="array" ref="F862">IF(V862 &lt;&gt; "", V862, IFERROR(_xlfn.SINGLE(INDEX($G$1:G861,SUMPRODUCT(MAX(($W$1:W861=W862)*(ROW($W$1:W861))))))+IF(D862="Fiscal",30,90),""))</f>
        <v>46078</v>
      </c>
      <c r="G862" s="13">
        <v>46064</v>
      </c>
      <c r="H862" s="15">
        <f t="shared" si="373"/>
        <v>46074</v>
      </c>
      <c r="I862" s="15"/>
      <c r="J862" s="32"/>
      <c r="K862" s="15">
        <f t="shared" si="374"/>
        <v>46084</v>
      </c>
      <c r="L862" s="15"/>
      <c r="M862" s="15">
        <f t="shared" si="375"/>
        <v>46089</v>
      </c>
      <c r="N862" s="13"/>
      <c r="O862" s="2" t="str">
        <f>IFERROR(IF(tblColetas[[#This Row],[Status Coleta]]="Reprovado","Reprovado",IF(ISERROR(SEARCH("Poço",D862)),IF(N862="","Erro",IF(Q862="Reprovado","",WORKDAY(N862,IF(D862="Operacional",10,3),FERIADOS!$A$3:$A$119))),"-")),"-")</f>
        <v>-</v>
      </c>
      <c r="P862" s="13"/>
      <c r="Q862" s="7"/>
      <c r="R862" s="13"/>
      <c r="S862" s="30"/>
      <c r="T862" s="43"/>
      <c r="W862" t="str">
        <f t="shared" si="376"/>
        <v>CDSPoço LL-106 (P-16)Poço PVT</v>
      </c>
      <c r="X8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3" spans="1:24" ht="12.5" x14ac:dyDescent="0.25">
      <c r="A863" s="8"/>
      <c r="B863" s="8" t="s">
        <v>34</v>
      </c>
      <c r="C863" s="5" t="s">
        <v>71</v>
      </c>
      <c r="D863" s="9" t="s">
        <v>72</v>
      </c>
      <c r="E863" s="36"/>
      <c r="F863" s="29" cm="1">
        <f t="array" ref="F863">IF(V863 &lt;&gt; "", V863, IFERROR(_xlfn.SINGLE(INDEX($G$1:G862,SUMPRODUCT(MAX(($W$1:W862=W863)*(ROW($W$1:W862))))))+IF(D863="Fiscal",30,90),""))</f>
        <v>46016</v>
      </c>
      <c r="G863" s="13">
        <v>46008</v>
      </c>
      <c r="H863" s="15">
        <f t="shared" si="373"/>
        <v>46018</v>
      </c>
      <c r="I863" s="15"/>
      <c r="J863" s="32"/>
      <c r="K863" s="15">
        <f t="shared" si="374"/>
        <v>46028</v>
      </c>
      <c r="L863" s="15"/>
      <c r="M863" s="15">
        <f t="shared" si="375"/>
        <v>46033</v>
      </c>
      <c r="N863" s="13">
        <v>46031</v>
      </c>
      <c r="O863" s="2">
        <f>IFERROR(IF(tblColetas[[#This Row],[Status Coleta]]="Reprovado","Reprovado",IF(ISERROR(SEARCH("Poço",D863)),IF(N863="","Erro",IF(Q863="Reprovado","",WORKDAY(N863,IF(D863="Operacional",10,3),FERIADOS!$A$3:$A$119))),"-")),"-")</f>
        <v>46036</v>
      </c>
      <c r="P863" s="13">
        <v>46035</v>
      </c>
      <c r="Q863" s="7" t="s">
        <v>37</v>
      </c>
      <c r="R863" s="13"/>
      <c r="S863" s="33" t="s">
        <v>259</v>
      </c>
      <c r="T863" s="43"/>
      <c r="W863" t="str">
        <f t="shared" si="376"/>
        <v>CDST77-FT-0103 (Fuel Gas)Fiscal</v>
      </c>
      <c r="X8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4" spans="1:24" ht="12.5" x14ac:dyDescent="0.25">
      <c r="A864" s="8"/>
      <c r="B864" s="8" t="s">
        <v>34</v>
      </c>
      <c r="C864" s="5" t="s">
        <v>73</v>
      </c>
      <c r="D864" s="9" t="s">
        <v>72</v>
      </c>
      <c r="E864" s="36"/>
      <c r="F864" s="29" cm="1">
        <f t="array" ref="F864">IF(V864 &lt;&gt; "", V864, IFERROR(_xlfn.SINGLE(INDEX($G$1:G863,SUMPRODUCT(MAX(($W$1:W863=W864)*(ROW($W$1:W863))))))+IF(D864="Fiscal",30,90),""))</f>
        <v>46016</v>
      </c>
      <c r="G864" s="13">
        <v>46008</v>
      </c>
      <c r="H864" s="15">
        <f t="shared" si="373"/>
        <v>46018</v>
      </c>
      <c r="I864" s="15"/>
      <c r="J864" s="32"/>
      <c r="K864" s="15">
        <f t="shared" si="374"/>
        <v>46028</v>
      </c>
      <c r="L864" s="15"/>
      <c r="M864" s="15">
        <f t="shared" si="375"/>
        <v>46033</v>
      </c>
      <c r="N864" s="13">
        <v>46031</v>
      </c>
      <c r="O864" s="2">
        <f>IFERROR(IF(tblColetas[[#This Row],[Status Coleta]]="Reprovado","Reprovado",IF(ISERROR(SEARCH("Poço",D864)),IF(N864="","Erro",IF(Q864="Reprovado","",WORKDAY(N864,IF(D864="Operacional",10,3),FERIADOS!$A$3:$A$119))),"-")),"-")</f>
        <v>46036</v>
      </c>
      <c r="P864" s="13">
        <v>46035</v>
      </c>
      <c r="Q864" s="7" t="s">
        <v>37</v>
      </c>
      <c r="R864" s="13"/>
      <c r="S864" s="33" t="s">
        <v>259</v>
      </c>
      <c r="T864" s="43"/>
      <c r="W864" t="str">
        <f t="shared" si="376"/>
        <v>CDST74-AX-6911 (Export Gas)Fiscal</v>
      </c>
      <c r="X8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5" spans="1:24" ht="12.5" x14ac:dyDescent="0.25">
      <c r="A865" s="8"/>
      <c r="B865" s="8" t="s">
        <v>34</v>
      </c>
      <c r="C865" s="5" t="s">
        <v>74</v>
      </c>
      <c r="D865" s="9" t="s">
        <v>72</v>
      </c>
      <c r="E865" s="36"/>
      <c r="F865" s="29" cm="1">
        <f t="array" ref="F865">IF(V865 &lt;&gt; "", V865, IFERROR(_xlfn.SINGLE(INDEX($G$1:G864,SUMPRODUCT(MAX(($W$1:W864=W865)*(ROW($W$1:W864))))))+IF(D865="Fiscal",30,90),""))</f>
        <v>46018</v>
      </c>
      <c r="G865" s="13">
        <v>46009</v>
      </c>
      <c r="H865" s="15">
        <f t="shared" si="373"/>
        <v>46019</v>
      </c>
      <c r="I865" s="15"/>
      <c r="J865" s="32"/>
      <c r="K865" s="15">
        <f t="shared" si="374"/>
        <v>46029</v>
      </c>
      <c r="L865" s="15"/>
      <c r="M865" s="15">
        <f t="shared" si="375"/>
        <v>46034</v>
      </c>
      <c r="N865" s="13">
        <v>46031</v>
      </c>
      <c r="O865" s="2">
        <f>IFERROR(IF(tblColetas[[#This Row],[Status Coleta]]="Reprovado","Reprovado",IF(ISERROR(SEARCH("Poço",D865)),IF(N865="","Erro",IF(Q865="Reprovado","",WORKDAY(N865,IF(D865="Operacional",10,3),FERIADOS!$A$3:$A$119))),"-")),"-")</f>
        <v>46036</v>
      </c>
      <c r="P865" s="13">
        <v>46035</v>
      </c>
      <c r="Q865" s="7" t="s">
        <v>37</v>
      </c>
      <c r="R865" s="13"/>
      <c r="S865" s="33" t="s">
        <v>259</v>
      </c>
      <c r="T865" s="43"/>
      <c r="W865" t="str">
        <f t="shared" si="376"/>
        <v>CDST76-FT-0014 (HP Flare)Fiscal</v>
      </c>
      <c r="X8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6" spans="1:24" ht="12.5" x14ac:dyDescent="0.25">
      <c r="A866" s="8"/>
      <c r="B866" s="8" t="s">
        <v>34</v>
      </c>
      <c r="C866" s="5" t="s">
        <v>75</v>
      </c>
      <c r="D866" s="9" t="s">
        <v>72</v>
      </c>
      <c r="E866" s="36"/>
      <c r="F866" s="29" cm="1">
        <f t="array" ref="F866">IF(V866 &lt;&gt; "", V866, IFERROR(_xlfn.SINGLE(INDEX($G$1:G865,SUMPRODUCT(MAX(($W$1:W865=W866)*(ROW($W$1:W865))))))+IF(D866="Fiscal",30,90),""))</f>
        <v>46018</v>
      </c>
      <c r="G866" s="13">
        <v>46009</v>
      </c>
      <c r="H866" s="15">
        <f t="shared" si="373"/>
        <v>46019</v>
      </c>
      <c r="I866" s="15"/>
      <c r="J866" s="32"/>
      <c r="K866" s="15">
        <f t="shared" si="374"/>
        <v>46029</v>
      </c>
      <c r="L866" s="15"/>
      <c r="M866" s="15">
        <f t="shared" si="375"/>
        <v>46034</v>
      </c>
      <c r="N866" s="13">
        <v>46031</v>
      </c>
      <c r="O866" s="2">
        <f>IFERROR(IF(tblColetas[[#This Row],[Status Coleta]]="Reprovado","Reprovado",IF(ISERROR(SEARCH("Poço",D866)),IF(N866="","Erro",IF(Q866="Reprovado","",WORKDAY(N866,IF(D866="Operacional",10,3),FERIADOS!$A$3:$A$119))),"-")),"-")</f>
        <v>46036</v>
      </c>
      <c r="P866" s="13">
        <v>46035</v>
      </c>
      <c r="Q866" s="7" t="s">
        <v>37</v>
      </c>
      <c r="R866" s="13"/>
      <c r="S866" s="33" t="s">
        <v>259</v>
      </c>
      <c r="T866" s="43"/>
      <c r="W866" t="str">
        <f t="shared" si="376"/>
        <v>CDST76-FT-0034 (LP Flare)Fiscal</v>
      </c>
      <c r="X8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7" spans="1:24" ht="12.5" x14ac:dyDescent="0.25">
      <c r="A867" s="8"/>
      <c r="B867" s="8" t="s">
        <v>34</v>
      </c>
      <c r="C867" s="5" t="s">
        <v>43</v>
      </c>
      <c r="D867" s="9" t="s">
        <v>26</v>
      </c>
      <c r="E867" s="36"/>
      <c r="F867" s="29" cm="1">
        <f t="array" ref="F867">IF(V867 &lt;&gt; "", V867, IFERROR(_xlfn.SINGLE(INDEX($G$1:G866,SUMPRODUCT(MAX(($W$1:W866=W867)*(ROW($W$1:W866))))))+IF(D867="Fiscal",30,90),""))</f>
        <v>46079</v>
      </c>
      <c r="G867" s="13"/>
      <c r="H867" s="15" t="str">
        <f t="shared" si="373"/>
        <v>Erro</v>
      </c>
      <c r="I867" s="15"/>
      <c r="J867" s="32"/>
      <c r="K867" s="15" t="str">
        <f t="shared" si="374"/>
        <v>Erro</v>
      </c>
      <c r="L867" s="15"/>
      <c r="M867" s="15" t="str">
        <f t="shared" si="375"/>
        <v>Erro</v>
      </c>
      <c r="N867" s="13"/>
      <c r="O867" s="2" t="str">
        <f>IFERROR(IF(tblColetas[[#This Row],[Status Coleta]]="Reprovado","Reprovado",IF(ISERROR(SEARCH("Poço",D867)),IF(N867="","Erro",IF(Q867="Reprovado","",WORKDAY(N867,IF(D867="Operacional",10,3),FERIADOS!$A$3:$A$119))),"-")),"-")</f>
        <v>-</v>
      </c>
      <c r="P867" s="13"/>
      <c r="Q867" s="7"/>
      <c r="R867" s="13"/>
      <c r="S867" s="30"/>
      <c r="T867" s="43"/>
      <c r="W867" t="str">
        <f t="shared" si="376"/>
        <v>CDSPoço LL-59 (P-10)Poço CG</v>
      </c>
      <c r="X8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8" spans="1:24" ht="12.5" x14ac:dyDescent="0.25">
      <c r="A868" s="8"/>
      <c r="B868" s="8" t="s">
        <v>34</v>
      </c>
      <c r="C868" s="5" t="s">
        <v>43</v>
      </c>
      <c r="D868" s="9" t="s">
        <v>29</v>
      </c>
      <c r="E868" s="36"/>
      <c r="F868" s="29" cm="1">
        <f t="array" ref="F868">IF(V868 &lt;&gt; "", V868, IFERROR(_xlfn.SINGLE(INDEX($G$1:G867,SUMPRODUCT(MAX(($W$1:W867=W868)*(ROW($W$1:W867))))))+IF(D868="Fiscal",30,90),""))</f>
        <v>46079</v>
      </c>
      <c r="G868" s="13"/>
      <c r="H868" s="15" t="str">
        <f t="shared" si="373"/>
        <v>Erro</v>
      </c>
      <c r="I868" s="15"/>
      <c r="J868" s="32"/>
      <c r="K868" s="15" t="str">
        <f t="shared" si="374"/>
        <v>Erro</v>
      </c>
      <c r="L868" s="15"/>
      <c r="M868" s="15" t="str">
        <f t="shared" si="375"/>
        <v>Erro</v>
      </c>
      <c r="N868" s="13"/>
      <c r="O868" s="2" t="str">
        <f>IFERROR(IF(tblColetas[[#This Row],[Status Coleta]]="Reprovado","Reprovado",IF(ISERROR(SEARCH("Poço",D868)),IF(N868="","Erro",IF(Q868="Reprovado","",WORKDAY(N868,IF(D868="Operacional",10,3),FERIADOS!$A$3:$A$119))),"-")),"-")</f>
        <v>-</v>
      </c>
      <c r="P868" s="13"/>
      <c r="Q868" s="7"/>
      <c r="R868" s="13"/>
      <c r="S868" s="30"/>
      <c r="T868" s="43"/>
      <c r="W868" t="str">
        <f t="shared" si="376"/>
        <v>CDSPoço LL-59 (P-10)Poço PVT</v>
      </c>
      <c r="X8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69" spans="1:24" ht="12.5" x14ac:dyDescent="0.25">
      <c r="A869" s="8"/>
      <c r="B869" s="8" t="s">
        <v>31</v>
      </c>
      <c r="C869" s="5" t="s">
        <v>122</v>
      </c>
      <c r="D869" s="9" t="s">
        <v>72</v>
      </c>
      <c r="E869" s="36"/>
      <c r="F869" s="29" cm="1">
        <f t="array" ref="F869">IF(V869 &lt;&gt; "", V869, IFERROR(_xlfn.SINGLE(INDEX($G$1:G868,SUMPRODUCT(MAX(($W$1:W868=W869)*(ROW($W$1:W868))))))+IF(D869="Fiscal",30,90),""))</f>
        <v>46020</v>
      </c>
      <c r="G869" s="13">
        <v>46015</v>
      </c>
      <c r="H869" s="15">
        <f t="shared" si="373"/>
        <v>46025</v>
      </c>
      <c r="I869" s="15"/>
      <c r="J869" s="32"/>
      <c r="K869" s="15">
        <f t="shared" si="374"/>
        <v>46035</v>
      </c>
      <c r="L869" s="15"/>
      <c r="M869" s="15">
        <f t="shared" si="375"/>
        <v>46040</v>
      </c>
      <c r="N869" s="13">
        <v>46038</v>
      </c>
      <c r="O869" s="2">
        <f>IFERROR(IF(tblColetas[[#This Row],[Status Coleta]]="Reprovado","Reprovado",IF(ISERROR(SEARCH("Poço",D869)),IF(N869="","Erro",IF(Q869="Reprovado","",WORKDAY(N869,IF(D869="Operacional",10,3),FERIADOS!$A$3:$A$119))),"-")),"-")</f>
        <v>46043</v>
      </c>
      <c r="P869" s="13">
        <v>46042</v>
      </c>
      <c r="Q869" s="7" t="s">
        <v>37</v>
      </c>
      <c r="R869" s="13"/>
      <c r="S869" s="33" t="s">
        <v>260</v>
      </c>
      <c r="T869" s="43"/>
      <c r="W869" t="str">
        <f t="shared" si="376"/>
        <v>CDIT77-FT-6911 (Export gas)Fiscal</v>
      </c>
      <c r="X8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0" spans="1:24" ht="12.5" x14ac:dyDescent="0.25">
      <c r="A870" s="8"/>
      <c r="B870" s="8" t="s">
        <v>31</v>
      </c>
      <c r="C870" s="5" t="s">
        <v>71</v>
      </c>
      <c r="D870" s="9" t="s">
        <v>72</v>
      </c>
      <c r="E870" s="36"/>
      <c r="F870" s="29" cm="1">
        <f t="array" ref="F870">IF(V870 &lt;&gt; "", V870, IFERROR(_xlfn.SINGLE(INDEX($G$1:G869,SUMPRODUCT(MAX(($W$1:W869=W870)*(ROW($W$1:W869))))))+IF(D870="Fiscal",30,90),""))</f>
        <v>46020</v>
      </c>
      <c r="G870" s="13">
        <v>46015</v>
      </c>
      <c r="H870" s="15">
        <f t="shared" si="373"/>
        <v>46025</v>
      </c>
      <c r="I870" s="15"/>
      <c r="J870" s="32"/>
      <c r="K870" s="15">
        <f t="shared" si="374"/>
        <v>46035</v>
      </c>
      <c r="L870" s="15"/>
      <c r="M870" s="15">
        <f t="shared" si="375"/>
        <v>46040</v>
      </c>
      <c r="N870" s="13">
        <v>46038</v>
      </c>
      <c r="O870" s="2">
        <f>IFERROR(IF(tblColetas[[#This Row],[Status Coleta]]="Reprovado","Reprovado",IF(ISERROR(SEARCH("Poço",D870)),IF(N870="","Erro",IF(Q870="Reprovado","",WORKDAY(N870,IF(D870="Operacional",10,3),FERIADOS!$A$3:$A$119))),"-")),"-")</f>
        <v>46043</v>
      </c>
      <c r="P870" s="13">
        <v>46042</v>
      </c>
      <c r="Q870" s="7" t="s">
        <v>37</v>
      </c>
      <c r="R870" s="13"/>
      <c r="S870" s="33" t="s">
        <v>260</v>
      </c>
      <c r="T870" s="43"/>
      <c r="W870" t="str">
        <f t="shared" si="376"/>
        <v>CDIT77-FT-0103 (Fuel Gas)Fiscal</v>
      </c>
      <c r="X8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1" spans="1:24" ht="12.5" x14ac:dyDescent="0.25">
      <c r="A871" s="8"/>
      <c r="B871" s="8" t="s">
        <v>31</v>
      </c>
      <c r="C871" s="5" t="s">
        <v>74</v>
      </c>
      <c r="D871" s="9" t="s">
        <v>72</v>
      </c>
      <c r="E871" s="36"/>
      <c r="F871" s="29" cm="1">
        <f t="array" ref="F871">IF(V871 &lt;&gt; "", V871, IFERROR(_xlfn.SINGLE(INDEX($G$1:G870,SUMPRODUCT(MAX(($W$1:W870=W871)*(ROW($W$1:W870))))))+IF(D871="Fiscal",30,90),""))</f>
        <v>46020</v>
      </c>
      <c r="G871" s="13">
        <v>46015</v>
      </c>
      <c r="H871" s="15">
        <f t="shared" si="373"/>
        <v>46025</v>
      </c>
      <c r="I871" s="15"/>
      <c r="J871" s="32"/>
      <c r="K871" s="15">
        <f t="shared" si="374"/>
        <v>46035</v>
      </c>
      <c r="L871" s="15"/>
      <c r="M871" s="15">
        <f t="shared" si="375"/>
        <v>46040</v>
      </c>
      <c r="N871" s="13">
        <v>46038</v>
      </c>
      <c r="O871" s="2">
        <f>IFERROR(IF(tblColetas[[#This Row],[Status Coleta]]="Reprovado","Reprovado",IF(ISERROR(SEARCH("Poço",D871)),IF(N871="","Erro",IF(Q871="Reprovado","",WORKDAY(N871,IF(D871="Operacional",10,3),FERIADOS!$A$3:$A$119))),"-")),"-")</f>
        <v>46043</v>
      </c>
      <c r="P871" s="13">
        <v>46042</v>
      </c>
      <c r="Q871" s="7" t="s">
        <v>37</v>
      </c>
      <c r="R871" s="13"/>
      <c r="S871" s="33" t="s">
        <v>260</v>
      </c>
      <c r="T871" s="43"/>
      <c r="W871" t="str">
        <f t="shared" si="376"/>
        <v>CDIT76-FT-0014 (HP Flare)Fiscal</v>
      </c>
      <c r="X8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2" spans="1:24" ht="12.5" x14ac:dyDescent="0.25">
      <c r="A872" s="8"/>
      <c r="B872" s="8" t="s">
        <v>31</v>
      </c>
      <c r="C872" s="5" t="s">
        <v>75</v>
      </c>
      <c r="D872" s="9" t="s">
        <v>72</v>
      </c>
      <c r="E872" s="36"/>
      <c r="F872" s="29" cm="1">
        <f t="array" ref="F872">IF(V872 &lt;&gt; "", V872, IFERROR(_xlfn.SINGLE(INDEX($G$1:G871,SUMPRODUCT(MAX(($W$1:W871=W872)*(ROW($W$1:W871))))))+IF(D872="Fiscal",30,90),""))</f>
        <v>46020</v>
      </c>
      <c r="G872" s="13">
        <v>46015</v>
      </c>
      <c r="H872" s="15">
        <f t="shared" si="373"/>
        <v>46025</v>
      </c>
      <c r="I872" s="15"/>
      <c r="J872" s="32"/>
      <c r="K872" s="15">
        <f t="shared" si="374"/>
        <v>46035</v>
      </c>
      <c r="L872" s="15"/>
      <c r="M872" s="15">
        <f t="shared" si="375"/>
        <v>46040</v>
      </c>
      <c r="N872" s="13">
        <v>46038</v>
      </c>
      <c r="O872" s="2">
        <f>IFERROR(IF(tblColetas[[#This Row],[Status Coleta]]="Reprovado","Reprovado",IF(ISERROR(SEARCH("Poço",D872)),IF(N872="","Erro",IF(Q872="Reprovado","",WORKDAY(N872,IF(D872="Operacional",10,3),FERIADOS!$A$3:$A$119))),"-")),"-")</f>
        <v>46043</v>
      </c>
      <c r="P872" s="13">
        <v>46042</v>
      </c>
      <c r="Q872" s="7" t="s">
        <v>37</v>
      </c>
      <c r="R872" s="13"/>
      <c r="S872" s="33" t="s">
        <v>260</v>
      </c>
      <c r="T872" s="43"/>
      <c r="W872" t="str">
        <f t="shared" si="376"/>
        <v>CDIT76-FT-0034 (LP Flare)Fiscal</v>
      </c>
      <c r="X8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3" spans="1:24" ht="12.5" x14ac:dyDescent="0.25">
      <c r="A873" s="19"/>
      <c r="B873" s="19" t="s">
        <v>24</v>
      </c>
      <c r="C873" s="5" t="s">
        <v>76</v>
      </c>
      <c r="D873" s="20" t="s">
        <v>72</v>
      </c>
      <c r="E873" s="35"/>
      <c r="F873" s="29" cm="1">
        <f t="array" ref="F873">IF(V873 &lt;&gt; "", V873, IFERROR(_xlfn.SINGLE(INDEX($G$1:G872,SUMPRODUCT(MAX(($W$1:W872=W873)*(ROW($W$1:W872))))))+IF(D873="Fiscal",30,90),""))</f>
        <v>46021</v>
      </c>
      <c r="G873" s="21">
        <v>46019</v>
      </c>
      <c r="H873" s="15">
        <f t="shared" si="373"/>
        <v>46029</v>
      </c>
      <c r="I873" s="15">
        <v>46023</v>
      </c>
      <c r="J873" s="32" t="s">
        <v>94</v>
      </c>
      <c r="K873" s="15">
        <f t="shared" si="374"/>
        <v>46039</v>
      </c>
      <c r="L873" s="15">
        <v>46039</v>
      </c>
      <c r="M873" s="15">
        <f t="shared" si="375"/>
        <v>46044</v>
      </c>
      <c r="N873" s="13">
        <v>46044</v>
      </c>
      <c r="O873" s="2" t="str">
        <f>IFERROR(IF(tblColetas[[#This Row],[Status Coleta]]="Reprovado","Reprovado",IF(ISERROR(SEARCH("Poço",D873)),IF(N873="","Erro",IF(Q873="Reprovado","",WORKDAY(N873,IF(D873="Operacional",10,3),FERIADOS!$A$3:$A$119))),"-")),"-")</f>
        <v>Reprovado</v>
      </c>
      <c r="P873" s="21"/>
      <c r="Q873" s="7" t="s">
        <v>81</v>
      </c>
      <c r="R873" s="13"/>
      <c r="S873" s="30"/>
      <c r="T873" s="43"/>
      <c r="W873" t="str">
        <f t="shared" si="376"/>
        <v>CDAM74-FT-005 (Export gas)Fiscal</v>
      </c>
      <c r="X8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4" spans="1:24" ht="12.5" x14ac:dyDescent="0.25">
      <c r="A874" s="19"/>
      <c r="B874" s="19" t="s">
        <v>24</v>
      </c>
      <c r="C874" s="5" t="s">
        <v>78</v>
      </c>
      <c r="D874" s="20" t="s">
        <v>72</v>
      </c>
      <c r="E874" s="35"/>
      <c r="F874" s="29" cm="1">
        <f t="array" ref="F874">IF(V874 &lt;&gt; "", V874, IFERROR(_xlfn.SINGLE(INDEX($G$1:G873,SUMPRODUCT(MAX(($W$1:W873=W874)*(ROW($W$1:W873))))))+IF(D874="Fiscal",30,90),""))</f>
        <v>46021</v>
      </c>
      <c r="G874" s="21">
        <v>46019</v>
      </c>
      <c r="H874" s="15">
        <f t="shared" si="373"/>
        <v>46029</v>
      </c>
      <c r="I874" s="15">
        <v>46023</v>
      </c>
      <c r="J874" s="32" t="s">
        <v>94</v>
      </c>
      <c r="K874" s="15">
        <f t="shared" si="374"/>
        <v>46039</v>
      </c>
      <c r="L874" s="15">
        <v>46039</v>
      </c>
      <c r="M874" s="15">
        <f t="shared" si="375"/>
        <v>46044</v>
      </c>
      <c r="N874" s="13">
        <v>46044</v>
      </c>
      <c r="O874" s="2">
        <f>IFERROR(IF(tblColetas[[#This Row],[Status Coleta]]="Reprovado","Reprovado",IF(ISERROR(SEARCH("Poço",D874)),IF(N874="","Erro",IF(Q874="Reprovado","",WORKDAY(N874,IF(D874="Operacional",10,3),FERIADOS!$A$3:$A$119))),"-")),"-")</f>
        <v>46049</v>
      </c>
      <c r="P874" s="21">
        <v>46048</v>
      </c>
      <c r="Q874" s="7" t="s">
        <v>37</v>
      </c>
      <c r="R874" s="13"/>
      <c r="S874" s="30"/>
      <c r="T874" s="43"/>
      <c r="W874" t="str">
        <f t="shared" si="376"/>
        <v>CDAT77-FT-001 (Fuel Gas)Fiscal</v>
      </c>
      <c r="X8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5" spans="1:24" ht="12.5" x14ac:dyDescent="0.25">
      <c r="A875" s="19"/>
      <c r="B875" s="19" t="s">
        <v>145</v>
      </c>
      <c r="C875" s="5" t="s">
        <v>146</v>
      </c>
      <c r="D875" s="20" t="s">
        <v>72</v>
      </c>
      <c r="E875" s="35"/>
      <c r="F875" s="29" cm="1">
        <f t="array" ref="F875">IF(V875 &lt;&gt; "", V875, IFERROR(_xlfn.SINGLE(INDEX($G$1:G874,SUMPRODUCT(MAX(($W$1:W874=W875)*(ROW($W$1:W874))))))+IF(D875="Fiscal",30,90),""))</f>
        <v>46019</v>
      </c>
      <c r="G875" s="21">
        <v>46013</v>
      </c>
      <c r="H875" s="15">
        <f t="shared" si="373"/>
        <v>46023</v>
      </c>
      <c r="I875" s="15"/>
      <c r="J875" s="32"/>
      <c r="K875" s="15">
        <f t="shared" si="374"/>
        <v>46033</v>
      </c>
      <c r="L875" s="15"/>
      <c r="M875" s="15">
        <f t="shared" si="375"/>
        <v>46038</v>
      </c>
      <c r="N875" s="13">
        <v>46038</v>
      </c>
      <c r="O875" s="2">
        <f>IFERROR(IF(tblColetas[[#This Row],[Status Coleta]]="Reprovado","Reprovado",IF(ISERROR(SEARCH("Poço",D875)),IF(N875="","Erro",IF(Q875="Reprovado","",WORKDAY(N875,IF(D875="Operacional",10,3),FERIADOS!$A$3:$A$119))),"-")),"-")</f>
        <v>46043</v>
      </c>
      <c r="P875" s="21">
        <v>46042</v>
      </c>
      <c r="Q875" s="7" t="s">
        <v>37</v>
      </c>
      <c r="R875" s="13"/>
      <c r="S875" s="30"/>
      <c r="T875" s="43"/>
      <c r="W875" t="str">
        <f t="shared" si="376"/>
        <v>ATD777-AP-1403 (Fuel Gas to Flare Stack)Fiscal</v>
      </c>
      <c r="X8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6" spans="1:24" ht="12.5" x14ac:dyDescent="0.25">
      <c r="A876" s="19"/>
      <c r="B876" s="19" t="s">
        <v>145</v>
      </c>
      <c r="C876" s="5" t="s">
        <v>147</v>
      </c>
      <c r="D876" s="20" t="s">
        <v>72</v>
      </c>
      <c r="E876" s="35"/>
      <c r="F876" s="29" cm="1">
        <f t="array" ref="F876">IF(V876 &lt;&gt; "", V876, IFERROR(_xlfn.SINGLE(INDEX($G$1:G875,SUMPRODUCT(MAX(($W$1:W875=W876)*(ROW($W$1:W875))))))+IF(D876="Fiscal",30,90),""))</f>
        <v>46019</v>
      </c>
      <c r="G876" s="21">
        <v>46013</v>
      </c>
      <c r="H876" s="15">
        <f t="shared" si="373"/>
        <v>46023</v>
      </c>
      <c r="I876" s="15"/>
      <c r="J876" s="32"/>
      <c r="K876" s="15">
        <f t="shared" si="374"/>
        <v>46033</v>
      </c>
      <c r="L876" s="15"/>
      <c r="M876" s="15">
        <f t="shared" si="375"/>
        <v>46038</v>
      </c>
      <c r="N876" s="13">
        <v>46038</v>
      </c>
      <c r="O876" s="2">
        <f>IFERROR(IF(tblColetas[[#This Row],[Status Coleta]]="Reprovado","Reprovado",IF(ISERROR(SEARCH("Poço",D876)),IF(N876="","Erro",IF(Q876="Reprovado","",WORKDAY(N876,IF(D876="Operacional",10,3),FERIADOS!$A$3:$A$119))),"-")),"-")</f>
        <v>46043</v>
      </c>
      <c r="P876" s="21">
        <v>46042</v>
      </c>
      <c r="Q876" s="7" t="s">
        <v>37</v>
      </c>
      <c r="R876" s="13"/>
      <c r="S876" s="33" t="s">
        <v>260</v>
      </c>
      <c r="T876" s="43"/>
      <c r="W876" t="str">
        <f t="shared" si="376"/>
        <v>ATD777-AP-1506 (Fuel Gas)Fiscal</v>
      </c>
      <c r="X8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7" spans="1:24" ht="12.5" x14ac:dyDescent="0.25">
      <c r="A877" s="19"/>
      <c r="B877" s="19" t="s">
        <v>145</v>
      </c>
      <c r="C877" s="5" t="s">
        <v>148</v>
      </c>
      <c r="D877" s="20" t="s">
        <v>72</v>
      </c>
      <c r="E877" s="35"/>
      <c r="F877" s="29" cm="1">
        <f t="array" ref="F877">IF(V877 &lt;&gt; "", V877, IFERROR(_xlfn.SINGLE(INDEX($G$1:G876,SUMPRODUCT(MAX(($W$1:W876=W877)*(ROW($W$1:W876))))))+IF(D877="Fiscal",30,90),""))</f>
        <v>46019</v>
      </c>
      <c r="G877" s="21">
        <v>46013</v>
      </c>
      <c r="H877" s="15">
        <f t="shared" si="373"/>
        <v>46023</v>
      </c>
      <c r="I877" s="15"/>
      <c r="J877" s="32"/>
      <c r="K877" s="15">
        <f t="shared" si="374"/>
        <v>46033</v>
      </c>
      <c r="L877" s="15"/>
      <c r="M877" s="15">
        <f t="shared" si="375"/>
        <v>46038</v>
      </c>
      <c r="N877" s="13">
        <v>46038</v>
      </c>
      <c r="O877" s="2">
        <f>IFERROR(IF(tblColetas[[#This Row],[Status Coleta]]="Reprovado","Reprovado",IF(ISERROR(SEARCH("Poço",D877)),IF(N877="","Erro",IF(Q877="Reprovado","",WORKDAY(N877,IF(D877="Operacional",10,3),FERIADOS!$A$3:$A$119))),"-")),"-")</f>
        <v>46043</v>
      </c>
      <c r="P877" s="21">
        <v>46042</v>
      </c>
      <c r="Q877" s="7" t="s">
        <v>37</v>
      </c>
      <c r="R877" s="13"/>
      <c r="S877" s="33" t="s">
        <v>260</v>
      </c>
      <c r="T877" s="43"/>
      <c r="W877" t="str">
        <f t="shared" si="376"/>
        <v>ATD776-AP-0018-2 (HP Flare)Fiscal</v>
      </c>
      <c r="X8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8" spans="1:24" ht="12.5" x14ac:dyDescent="0.25">
      <c r="A878" s="19"/>
      <c r="B878" s="19" t="s">
        <v>145</v>
      </c>
      <c r="C878" s="5" t="s">
        <v>149</v>
      </c>
      <c r="D878" s="20" t="s">
        <v>72</v>
      </c>
      <c r="E878" s="35"/>
      <c r="F878" s="29" cm="1">
        <f t="array" ref="F878">IF(V878 &lt;&gt; "", V878, IFERROR(_xlfn.SINGLE(INDEX($G$1:G877,SUMPRODUCT(MAX(($W$1:W877=W878)*(ROW($W$1:W877))))))+IF(D878="Fiscal",30,90),""))</f>
        <v>46019</v>
      </c>
      <c r="G878" s="21">
        <v>46013</v>
      </c>
      <c r="H878" s="15">
        <f t="shared" si="373"/>
        <v>46023</v>
      </c>
      <c r="I878" s="15"/>
      <c r="J878" s="32"/>
      <c r="K878" s="15">
        <f t="shared" si="374"/>
        <v>46033</v>
      </c>
      <c r="L878" s="15"/>
      <c r="M878" s="15">
        <f t="shared" si="375"/>
        <v>46038</v>
      </c>
      <c r="N878" s="13">
        <v>46038</v>
      </c>
      <c r="O878" s="2">
        <f>IFERROR(IF(tblColetas[[#This Row],[Status Coleta]]="Reprovado","Reprovado",IF(ISERROR(SEARCH("Poço",D878)),IF(N878="","Erro",IF(Q878="Reprovado","",WORKDAY(N878,IF(D878="Operacional",10,3),FERIADOS!$A$3:$A$119))),"-")),"-")</f>
        <v>46043</v>
      </c>
      <c r="P878" s="21">
        <v>46042</v>
      </c>
      <c r="Q878" s="7" t="s">
        <v>37</v>
      </c>
      <c r="R878" s="13"/>
      <c r="S878" s="33" t="s">
        <v>260</v>
      </c>
      <c r="T878" s="43"/>
      <c r="W878" t="str">
        <f t="shared" si="376"/>
        <v>ATD776-AP-0036-2 (LP Flare)Fiscal</v>
      </c>
      <c r="X8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79" spans="1:24" ht="12.5" x14ac:dyDescent="0.25">
      <c r="A879" s="19"/>
      <c r="B879" s="19" t="s">
        <v>145</v>
      </c>
      <c r="C879" s="5" t="s">
        <v>151</v>
      </c>
      <c r="D879" s="20" t="s">
        <v>72</v>
      </c>
      <c r="E879" s="35"/>
      <c r="F879" s="29" cm="1">
        <f t="array" ref="F879">IF(V879 &lt;&gt; "", V879, IFERROR(_xlfn.SINGLE(INDEX($G$1:G878,SUMPRODUCT(MAX(($W$1:W878=W879)*(ROW($W$1:W878))))))+IF(D879="Fiscal",30,90),""))</f>
        <v>46019</v>
      </c>
      <c r="G879" s="21">
        <v>46013</v>
      </c>
      <c r="H879" s="15">
        <f t="shared" si="373"/>
        <v>46023</v>
      </c>
      <c r="I879" s="15"/>
      <c r="J879" s="32"/>
      <c r="K879" s="15">
        <f t="shared" si="374"/>
        <v>46033</v>
      </c>
      <c r="L879" s="15"/>
      <c r="M879" s="15">
        <f t="shared" si="375"/>
        <v>46038</v>
      </c>
      <c r="N879" s="13">
        <v>46038</v>
      </c>
      <c r="O879" s="2">
        <f>IFERROR(IF(tblColetas[[#This Row],[Status Coleta]]="Reprovado","Reprovado",IF(ISERROR(SEARCH("Poço",D879)),IF(N879="","Erro",IF(Q879="Reprovado","",WORKDAY(N879,IF(D879="Operacional",10,3),FERIADOS!$A$3:$A$119))),"-")),"-")</f>
        <v>46043</v>
      </c>
      <c r="P879" s="21">
        <v>46042</v>
      </c>
      <c r="Q879" s="7" t="s">
        <v>37</v>
      </c>
      <c r="R879" s="13"/>
      <c r="S879" s="33" t="s">
        <v>260</v>
      </c>
      <c r="T879" s="43"/>
      <c r="W879" t="str">
        <f t="shared" si="376"/>
        <v>ATD776-AP-7001 (Flare Assist)Fiscal</v>
      </c>
      <c r="X8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0" spans="1:24" ht="12.5" x14ac:dyDescent="0.25">
      <c r="A880" s="19"/>
      <c r="B880" s="19" t="s">
        <v>192</v>
      </c>
      <c r="C880" s="5" t="s">
        <v>196</v>
      </c>
      <c r="D880" s="20" t="s">
        <v>26</v>
      </c>
      <c r="E880" s="35"/>
      <c r="F880" s="29" cm="1">
        <f t="array" ref="F880">IF(V880 &lt;&gt; "", V880, IFERROR(_xlfn.SINGLE(INDEX($G$1:G879,SUMPRODUCT(MAX(($W$1:W879=W880)*(ROW($W$1:W879))))))+IF(D880="Fiscal",30,90),""))</f>
        <v>46083</v>
      </c>
      <c r="G880" s="21"/>
      <c r="H880" s="15" t="str">
        <f t="shared" ref="H880:H885" si="377">IF(G880="","Erro", G880+10)</f>
        <v>Erro</v>
      </c>
      <c r="I880" s="15"/>
      <c r="J880" s="32"/>
      <c r="K880" s="15" t="str">
        <f t="shared" ref="K880:K885" si="378">IF(G880="","Erro",G880+20)</f>
        <v>Erro</v>
      </c>
      <c r="L880" s="15"/>
      <c r="M880" s="15" t="str">
        <f t="shared" ref="M880:M885" si="379">IF(G880="","Erro",G880+IF(D880="Operacional",45,25))</f>
        <v>Erro</v>
      </c>
      <c r="N880" s="13"/>
      <c r="O880" s="2" t="str">
        <f>IFERROR(IF(tblColetas[[#This Row],[Status Coleta]]="Reprovado","Reprovado",IF(ISERROR(SEARCH("Poço",D880)),IF(N880="","Erro",IF(Q880="Reprovado","",WORKDAY(N880,IF(D880="Operacional",10,3),FERIADOS!$A$3:$A$119))),"-")),"-")</f>
        <v>-</v>
      </c>
      <c r="P880" s="21"/>
      <c r="Q880" s="7"/>
      <c r="R880" s="13"/>
      <c r="S880" s="30"/>
      <c r="T880" s="43"/>
      <c r="W880" t="str">
        <f t="shared" ref="W880:W885" si="380">B880&amp;C880&amp;D880</f>
        <v>ADGPoço MRO-24 (P-06)Poço CG</v>
      </c>
      <c r="X8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1" spans="1:24" ht="12.5" x14ac:dyDescent="0.25">
      <c r="A881" s="19"/>
      <c r="B881" s="19" t="s">
        <v>192</v>
      </c>
      <c r="C881" s="5" t="s">
        <v>196</v>
      </c>
      <c r="D881" s="20" t="s">
        <v>29</v>
      </c>
      <c r="E881" s="35"/>
      <c r="F881" s="29" cm="1">
        <f t="array" ref="F881">IF(V881 &lt;&gt; "", V881, IFERROR(_xlfn.SINGLE(INDEX($G$1:G880,SUMPRODUCT(MAX(($W$1:W880=W881)*(ROW($W$1:W880))))))+IF(D881="Fiscal",30,90),""))</f>
        <v>46083</v>
      </c>
      <c r="G881" s="21"/>
      <c r="H881" s="15" t="str">
        <f t="shared" si="377"/>
        <v>Erro</v>
      </c>
      <c r="I881" s="15"/>
      <c r="J881" s="32"/>
      <c r="K881" s="15" t="str">
        <f t="shared" si="378"/>
        <v>Erro</v>
      </c>
      <c r="L881" s="15"/>
      <c r="M881" s="15" t="str">
        <f t="shared" si="379"/>
        <v>Erro</v>
      </c>
      <c r="N881" s="13"/>
      <c r="O881" s="2" t="str">
        <f>IFERROR(IF(tblColetas[[#This Row],[Status Coleta]]="Reprovado","Reprovado",IF(ISERROR(SEARCH("Poço",D881)),IF(N881="","Erro",IF(Q881="Reprovado","",WORKDAY(N881,IF(D881="Operacional",10,3),FERIADOS!$A$3:$A$119))),"-")),"-")</f>
        <v>-</v>
      </c>
      <c r="P881" s="21"/>
      <c r="Q881" s="7"/>
      <c r="R881" s="13"/>
      <c r="S881" s="30"/>
      <c r="T881" s="43"/>
      <c r="W881" t="str">
        <f t="shared" si="380"/>
        <v>ADGPoço MRO-24 (P-06)Poço PVT</v>
      </c>
      <c r="X8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2" spans="1:24" ht="12.5" x14ac:dyDescent="0.25">
      <c r="A882" s="8"/>
      <c r="B882" s="8" t="s">
        <v>52</v>
      </c>
      <c r="C882" s="5" t="s">
        <v>112</v>
      </c>
      <c r="D882" s="9" t="s">
        <v>72</v>
      </c>
      <c r="E882" s="36"/>
      <c r="F882" s="29" cm="1">
        <f t="array" ref="F882">IF(V882 &lt;&gt; "", V882, IFERROR(_xlfn.SINGLE(INDEX($G$1:G881,SUMPRODUCT(MAX(($W$1:W881=W882)*(ROW($W$1:W881))))))+IF(D882="Fiscal",30,90),""))</f>
        <v>46025</v>
      </c>
      <c r="G882" s="13">
        <v>46018</v>
      </c>
      <c r="H882" s="15">
        <f t="shared" si="377"/>
        <v>46028</v>
      </c>
      <c r="I882" s="15"/>
      <c r="J882" s="32"/>
      <c r="K882" s="15">
        <f t="shared" si="378"/>
        <v>46038</v>
      </c>
      <c r="L882" s="15"/>
      <c r="M882" s="15">
        <f t="shared" si="379"/>
        <v>46043</v>
      </c>
      <c r="N882" s="13">
        <v>46043</v>
      </c>
      <c r="O882" s="2">
        <f>IFERROR(IF(tblColetas[[#This Row],[Status Coleta]]="Reprovado","Reprovado",IF(ISERROR(SEARCH("Poço",D882)),IF(N882="","Erro",IF(Q882="Reprovado","",WORKDAY(N882,IF(D882="Operacional",10,3),FERIADOS!$A$3:$A$119))),"-")),"-")</f>
        <v>46048</v>
      </c>
      <c r="P882" s="13">
        <v>46045</v>
      </c>
      <c r="Q882" s="7" t="s">
        <v>37</v>
      </c>
      <c r="R882" s="13"/>
      <c r="S882" s="30"/>
      <c r="T882" s="43"/>
      <c r="W882" t="str">
        <f t="shared" si="380"/>
        <v>SEP776-AP-0006 (HP Flare)Fiscal</v>
      </c>
      <c r="X8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3" spans="1:24" ht="12.5" x14ac:dyDescent="0.25">
      <c r="A883" s="8"/>
      <c r="B883" s="8" t="s">
        <v>52</v>
      </c>
      <c r="C883" s="5" t="s">
        <v>113</v>
      </c>
      <c r="D883" s="9" t="s">
        <v>72</v>
      </c>
      <c r="E883" s="36"/>
      <c r="F883" s="29" cm="1">
        <f t="array" ref="F883">IF(V883 &lt;&gt; "", V883, IFERROR(_xlfn.SINGLE(INDEX($G$1:G882,SUMPRODUCT(MAX(($W$1:W882=W883)*(ROW($W$1:W882))))))+IF(D883="Fiscal",30,90),""))</f>
        <v>46025</v>
      </c>
      <c r="G883" s="13">
        <v>46018</v>
      </c>
      <c r="H883" s="15">
        <f t="shared" si="377"/>
        <v>46028</v>
      </c>
      <c r="I883" s="15"/>
      <c r="J883" s="32"/>
      <c r="K883" s="15">
        <f t="shared" si="378"/>
        <v>46038</v>
      </c>
      <c r="L883" s="15"/>
      <c r="M883" s="15">
        <f t="shared" si="379"/>
        <v>46043</v>
      </c>
      <c r="N883" s="13">
        <v>46043</v>
      </c>
      <c r="O883" s="2">
        <f>IFERROR(IF(tblColetas[[#This Row],[Status Coleta]]="Reprovado","Reprovado",IF(ISERROR(SEARCH("Poço",D883)),IF(N883="","Erro",IF(Q883="Reprovado","",WORKDAY(N883,IF(D883="Operacional",10,3),FERIADOS!$A$3:$A$119))),"-")),"-")</f>
        <v>46048</v>
      </c>
      <c r="P883" s="13">
        <v>46045</v>
      </c>
      <c r="Q883" s="7" t="s">
        <v>37</v>
      </c>
      <c r="R883" s="13"/>
      <c r="S883" s="30"/>
      <c r="T883" s="43"/>
      <c r="W883" t="str">
        <f t="shared" si="380"/>
        <v>SEP776-AP-0030 (LP Flare)Fiscal</v>
      </c>
      <c r="X8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4" spans="1:24" ht="12.5" x14ac:dyDescent="0.25">
      <c r="A884" s="8"/>
      <c r="B884" s="8" t="s">
        <v>52</v>
      </c>
      <c r="C884" s="5" t="s">
        <v>114</v>
      </c>
      <c r="D884" s="9" t="s">
        <v>72</v>
      </c>
      <c r="E884" s="36"/>
      <c r="F884" s="29" cm="1">
        <f t="array" ref="F884">IF(V884 &lt;&gt; "", V884, IFERROR(_xlfn.SINGLE(INDEX($G$1:G883,SUMPRODUCT(MAX(($W$1:W883=W884)*(ROW($W$1:W883))))))+IF(D884="Fiscal",30,90),""))</f>
        <v>46024</v>
      </c>
      <c r="G884" s="13">
        <v>46018</v>
      </c>
      <c r="H884" s="15">
        <f t="shared" si="377"/>
        <v>46028</v>
      </c>
      <c r="I884" s="15"/>
      <c r="J884" s="32"/>
      <c r="K884" s="15">
        <f t="shared" si="378"/>
        <v>46038</v>
      </c>
      <c r="L884" s="15"/>
      <c r="M884" s="15">
        <f t="shared" si="379"/>
        <v>46043</v>
      </c>
      <c r="N884" s="13">
        <v>46043</v>
      </c>
      <c r="O884" s="2">
        <f>IFERROR(IF(tblColetas[[#This Row],[Status Coleta]]="Reprovado","Reprovado",IF(ISERROR(SEARCH("Poço",D884)),IF(N884="","Erro",IF(Q884="Reprovado","",WORKDAY(N884,IF(D884="Operacional",10,3),FERIADOS!$A$3:$A$119))),"-")),"-")</f>
        <v>46048</v>
      </c>
      <c r="P884" s="13">
        <v>46045</v>
      </c>
      <c r="Q884" s="7" t="s">
        <v>37</v>
      </c>
      <c r="R884" s="13"/>
      <c r="S884" s="30"/>
      <c r="T884" s="43"/>
      <c r="W884" t="str">
        <f t="shared" si="380"/>
        <v>SEP777-AP-1104 (Fuel Gas)Fiscal</v>
      </c>
      <c r="X8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5" spans="1:24" ht="12.5" x14ac:dyDescent="0.25">
      <c r="A885" s="8"/>
      <c r="B885" s="8" t="s">
        <v>52</v>
      </c>
      <c r="C885" s="5" t="s">
        <v>115</v>
      </c>
      <c r="D885" s="9" t="s">
        <v>72</v>
      </c>
      <c r="E885" s="36"/>
      <c r="F885" s="29" cm="1">
        <f t="array" ref="F885">IF(V885 &lt;&gt; "", V885, IFERROR(_xlfn.SINGLE(INDEX($G$1:G884,SUMPRODUCT(MAX(($W$1:W884=W885)*(ROW($W$1:W884))))))+IF(D885="Fiscal",30,90),""))</f>
        <v>46024</v>
      </c>
      <c r="G885" s="13">
        <v>46018</v>
      </c>
      <c r="H885" s="15">
        <f t="shared" si="377"/>
        <v>46028</v>
      </c>
      <c r="I885" s="15"/>
      <c r="J885" s="32"/>
      <c r="K885" s="15">
        <f t="shared" si="378"/>
        <v>46038</v>
      </c>
      <c r="L885" s="15"/>
      <c r="M885" s="15">
        <f t="shared" si="379"/>
        <v>46043</v>
      </c>
      <c r="N885" s="13">
        <v>46043</v>
      </c>
      <c r="O885" s="2">
        <f>IFERROR(IF(tblColetas[[#This Row],[Status Coleta]]="Reprovado","Reprovado",IF(ISERROR(SEARCH("Poço",D885)),IF(N885="","Erro",IF(Q885="Reprovado","",WORKDAY(N885,IF(D885="Operacional",10,3),FERIADOS!$A$3:$A$119))),"-")),"-")</f>
        <v>46048</v>
      </c>
      <c r="P885" s="13">
        <v>46045</v>
      </c>
      <c r="Q885" s="7" t="s">
        <v>37</v>
      </c>
      <c r="R885" s="13"/>
      <c r="S885" s="30"/>
      <c r="T885" s="43"/>
      <c r="W885" t="str">
        <f t="shared" si="380"/>
        <v>SEP771-AP-0221 (Flare Assist)Fiscal</v>
      </c>
      <c r="X8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6" spans="1:24" ht="12.5" x14ac:dyDescent="0.25">
      <c r="A886" s="19"/>
      <c r="B886" s="19" t="s">
        <v>52</v>
      </c>
      <c r="C886" s="5" t="s">
        <v>57</v>
      </c>
      <c r="D886" s="20" t="s">
        <v>26</v>
      </c>
      <c r="E886" s="35"/>
      <c r="F886" s="29" cm="1">
        <f t="array" ref="F886">IF(V886 &lt;&gt; "", V886, IFERROR(_xlfn.SINGLE(INDEX($G$1:G885,SUMPRODUCT(MAX(($W$1:W885=W886)*(ROW($W$1:W885))))))+IF(D886="Fiscal",30,90),""))</f>
        <v>46086</v>
      </c>
      <c r="G886" s="21">
        <v>46002</v>
      </c>
      <c r="H886" s="15">
        <f t="shared" ref="H886:H895" si="381">IF(G886="","Erro", G886+10)</f>
        <v>46012</v>
      </c>
      <c r="I886" s="15">
        <v>46000</v>
      </c>
      <c r="J886" s="32" t="s">
        <v>257</v>
      </c>
      <c r="K886" s="15">
        <f t="shared" ref="K886:K895" si="382">IF(G886="","Erro",G886+20)</f>
        <v>46022</v>
      </c>
      <c r="L886" s="15">
        <v>46014</v>
      </c>
      <c r="M886" s="15">
        <f t="shared" ref="M886:M895" si="383">IF(G886="","Erro",G886+IF(D886="Operacional",45,25))</f>
        <v>46027</v>
      </c>
      <c r="N886" s="13">
        <v>46027</v>
      </c>
      <c r="O886" s="2" t="str">
        <f>IFERROR(IF(tblColetas[[#This Row],[Status Coleta]]="Reprovado","Reprovado",IF(ISERROR(SEARCH("Poço",D886)),IF(N886="","Erro",IF(Q886="Reprovado","",WORKDAY(N886,IF(D886="Operacional",10,3),FERIADOS!$A$3:$A$119))),"-")),"-")</f>
        <v>-</v>
      </c>
      <c r="P886" s="21"/>
      <c r="Q886" s="7" t="s">
        <v>37</v>
      </c>
      <c r="R886" s="13"/>
      <c r="S886" s="30"/>
      <c r="T886" s="43"/>
      <c r="W886" t="str">
        <f t="shared" ref="W886:W895" si="384">B886&amp;C886&amp;D886</f>
        <v>SEPPoço MRO-18D P-5Poço CG</v>
      </c>
      <c r="X8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7" spans="1:24" ht="12.5" x14ac:dyDescent="0.25">
      <c r="A887" s="19"/>
      <c r="B887" s="19" t="s">
        <v>52</v>
      </c>
      <c r="C887" s="5" t="s">
        <v>57</v>
      </c>
      <c r="D887" s="20" t="s">
        <v>29</v>
      </c>
      <c r="E887" s="35"/>
      <c r="F887" s="29" cm="1">
        <f t="array" ref="F887">IF(V887 &lt;&gt; "", V887, IFERROR(_xlfn.SINGLE(INDEX($G$1:G886,SUMPRODUCT(MAX(($W$1:W886=W887)*(ROW($W$1:W886))))))+IF(D887="Fiscal",30,90),""))</f>
        <v>46086</v>
      </c>
      <c r="G887" s="21">
        <v>46002</v>
      </c>
      <c r="H887" s="15">
        <f t="shared" si="381"/>
        <v>46012</v>
      </c>
      <c r="I887" s="15">
        <v>46000</v>
      </c>
      <c r="J887" s="32" t="s">
        <v>257</v>
      </c>
      <c r="K887" s="15">
        <f t="shared" si="382"/>
        <v>46022</v>
      </c>
      <c r="L887" s="15">
        <v>46014</v>
      </c>
      <c r="M887" s="15">
        <f t="shared" si="383"/>
        <v>46027</v>
      </c>
      <c r="N887" s="13">
        <v>46027</v>
      </c>
      <c r="O887" s="2" t="str">
        <f>IFERROR(IF(tblColetas[[#This Row],[Status Coleta]]="Reprovado","Reprovado",IF(ISERROR(SEARCH("Poço",D887)),IF(N887="","Erro",IF(Q887="Reprovado","",WORKDAY(N887,IF(D887="Operacional",10,3),FERIADOS!$A$3:$A$119))),"-")),"-")</f>
        <v>-</v>
      </c>
      <c r="P887" s="21"/>
      <c r="Q887" s="7" t="s">
        <v>37</v>
      </c>
      <c r="R887" s="13"/>
      <c r="S887" s="30"/>
      <c r="T887" s="43"/>
      <c r="W887" t="str">
        <f t="shared" si="384"/>
        <v>SEPPoço MRO-18D P-5Poço PVT</v>
      </c>
      <c r="X8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8" spans="1:24" ht="12.5" x14ac:dyDescent="0.25">
      <c r="A888" s="8"/>
      <c r="B888" s="8" t="s">
        <v>52</v>
      </c>
      <c r="C888" s="5" t="s">
        <v>111</v>
      </c>
      <c r="D888" s="9" t="s">
        <v>26</v>
      </c>
      <c r="E888" s="36"/>
      <c r="F888" s="29" cm="1">
        <f t="array" ref="F888">IF(V888 &lt;&gt; "", V888, IFERROR(_xlfn.SINGLE(INDEX($G$1:G887,SUMPRODUCT(MAX(($W$1:W887=W888)*(ROW($W$1:W887))))))+IF(D888="Fiscal",30,90),""))</f>
        <v>46090</v>
      </c>
      <c r="G888" s="13"/>
      <c r="H888" s="15" t="str">
        <f t="shared" si="381"/>
        <v>Erro</v>
      </c>
      <c r="I888" s="15"/>
      <c r="J888" s="32"/>
      <c r="K888" s="15" t="str">
        <f t="shared" si="382"/>
        <v>Erro</v>
      </c>
      <c r="L888" s="15"/>
      <c r="M888" s="15" t="str">
        <f t="shared" si="383"/>
        <v>Erro</v>
      </c>
      <c r="N888" s="13"/>
      <c r="O888" s="2" t="str">
        <f>IFERROR(IF(tblColetas[[#This Row],[Status Coleta]]="Reprovado","Reprovado",IF(ISERROR(SEARCH("Poço",D888)),IF(N888="","Erro",IF(Q888="Reprovado","",WORKDAY(N888,IF(D888="Operacional",10,3),FERIADOS!$A$3:$A$119))),"-")),"-")</f>
        <v>-</v>
      </c>
      <c r="P888" s="13"/>
      <c r="Q888" s="7"/>
      <c r="R888" s="13"/>
      <c r="S888" s="30"/>
      <c r="T888" s="43"/>
      <c r="W888" t="str">
        <f t="shared" si="384"/>
        <v>SEPPoço 3-RJS-739A P-6Poço CG</v>
      </c>
      <c r="X8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89" spans="1:24" ht="12.5" x14ac:dyDescent="0.25">
      <c r="A889" s="8"/>
      <c r="B889" s="8" t="s">
        <v>52</v>
      </c>
      <c r="C889" s="5" t="s">
        <v>111</v>
      </c>
      <c r="D889" s="9" t="s">
        <v>29</v>
      </c>
      <c r="E889" s="36"/>
      <c r="F889" s="29" cm="1">
        <f t="array" ref="F889">IF(V889 &lt;&gt; "", V889, IFERROR(_xlfn.SINGLE(INDEX($G$1:G888,SUMPRODUCT(MAX(($W$1:W888=W889)*(ROW($W$1:W888))))))+IF(D889="Fiscal",30,90),""))</f>
        <v>46090</v>
      </c>
      <c r="G889" s="13"/>
      <c r="H889" s="15" t="str">
        <f t="shared" si="381"/>
        <v>Erro</v>
      </c>
      <c r="I889" s="15"/>
      <c r="J889" s="32"/>
      <c r="K889" s="15" t="str">
        <f t="shared" si="382"/>
        <v>Erro</v>
      </c>
      <c r="L889" s="15"/>
      <c r="M889" s="15" t="str">
        <f t="shared" si="383"/>
        <v>Erro</v>
      </c>
      <c r="N889" s="13"/>
      <c r="O889" s="2" t="str">
        <f>IFERROR(IF(tblColetas[[#This Row],[Status Coleta]]="Reprovado","Reprovado",IF(ISERROR(SEARCH("Poço",D889)),IF(N889="","Erro",IF(Q889="Reprovado","",WORKDAY(N889,IF(D889="Operacional",10,3),FERIADOS!$A$3:$A$119))),"-")),"-")</f>
        <v>-</v>
      </c>
      <c r="P889" s="13"/>
      <c r="Q889" s="7"/>
      <c r="R889" s="13"/>
      <c r="S889" s="30"/>
      <c r="T889" s="43"/>
      <c r="W889" t="str">
        <f t="shared" si="384"/>
        <v>SEPPoço 3-RJS-739A P-6Poço PVT</v>
      </c>
      <c r="X8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0" spans="1:24" ht="12.5" x14ac:dyDescent="0.25">
      <c r="A890" s="8"/>
      <c r="B890" s="8" t="s">
        <v>34</v>
      </c>
      <c r="C890" s="5" t="s">
        <v>61</v>
      </c>
      <c r="D890" s="9" t="s">
        <v>26</v>
      </c>
      <c r="E890" s="36"/>
      <c r="F890" s="29" cm="1">
        <f t="array" ref="F890">IF(V890 &lt;&gt; "", V890, IFERROR(_xlfn.SINGLE(INDEX($G$1:G889,SUMPRODUCT(MAX(($W$1:W889=W890)*(ROW($W$1:W889))))))+IF(D890="Fiscal",30,90),""))</f>
        <v>46089</v>
      </c>
      <c r="G890" s="13"/>
      <c r="H890" s="15" t="str">
        <f t="shared" si="381"/>
        <v>Erro</v>
      </c>
      <c r="I890" s="15"/>
      <c r="J890" s="32"/>
      <c r="K890" s="15" t="str">
        <f t="shared" si="382"/>
        <v>Erro</v>
      </c>
      <c r="L890" s="15"/>
      <c r="M890" s="15" t="str">
        <f t="shared" si="383"/>
        <v>Erro</v>
      </c>
      <c r="N890" s="13"/>
      <c r="O890" s="2" t="str">
        <f>IFERROR(IF(tblColetas[[#This Row],[Status Coleta]]="Reprovado","Reprovado",IF(ISERROR(SEARCH("Poço",D890)),IF(N890="","Erro",IF(Q890="Reprovado","",WORKDAY(N890,IF(D890="Operacional",10,3),FERIADOS!$A$3:$A$119))),"-")),"-")</f>
        <v>-</v>
      </c>
      <c r="P890" s="13"/>
      <c r="Q890" s="7"/>
      <c r="R890" s="13"/>
      <c r="S890" s="30"/>
      <c r="T890" s="43"/>
      <c r="W890" t="str">
        <f t="shared" si="384"/>
        <v>CDSPoço LL-91 (P-02)Poço CG</v>
      </c>
      <c r="X8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1" spans="1:24" ht="12.5" x14ac:dyDescent="0.25">
      <c r="A891" s="8"/>
      <c r="B891" s="8" t="s">
        <v>34</v>
      </c>
      <c r="C891" s="5" t="s">
        <v>61</v>
      </c>
      <c r="D891" s="9" t="s">
        <v>29</v>
      </c>
      <c r="E891" s="36"/>
      <c r="F891" s="29" cm="1">
        <f t="array" ref="F891">IF(V891 &lt;&gt; "", V891, IFERROR(_xlfn.SINGLE(INDEX($G$1:G890,SUMPRODUCT(MAX(($W$1:W890=W891)*(ROW($W$1:W890))))))+IF(D891="Fiscal",30,90),""))</f>
        <v>46089</v>
      </c>
      <c r="G891" s="13"/>
      <c r="H891" s="15" t="str">
        <f t="shared" si="381"/>
        <v>Erro</v>
      </c>
      <c r="I891" s="15"/>
      <c r="J891" s="32"/>
      <c r="K891" s="15" t="str">
        <f t="shared" si="382"/>
        <v>Erro</v>
      </c>
      <c r="L891" s="15"/>
      <c r="M891" s="15" t="str">
        <f t="shared" si="383"/>
        <v>Erro</v>
      </c>
      <c r="N891" s="13"/>
      <c r="O891" s="2" t="str">
        <f>IFERROR(IF(tblColetas[[#This Row],[Status Coleta]]="Reprovado","Reprovado",IF(ISERROR(SEARCH("Poço",D891)),IF(N891="","Erro",IF(Q891="Reprovado","",WORKDAY(N891,IF(D891="Operacional",10,3),FERIADOS!$A$3:$A$119))),"-")),"-")</f>
        <v>-</v>
      </c>
      <c r="P891" s="13"/>
      <c r="Q891" s="7"/>
      <c r="R891" s="13"/>
      <c r="S891" s="30"/>
      <c r="T891" s="43"/>
      <c r="W891" t="str">
        <f t="shared" si="384"/>
        <v>CDSPoço LL-91 (P-02)Poço PVT</v>
      </c>
      <c r="X8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2" spans="1:24" ht="12.5" x14ac:dyDescent="0.25">
      <c r="A892" s="19"/>
      <c r="B892" s="19" t="s">
        <v>46</v>
      </c>
      <c r="C892" s="5" t="s">
        <v>92</v>
      </c>
      <c r="D892" s="20" t="s">
        <v>26</v>
      </c>
      <c r="E892" s="35"/>
      <c r="F892" s="29" cm="1">
        <f t="array" ref="F892">IF(V892 &lt;&gt; "", V892, IFERROR(_xlfn.SINGLE(INDEX($G$1:G891,SUMPRODUCT(MAX(($W$1:W891=W892)*(ROW($W$1:W891))))))+IF(D892="Fiscal",30,90),""))</f>
        <v>46089</v>
      </c>
      <c r="G892" s="21"/>
      <c r="H892" s="15" t="str">
        <f t="shared" si="381"/>
        <v>Erro</v>
      </c>
      <c r="I892" s="15"/>
      <c r="J892" s="32"/>
      <c r="K892" s="15" t="str">
        <f t="shared" si="382"/>
        <v>Erro</v>
      </c>
      <c r="L892" s="15"/>
      <c r="M892" s="15" t="str">
        <f t="shared" si="383"/>
        <v>Erro</v>
      </c>
      <c r="N892" s="13"/>
      <c r="O892" s="2" t="str">
        <f>IFERROR(IF(tblColetas[[#This Row],[Status Coleta]]="Reprovado","Reprovado",IF(ISERROR(SEARCH("Poço",D892)),IF(N892="","Erro",IF(Q892="Reprovado","",WORKDAY(N892,IF(D892="Operacional",10,3),FERIADOS!$A$3:$A$119))),"-")),"-")</f>
        <v>-</v>
      </c>
      <c r="P892" s="21"/>
      <c r="Q892" s="7"/>
      <c r="R892" s="13"/>
      <c r="S892" s="30"/>
      <c r="T892" s="43"/>
      <c r="W892" t="str">
        <f t="shared" si="384"/>
        <v>CDMPoço LL-12 (P-05)Poço CG</v>
      </c>
      <c r="X8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3" spans="1:24" ht="12.5" x14ac:dyDescent="0.25">
      <c r="A893" s="19"/>
      <c r="B893" s="19" t="s">
        <v>46</v>
      </c>
      <c r="C893" s="5" t="s">
        <v>92</v>
      </c>
      <c r="D893" s="20" t="s">
        <v>29</v>
      </c>
      <c r="E893" s="35"/>
      <c r="F893" s="29" cm="1">
        <f t="array" ref="F893">IF(V893 &lt;&gt; "", V893, IFERROR(_xlfn.SINGLE(INDEX($G$1:G892,SUMPRODUCT(MAX(($W$1:W892=W893)*(ROW($W$1:W892))))))+IF(D893="Fiscal",30,90),""))</f>
        <v>46089</v>
      </c>
      <c r="G893" s="21"/>
      <c r="H893" s="15" t="str">
        <f t="shared" si="381"/>
        <v>Erro</v>
      </c>
      <c r="I893" s="15"/>
      <c r="J893" s="32"/>
      <c r="K893" s="15" t="str">
        <f t="shared" si="382"/>
        <v>Erro</v>
      </c>
      <c r="L893" s="15"/>
      <c r="M893" s="15" t="str">
        <f t="shared" si="383"/>
        <v>Erro</v>
      </c>
      <c r="N893" s="13"/>
      <c r="O893" s="2" t="str">
        <f>IFERROR(IF(tblColetas[[#This Row],[Status Coleta]]="Reprovado","Reprovado",IF(ISERROR(SEARCH("Poço",D893)),IF(N893="","Erro",IF(Q893="Reprovado","",WORKDAY(N893,IF(D893="Operacional",10,3),FERIADOS!$A$3:$A$119))),"-")),"-")</f>
        <v>-</v>
      </c>
      <c r="P893" s="21"/>
      <c r="Q893" s="7"/>
      <c r="R893" s="13"/>
      <c r="S893" s="30"/>
      <c r="T893" s="43"/>
      <c r="W893" t="str">
        <f t="shared" si="384"/>
        <v>CDMPoço LL-12 (P-05)Poço PVT</v>
      </c>
      <c r="X8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4" spans="1:24" ht="12.5" x14ac:dyDescent="0.25">
      <c r="A894" s="19"/>
      <c r="B894" s="19" t="s">
        <v>46</v>
      </c>
      <c r="C894" s="5" t="s">
        <v>63</v>
      </c>
      <c r="D894" s="20" t="s">
        <v>26</v>
      </c>
      <c r="E894" s="35"/>
      <c r="F894" s="29" cm="1">
        <f t="array" ref="F894">IF(V894 &lt;&gt; "", V894, IFERROR(_xlfn.SINGLE(INDEX($G$1:G893,SUMPRODUCT(MAX(($W$1:W893=W894)*(ROW($W$1:W893))))))+IF(D894="Fiscal",30,90),""))</f>
        <v>46076</v>
      </c>
      <c r="G894" s="21"/>
      <c r="H894" s="15" t="str">
        <f t="shared" si="381"/>
        <v>Erro</v>
      </c>
      <c r="I894" s="15"/>
      <c r="J894" s="32"/>
      <c r="K894" s="15" t="str">
        <f t="shared" si="382"/>
        <v>Erro</v>
      </c>
      <c r="L894" s="15"/>
      <c r="M894" s="15" t="str">
        <f t="shared" si="383"/>
        <v>Erro</v>
      </c>
      <c r="N894" s="13"/>
      <c r="O894" s="2" t="str">
        <f>IFERROR(IF(tblColetas[[#This Row],[Status Coleta]]="Reprovado","Reprovado",IF(ISERROR(SEARCH("Poço",D894)),IF(N894="","Erro",IF(Q894="Reprovado","",WORKDAY(N894,IF(D894="Operacional",10,3),FERIADOS!$A$3:$A$119))),"-")),"-")</f>
        <v>-</v>
      </c>
      <c r="P894" s="21"/>
      <c r="Q894" s="7"/>
      <c r="R894" s="13"/>
      <c r="S894" s="30"/>
      <c r="T894" s="43"/>
      <c r="W894" t="str">
        <f t="shared" si="384"/>
        <v>CDMPoço LL-48 (P-01)Poço CG</v>
      </c>
      <c r="X8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5" spans="1:24" ht="12.5" x14ac:dyDescent="0.25">
      <c r="A895" s="19"/>
      <c r="B895" s="19" t="s">
        <v>46</v>
      </c>
      <c r="C895" s="5" t="s">
        <v>63</v>
      </c>
      <c r="D895" s="20" t="s">
        <v>29</v>
      </c>
      <c r="E895" s="35"/>
      <c r="F895" s="29" cm="1">
        <f t="array" ref="F895">IF(V895 &lt;&gt; "", V895, IFERROR(_xlfn.SINGLE(INDEX($G$1:G894,SUMPRODUCT(MAX(($W$1:W894=W895)*(ROW($W$1:W894))))))+IF(D895="Fiscal",30,90),""))</f>
        <v>46076</v>
      </c>
      <c r="G895" s="21"/>
      <c r="H895" s="15" t="str">
        <f t="shared" si="381"/>
        <v>Erro</v>
      </c>
      <c r="I895" s="15"/>
      <c r="J895" s="32"/>
      <c r="K895" s="15" t="str">
        <f t="shared" si="382"/>
        <v>Erro</v>
      </c>
      <c r="L895" s="15"/>
      <c r="M895" s="15" t="str">
        <f t="shared" si="383"/>
        <v>Erro</v>
      </c>
      <c r="N895" s="13"/>
      <c r="O895" s="2" t="str">
        <f>IFERROR(IF(tblColetas[[#This Row],[Status Coleta]]="Reprovado","Reprovado",IF(ISERROR(SEARCH("Poço",D895)),IF(N895="","Erro",IF(Q895="Reprovado","",WORKDAY(N895,IF(D895="Operacional",10,3),FERIADOS!$A$3:$A$119))),"-")),"-")</f>
        <v>-</v>
      </c>
      <c r="P895" s="21"/>
      <c r="Q895" s="7"/>
      <c r="R895" s="13"/>
      <c r="S895" s="30"/>
      <c r="T895" s="43"/>
      <c r="W895" t="str">
        <f t="shared" si="384"/>
        <v>CDMPoço LL-48 (P-01)Poço PVT</v>
      </c>
      <c r="X8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6" spans="1:24" ht="12.5" x14ac:dyDescent="0.25">
      <c r="A896" s="8"/>
      <c r="B896" s="8" t="s">
        <v>192</v>
      </c>
      <c r="C896" s="5" t="s">
        <v>112</v>
      </c>
      <c r="D896" s="9" t="s">
        <v>72</v>
      </c>
      <c r="E896" s="36"/>
      <c r="F896" s="29" cm="1">
        <f t="array" ref="F896">IF(V896 &lt;&gt; "", V896, IFERROR(_xlfn.SINGLE(INDEX($G$1:G895,SUMPRODUCT(MAX(($W$1:W895=W896)*(ROW($W$1:W895))))))+IF(D896="Fiscal",30,90),""))</f>
        <v>46028</v>
      </c>
      <c r="G896" s="13">
        <v>46026</v>
      </c>
      <c r="H896" s="15">
        <f t="shared" ref="H896:H901" si="385">IF(G896="","Erro", G896+10)</f>
        <v>46036</v>
      </c>
      <c r="I896" s="15"/>
      <c r="J896" s="32"/>
      <c r="K896" s="15">
        <f t="shared" ref="K896:K901" si="386">IF(G896="","Erro",G896+20)</f>
        <v>46046</v>
      </c>
      <c r="L896" s="15"/>
      <c r="M896" s="15">
        <f t="shared" ref="M896:M901" si="387">IF(G896="","Erro",G896+IF(D896="Operacional",45,25))</f>
        <v>46051</v>
      </c>
      <c r="N896" s="13">
        <v>46051</v>
      </c>
      <c r="O896" s="2">
        <f>IFERROR(IF(tblColetas[[#This Row],[Status Coleta]]="Reprovado","Reprovado",IF(ISERROR(SEARCH("Poço",D896)),IF(N896="","Erro",IF(Q896="Reprovado","",WORKDAY(N896,IF(D896="Operacional",10,3),FERIADOS!$A$3:$A$119))),"-")),"-")</f>
        <v>46056</v>
      </c>
      <c r="P896" s="13">
        <v>46055</v>
      </c>
      <c r="Q896" s="7"/>
      <c r="R896" s="13"/>
      <c r="S896" s="30"/>
      <c r="T896" s="43"/>
      <c r="W896" t="str">
        <f t="shared" ref="W896:W901" si="388">B896&amp;C896&amp;D896</f>
        <v>ADG776-AP-0006 (HP Flare)Fiscal</v>
      </c>
      <c r="X8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7" spans="1:24" ht="12.5" x14ac:dyDescent="0.25">
      <c r="A897" s="8"/>
      <c r="B897" s="8" t="s">
        <v>192</v>
      </c>
      <c r="C897" s="5" t="s">
        <v>193</v>
      </c>
      <c r="D897" s="9" t="s">
        <v>72</v>
      </c>
      <c r="E897" s="36"/>
      <c r="F897" s="29" cm="1">
        <f t="array" ref="F897">IF(V897 &lt;&gt; "", V897, IFERROR(_xlfn.SINGLE(INDEX($G$1:G896,SUMPRODUCT(MAX(($W$1:W896=W897)*(ROW($W$1:W896))))))+IF(D897="Fiscal",30,90),""))</f>
        <v>46028</v>
      </c>
      <c r="G897" s="13">
        <v>46026</v>
      </c>
      <c r="H897" s="15">
        <f t="shared" si="385"/>
        <v>46036</v>
      </c>
      <c r="I897" s="15"/>
      <c r="J897" s="32"/>
      <c r="K897" s="15">
        <f t="shared" si="386"/>
        <v>46046</v>
      </c>
      <c r="L897" s="15"/>
      <c r="M897" s="15">
        <f t="shared" si="387"/>
        <v>46051</v>
      </c>
      <c r="N897" s="13">
        <v>46051</v>
      </c>
      <c r="O897" s="2" t="str">
        <f>IFERROR(IF(tblColetas[[#This Row],[Status Coleta]]="Reprovado","Reprovado",IF(ISERROR(SEARCH("Poço",D897)),IF(N897="","Erro",IF(Q897="Reprovado","",WORKDAY(N897,IF(D897="Operacional",10,3),FERIADOS!$A$3:$A$119))),"-")),"-")</f>
        <v>Reprovado</v>
      </c>
      <c r="P897" s="13"/>
      <c r="Q897" s="7" t="s">
        <v>81</v>
      </c>
      <c r="R897" s="13"/>
      <c r="S897" s="30"/>
      <c r="T897" s="43"/>
      <c r="W897" t="str">
        <f t="shared" si="388"/>
        <v>ADG776-AP-0026 (LP Flare)Fiscal</v>
      </c>
      <c r="X8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8" spans="1:24" ht="12.5" x14ac:dyDescent="0.25">
      <c r="A898" s="8"/>
      <c r="B898" s="8" t="s">
        <v>192</v>
      </c>
      <c r="C898" s="5" t="s">
        <v>194</v>
      </c>
      <c r="D898" s="9" t="s">
        <v>72</v>
      </c>
      <c r="E898" s="36"/>
      <c r="F898" s="29" cm="1">
        <f t="array" ref="F898">IF(V898 &lt;&gt; "", V898, IFERROR(_xlfn.SINGLE(INDEX($G$1:G897,SUMPRODUCT(MAX(($W$1:W897=W898)*(ROW($W$1:W897))))))+IF(D898="Fiscal",30,90),""))</f>
        <v>46028</v>
      </c>
      <c r="G898" s="13">
        <v>46026</v>
      </c>
      <c r="H898" s="15">
        <f t="shared" si="385"/>
        <v>46036</v>
      </c>
      <c r="I898" s="15"/>
      <c r="J898" s="32"/>
      <c r="K898" s="15">
        <f t="shared" si="386"/>
        <v>46046</v>
      </c>
      <c r="L898" s="15"/>
      <c r="M898" s="15">
        <f t="shared" si="387"/>
        <v>46051</v>
      </c>
      <c r="N898" s="13">
        <v>46051</v>
      </c>
      <c r="O898" s="2">
        <f>IFERROR(IF(tblColetas[[#This Row],[Status Coleta]]="Reprovado","Reprovado",IF(ISERROR(SEARCH("Poço",D898)),IF(N898="","Erro",IF(Q898="Reprovado","",WORKDAY(N898,IF(D898="Operacional",10,3),FERIADOS!$A$3:$A$119))),"-")),"-")</f>
        <v>46056</v>
      </c>
      <c r="P898" s="13">
        <v>46055</v>
      </c>
      <c r="Q898" s="7"/>
      <c r="R898" s="13"/>
      <c r="S898" s="30"/>
      <c r="T898" s="43"/>
      <c r="W898" t="str">
        <f t="shared" si="388"/>
        <v>ADG777-AP-1212 (Fuel Gas)Fiscal</v>
      </c>
      <c r="X8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899" spans="1:24" ht="12.5" x14ac:dyDescent="0.25">
      <c r="A899" s="8"/>
      <c r="B899" s="8" t="s">
        <v>192</v>
      </c>
      <c r="C899" s="5" t="s">
        <v>195</v>
      </c>
      <c r="D899" s="9" t="s">
        <v>72</v>
      </c>
      <c r="E899" s="36"/>
      <c r="F899" s="29" cm="1">
        <f t="array" ref="F899">IF(V899 &lt;&gt; "", V899, IFERROR(_xlfn.SINGLE(INDEX($G$1:G898,SUMPRODUCT(MAX(($W$1:W898=W899)*(ROW($W$1:W898))))))+IF(D899="Fiscal",30,90),""))</f>
        <v>46030</v>
      </c>
      <c r="G899" s="13">
        <v>46026</v>
      </c>
      <c r="H899" s="15">
        <f t="shared" si="385"/>
        <v>46036</v>
      </c>
      <c r="I899" s="15"/>
      <c r="J899" s="32"/>
      <c r="K899" s="15">
        <f t="shared" si="386"/>
        <v>46046</v>
      </c>
      <c r="L899" s="15"/>
      <c r="M899" s="15">
        <f t="shared" si="387"/>
        <v>46051</v>
      </c>
      <c r="N899" s="13">
        <v>46051</v>
      </c>
      <c r="O899" s="2">
        <f>IFERROR(IF(tblColetas[[#This Row],[Status Coleta]]="Reprovado","Reprovado",IF(ISERROR(SEARCH("Poço",D899)),IF(N899="","Erro",IF(Q899="Reprovado","",WORKDAY(N899,IF(D899="Operacional",10,3),FERIADOS!$A$3:$A$119))),"-")),"-")</f>
        <v>46056</v>
      </c>
      <c r="P899" s="13">
        <v>46055</v>
      </c>
      <c r="Q899" s="7"/>
      <c r="R899" s="13"/>
      <c r="S899" s="30"/>
      <c r="T899" s="43"/>
      <c r="W899" t="str">
        <f t="shared" si="388"/>
        <v>ADG771-AP-0225 (Flare Assist)Fiscal</v>
      </c>
      <c r="X8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0" spans="1:24" ht="12.5" x14ac:dyDescent="0.25">
      <c r="A900" s="8"/>
      <c r="B900" s="8" t="s">
        <v>34</v>
      </c>
      <c r="C900" s="5" t="s">
        <v>226</v>
      </c>
      <c r="D900" s="9" t="s">
        <v>26</v>
      </c>
      <c r="E900" s="36"/>
      <c r="F900" s="29" cm="1">
        <f t="array" ref="F900">IF(V900 &lt;&gt; "", V900, IFERROR(_xlfn.SINGLE(INDEX($G$1:G899,SUMPRODUCT(MAX(($W$1:W899=W900)*(ROW($W$1:W899))))))+IF(D900="Fiscal",30,90),""))</f>
        <v>46067</v>
      </c>
      <c r="G900" s="13">
        <v>46063</v>
      </c>
      <c r="H900" s="15">
        <f t="shared" si="385"/>
        <v>46073</v>
      </c>
      <c r="I900" s="15"/>
      <c r="J900" s="32"/>
      <c r="K900" s="15">
        <f t="shared" si="386"/>
        <v>46083</v>
      </c>
      <c r="L900" s="15"/>
      <c r="M900" s="15">
        <f t="shared" si="387"/>
        <v>46088</v>
      </c>
      <c r="N900" s="13"/>
      <c r="O900" s="2" t="str">
        <f>IFERROR(IF(tblColetas[[#This Row],[Status Coleta]]="Reprovado","Reprovado",IF(ISERROR(SEARCH("Poço",D900)),IF(N900="","Erro",IF(Q900="Reprovado","",WORKDAY(N900,IF(D900="Operacional",10,3),FERIADOS!$A$3:$A$119))),"-")),"-")</f>
        <v>-</v>
      </c>
      <c r="P900" s="13"/>
      <c r="Q900" s="7"/>
      <c r="R900" s="13"/>
      <c r="S900" s="30"/>
      <c r="T900" s="43"/>
      <c r="W900" t="str">
        <f t="shared" si="388"/>
        <v>CDSPoço RJS-677 (P-04)Poço CG</v>
      </c>
      <c r="X9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1" spans="1:24" ht="12.5" x14ac:dyDescent="0.25">
      <c r="A901" s="8"/>
      <c r="B901" s="8" t="s">
        <v>34</v>
      </c>
      <c r="C901" s="5" t="s">
        <v>226</v>
      </c>
      <c r="D901" s="9" t="s">
        <v>29</v>
      </c>
      <c r="E901" s="36"/>
      <c r="F901" s="29" cm="1">
        <f t="array" ref="F901">IF(V901 &lt;&gt; "", V901, IFERROR(_xlfn.SINGLE(INDEX($G$1:G900,SUMPRODUCT(MAX(($W$1:W900=W901)*(ROW($W$1:W900))))))+IF(D901="Fiscal",30,90),""))</f>
        <v>46067</v>
      </c>
      <c r="G901" s="13">
        <v>46063</v>
      </c>
      <c r="H901" s="15">
        <f t="shared" si="385"/>
        <v>46073</v>
      </c>
      <c r="I901" s="15"/>
      <c r="J901" s="32"/>
      <c r="K901" s="15">
        <f t="shared" si="386"/>
        <v>46083</v>
      </c>
      <c r="L901" s="15"/>
      <c r="M901" s="15">
        <f t="shared" si="387"/>
        <v>46088</v>
      </c>
      <c r="N901" s="13"/>
      <c r="O901" s="2" t="str">
        <f>IFERROR(IF(tblColetas[[#This Row],[Status Coleta]]="Reprovado","Reprovado",IF(ISERROR(SEARCH("Poço",D901)),IF(N901="","Erro",IF(Q901="Reprovado","",WORKDAY(N901,IF(D901="Operacional",10,3),FERIADOS!$A$3:$A$119))),"-")),"-")</f>
        <v>-</v>
      </c>
      <c r="P901" s="13"/>
      <c r="Q901" s="7"/>
      <c r="R901" s="13"/>
      <c r="S901" s="30"/>
      <c r="T901" s="43"/>
      <c r="W901" t="str">
        <f t="shared" si="388"/>
        <v>CDSPoço RJS-677 (P-04)Poço PVT</v>
      </c>
      <c r="X9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2" spans="1:24" ht="12.5" x14ac:dyDescent="0.25">
      <c r="A902" s="19"/>
      <c r="B902" s="19" t="s">
        <v>52</v>
      </c>
      <c r="C902" s="5" t="s">
        <v>57</v>
      </c>
      <c r="D902" s="20" t="s">
        <v>26</v>
      </c>
      <c r="E902" s="35"/>
      <c r="F902" s="29" cm="1">
        <f t="array" ref="F902">IF(V902 &lt;&gt; "", V902, IFERROR(_xlfn.SINGLE(INDEX($G$1:G901,SUMPRODUCT(MAX(($W$1:W901=W902)*(ROW($W$1:W901))))))+IF(D902="Fiscal",30,90),""))</f>
        <v>46092</v>
      </c>
      <c r="G902" s="21"/>
      <c r="H902" s="15" t="str">
        <f t="shared" ref="H902:H909" si="389">IF(G902="","Erro", G902+10)</f>
        <v>Erro</v>
      </c>
      <c r="I902" s="15"/>
      <c r="J902" s="32"/>
      <c r="K902" s="15" t="str">
        <f t="shared" ref="K902:K909" si="390">IF(G902="","Erro",G902+20)</f>
        <v>Erro</v>
      </c>
      <c r="L902" s="15"/>
      <c r="M902" s="15" t="str">
        <f t="shared" ref="M902:M909" si="391">IF(G902="","Erro",G902+IF(D902="Operacional",45,25))</f>
        <v>Erro</v>
      </c>
      <c r="N902" s="13"/>
      <c r="O902" s="2" t="str">
        <f>IFERROR(IF(tblColetas[[#This Row],[Status Coleta]]="Reprovado","Reprovado",IF(ISERROR(SEARCH("Poço",D902)),IF(N902="","Erro",IF(Q902="Reprovado","",WORKDAY(N902,IF(D902="Operacional",10,3),FERIADOS!$A$3:$A$119))),"-")),"-")</f>
        <v>-</v>
      </c>
      <c r="P902" s="21"/>
      <c r="Q902" s="7"/>
      <c r="R902" s="13"/>
      <c r="S902" s="30"/>
      <c r="T902" s="43"/>
      <c r="W902" t="str">
        <f t="shared" ref="W902:W909" si="392">B902&amp;C902&amp;D902</f>
        <v>SEPPoço MRO-18D P-5Poço CG</v>
      </c>
      <c r="X9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3" spans="1:24" ht="12.5" x14ac:dyDescent="0.25">
      <c r="A903" s="19"/>
      <c r="B903" s="19" t="s">
        <v>52</v>
      </c>
      <c r="C903" s="5" t="s">
        <v>57</v>
      </c>
      <c r="D903" s="20" t="s">
        <v>29</v>
      </c>
      <c r="E903" s="35"/>
      <c r="F903" s="29" cm="1">
        <f t="array" ref="F903">IF(V903 &lt;&gt; "", V903, IFERROR(_xlfn.SINGLE(INDEX($G$1:G902,SUMPRODUCT(MAX(($W$1:W902=W903)*(ROW($W$1:W902))))))+IF(D903="Fiscal",30,90),""))</f>
        <v>46092</v>
      </c>
      <c r="G903" s="21"/>
      <c r="H903" s="15" t="str">
        <f t="shared" si="389"/>
        <v>Erro</v>
      </c>
      <c r="I903" s="15"/>
      <c r="J903" s="32"/>
      <c r="K903" s="15" t="str">
        <f t="shared" si="390"/>
        <v>Erro</v>
      </c>
      <c r="L903" s="15"/>
      <c r="M903" s="15" t="str">
        <f t="shared" si="391"/>
        <v>Erro</v>
      </c>
      <c r="N903" s="13"/>
      <c r="O903" s="2" t="str">
        <f>IFERROR(IF(tblColetas[[#This Row],[Status Coleta]]="Reprovado","Reprovado",IF(ISERROR(SEARCH("Poço",D903)),IF(N903="","Erro",IF(Q903="Reprovado","",WORKDAY(N903,IF(D903="Operacional",10,3),FERIADOS!$A$3:$A$119))),"-")),"-")</f>
        <v>-</v>
      </c>
      <c r="P903" s="21"/>
      <c r="Q903" s="7"/>
      <c r="R903" s="13"/>
      <c r="S903" s="30"/>
      <c r="T903" s="43"/>
      <c r="W903" t="str">
        <f t="shared" si="392"/>
        <v>SEPPoço MRO-18D P-5Poço PVT</v>
      </c>
      <c r="X9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4" spans="1:24" ht="12.5" x14ac:dyDescent="0.25">
      <c r="A904" s="19"/>
      <c r="B904" s="19" t="s">
        <v>38</v>
      </c>
      <c r="C904" s="5" t="s">
        <v>74</v>
      </c>
      <c r="D904" s="20" t="s">
        <v>72</v>
      </c>
      <c r="E904" s="35"/>
      <c r="F904" s="29" cm="1">
        <f t="array" ref="F904">IF(V904 &lt;&gt; "", V904, IFERROR(_xlfn.SINGLE(INDEX($G$1:G903,SUMPRODUCT(MAX(($W$1:W903=W904)*(ROW($W$1:W903))))))+IF(D904="Fiscal",30,90),""))</f>
        <v>46036</v>
      </c>
      <c r="G904" s="21">
        <v>46031</v>
      </c>
      <c r="H904" s="15">
        <f t="shared" si="389"/>
        <v>46041</v>
      </c>
      <c r="I904" s="15"/>
      <c r="J904" s="32"/>
      <c r="K904" s="15">
        <f t="shared" si="390"/>
        <v>46051</v>
      </c>
      <c r="L904" s="15"/>
      <c r="M904" s="15">
        <f t="shared" si="391"/>
        <v>46056</v>
      </c>
      <c r="N904" s="13">
        <v>46056</v>
      </c>
      <c r="O904" s="2">
        <f>IFERROR(IF(tblColetas[[#This Row],[Status Coleta]]="Reprovado","Reprovado",IF(ISERROR(SEARCH("Poço",D904)),IF(N904="","Erro",IF(Q904="Reprovado","",WORKDAY(N904,IF(D904="Operacional",10,3),FERIADOS!$A$3:$A$119))),"-")),"-")</f>
        <v>46059</v>
      </c>
      <c r="P904" s="21">
        <v>46058</v>
      </c>
      <c r="Q904" s="7" t="s">
        <v>37</v>
      </c>
      <c r="R904" s="13"/>
      <c r="S904" s="30"/>
      <c r="T904" s="43"/>
      <c r="W904" t="str">
        <f t="shared" si="392"/>
        <v>CDPT76-FT-0014 (HP Flare)Fiscal</v>
      </c>
      <c r="X9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5" spans="1:24" ht="12.5" x14ac:dyDescent="0.25">
      <c r="A905" s="19"/>
      <c r="B905" s="19" t="s">
        <v>38</v>
      </c>
      <c r="C905" s="5" t="s">
        <v>75</v>
      </c>
      <c r="D905" s="20" t="s">
        <v>72</v>
      </c>
      <c r="E905" s="35"/>
      <c r="F905" s="29" cm="1">
        <f t="array" ref="F905">IF(V905 &lt;&gt; "", V905, IFERROR(_xlfn.SINGLE(INDEX($G$1:G904,SUMPRODUCT(MAX(($W$1:W904=W905)*(ROW($W$1:W904))))))+IF(D905="Fiscal",30,90),""))</f>
        <v>46036</v>
      </c>
      <c r="G905" s="21">
        <v>46032</v>
      </c>
      <c r="H905" s="15">
        <f t="shared" si="389"/>
        <v>46042</v>
      </c>
      <c r="I905" s="15"/>
      <c r="J905" s="32"/>
      <c r="K905" s="15">
        <f t="shared" si="390"/>
        <v>46052</v>
      </c>
      <c r="L905" s="15"/>
      <c r="M905" s="15">
        <f t="shared" si="391"/>
        <v>46057</v>
      </c>
      <c r="N905" s="13">
        <v>46056</v>
      </c>
      <c r="O905" s="2">
        <f>IFERROR(IF(tblColetas[[#This Row],[Status Coleta]]="Reprovado","Reprovado",IF(ISERROR(SEARCH("Poço",D905)),IF(N905="","Erro",IF(Q905="Reprovado","",WORKDAY(N905,IF(D905="Operacional",10,3),FERIADOS!$A$3:$A$119))),"-")),"-")</f>
        <v>46059</v>
      </c>
      <c r="P905" s="21">
        <v>46058</v>
      </c>
      <c r="Q905" s="7" t="s">
        <v>37</v>
      </c>
      <c r="R905" s="13"/>
      <c r="S905" s="30"/>
      <c r="T905" s="43"/>
      <c r="W905" t="str">
        <f t="shared" si="392"/>
        <v>CDPT76-FT-0034 (LP Flare)Fiscal</v>
      </c>
      <c r="X9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6" spans="1:24" ht="12.5" x14ac:dyDescent="0.25">
      <c r="A906" s="19"/>
      <c r="B906" s="19" t="s">
        <v>38</v>
      </c>
      <c r="C906" s="5" t="s">
        <v>71</v>
      </c>
      <c r="D906" s="20" t="s">
        <v>72</v>
      </c>
      <c r="E906" s="35"/>
      <c r="F906" s="29" cm="1">
        <f t="array" ref="F906">IF(V906 &lt;&gt; "", V906, IFERROR(_xlfn.SINGLE(INDEX($G$1:G905,SUMPRODUCT(MAX(($W$1:W905=W906)*(ROW($W$1:W905))))))+IF(D906="Fiscal",30,90),""))</f>
        <v>46035</v>
      </c>
      <c r="G906" s="21">
        <v>46031</v>
      </c>
      <c r="H906" s="15">
        <f t="shared" si="389"/>
        <v>46041</v>
      </c>
      <c r="I906" s="15"/>
      <c r="J906" s="32"/>
      <c r="K906" s="15">
        <f t="shared" si="390"/>
        <v>46051</v>
      </c>
      <c r="L906" s="15"/>
      <c r="M906" s="15">
        <f t="shared" si="391"/>
        <v>46056</v>
      </c>
      <c r="N906" s="13">
        <v>46056</v>
      </c>
      <c r="O906" s="2">
        <f>IFERROR(IF(tblColetas[[#This Row],[Status Coleta]]="Reprovado","Reprovado",IF(ISERROR(SEARCH("Poço",D906)),IF(N906="","Erro",IF(Q906="Reprovado","",WORKDAY(N906,IF(D906="Operacional",10,3),FERIADOS!$A$3:$A$119))),"-")),"-")</f>
        <v>46059</v>
      </c>
      <c r="P906" s="21">
        <v>46058</v>
      </c>
      <c r="Q906" s="7" t="s">
        <v>37</v>
      </c>
      <c r="R906" s="13"/>
      <c r="S906" s="30"/>
      <c r="T906" s="43"/>
      <c r="W906" t="str">
        <f t="shared" si="392"/>
        <v>CDPT77-FT-0103 (Fuel Gas)Fiscal</v>
      </c>
      <c r="X9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7" spans="1:24" ht="12.5" x14ac:dyDescent="0.25">
      <c r="A907" s="19"/>
      <c r="B907" s="19" t="s">
        <v>38</v>
      </c>
      <c r="C907" s="5" t="s">
        <v>98</v>
      </c>
      <c r="D907" s="20" t="s">
        <v>72</v>
      </c>
      <c r="E907" s="35"/>
      <c r="F907" s="29" cm="1">
        <f t="array" ref="F907">IF(V907 &lt;&gt; "", V907, IFERROR(_xlfn.SINGLE(INDEX($G$1:G906,SUMPRODUCT(MAX(($W$1:W906=W907)*(ROW($W$1:W906))))))+IF(D907="Fiscal",30,90),""))</f>
        <v>46035</v>
      </c>
      <c r="G907" s="21">
        <v>46031</v>
      </c>
      <c r="H907" s="15">
        <f t="shared" si="389"/>
        <v>46041</v>
      </c>
      <c r="I907" s="15"/>
      <c r="J907" s="32"/>
      <c r="K907" s="15">
        <f t="shared" si="390"/>
        <v>46051</v>
      </c>
      <c r="L907" s="15"/>
      <c r="M907" s="15">
        <f t="shared" si="391"/>
        <v>46056</v>
      </c>
      <c r="N907" s="13">
        <v>46056</v>
      </c>
      <c r="O907" s="2">
        <f>IFERROR(IF(tblColetas[[#This Row],[Status Coleta]]="Reprovado","Reprovado",IF(ISERROR(SEARCH("Poço",D907)),IF(N907="","Erro",IF(Q907="Reprovado","",WORKDAY(N907,IF(D907="Operacional",10,3),FERIADOS!$A$3:$A$119))),"-")),"-")</f>
        <v>46059</v>
      </c>
      <c r="P907" s="21">
        <v>46058</v>
      </c>
      <c r="Q907" s="7" t="s">
        <v>37</v>
      </c>
      <c r="R907" s="13"/>
      <c r="S907" s="30"/>
      <c r="T907" s="43"/>
      <c r="W907" t="str">
        <f t="shared" si="392"/>
        <v>CDPT74-FT-6701 (Export Gas)Fiscal</v>
      </c>
      <c r="X9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8" spans="1:24" ht="12.5" x14ac:dyDescent="0.25">
      <c r="A908" s="19"/>
      <c r="B908" s="19" t="s">
        <v>46</v>
      </c>
      <c r="C908" s="5" t="s">
        <v>55</v>
      </c>
      <c r="D908" s="20" t="s">
        <v>26</v>
      </c>
      <c r="E908" s="35"/>
      <c r="F908" s="29" cm="1">
        <f t="array" ref="F908">IF(V908 &lt;&gt; "", V908, IFERROR(_xlfn.SINGLE(INDEX($G$1:G907,SUMPRODUCT(MAX(($W$1:W907=W908)*(ROW($W$1:W907))))))+IF(D908="Fiscal",30,90),""))</f>
        <v>46096</v>
      </c>
      <c r="G908" s="21"/>
      <c r="H908" s="15" t="str">
        <f t="shared" si="389"/>
        <v>Erro</v>
      </c>
      <c r="I908" s="15"/>
      <c r="J908" s="32"/>
      <c r="K908" s="15" t="str">
        <f t="shared" si="390"/>
        <v>Erro</v>
      </c>
      <c r="L908" s="15"/>
      <c r="M908" s="15" t="str">
        <f t="shared" si="391"/>
        <v>Erro</v>
      </c>
      <c r="N908" s="13"/>
      <c r="O908" s="2" t="str">
        <f>IFERROR(IF(tblColetas[[#This Row],[Status Coleta]]="Reprovado","Reprovado",IF(ISERROR(SEARCH("Poço",D908)),IF(N908="","Erro",IF(Q908="Reprovado","",WORKDAY(N908,IF(D908="Operacional",10,3),FERIADOS!$A$3:$A$119))),"-")),"-")</f>
        <v>-</v>
      </c>
      <c r="P908" s="21"/>
      <c r="Q908" s="7"/>
      <c r="R908" s="13"/>
      <c r="S908" s="30"/>
      <c r="T908" s="43"/>
      <c r="W908" t="str">
        <f t="shared" si="392"/>
        <v>CDMPoço TUP-128 (P-06)Poço CG</v>
      </c>
      <c r="X9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09" spans="1:24" ht="12.5" x14ac:dyDescent="0.25">
      <c r="A909" s="19"/>
      <c r="B909" s="19" t="s">
        <v>46</v>
      </c>
      <c r="C909" s="5" t="s">
        <v>55</v>
      </c>
      <c r="D909" s="20" t="s">
        <v>29</v>
      </c>
      <c r="E909" s="35"/>
      <c r="F909" s="29" cm="1">
        <f t="array" ref="F909">IF(V909 &lt;&gt; "", V909, IFERROR(_xlfn.SINGLE(INDEX($G$1:G908,SUMPRODUCT(MAX(($W$1:W908=W909)*(ROW($W$1:W908))))))+IF(D909="Fiscal",30,90),""))</f>
        <v>46096</v>
      </c>
      <c r="G909" s="21"/>
      <c r="H909" s="15" t="str">
        <f t="shared" si="389"/>
        <v>Erro</v>
      </c>
      <c r="I909" s="15"/>
      <c r="J909" s="32"/>
      <c r="K909" s="15" t="str">
        <f t="shared" si="390"/>
        <v>Erro</v>
      </c>
      <c r="L909" s="15"/>
      <c r="M909" s="15" t="str">
        <f t="shared" si="391"/>
        <v>Erro</v>
      </c>
      <c r="N909" s="13"/>
      <c r="O909" s="2" t="str">
        <f>IFERROR(IF(tblColetas[[#This Row],[Status Coleta]]="Reprovado","Reprovado",IF(ISERROR(SEARCH("Poço",D909)),IF(N909="","Erro",IF(Q909="Reprovado","",WORKDAY(N909,IF(D909="Operacional",10,3),FERIADOS!$A$3:$A$119))),"-")),"-")</f>
        <v>-</v>
      </c>
      <c r="P909" s="21"/>
      <c r="Q909" s="7"/>
      <c r="R909" s="13"/>
      <c r="S909" s="30"/>
      <c r="T909" s="43"/>
      <c r="W909" t="str">
        <f t="shared" si="392"/>
        <v>CDMPoço TUP-128 (P-06)Poço PVT</v>
      </c>
      <c r="X9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0" spans="1:24" ht="12.5" x14ac:dyDescent="0.25">
      <c r="A910" s="19"/>
      <c r="B910" s="19" t="s">
        <v>145</v>
      </c>
      <c r="C910" s="5" t="s">
        <v>202</v>
      </c>
      <c r="D910" s="20" t="s">
        <v>26</v>
      </c>
      <c r="E910" s="35"/>
      <c r="F910" s="29" cm="1">
        <f t="array" ref="F910">IF(V910 &lt;&gt; "", V910, IFERROR(_xlfn.SINGLE(INDEX($G$1:G909,SUMPRODUCT(MAX(($W$1:W909=W910)*(ROW($W$1:W909))))))+IF(D910="Fiscal",30,90),""))</f>
        <v>46098</v>
      </c>
      <c r="G910" s="21"/>
      <c r="H910" s="15" t="str">
        <f t="shared" ref="H910:H915" si="393">IF(G910="","Erro", G910+10)</f>
        <v>Erro</v>
      </c>
      <c r="I910" s="15"/>
      <c r="J910" s="32"/>
      <c r="K910" s="15" t="str">
        <f t="shared" ref="K910:K915" si="394">IF(G910="","Erro",G910+20)</f>
        <v>Erro</v>
      </c>
      <c r="L910" s="15"/>
      <c r="M910" s="15" t="str">
        <f t="shared" ref="M910:M915" si="395">IF(G910="","Erro",G910+IF(D910="Operacional",45,25))</f>
        <v>Erro</v>
      </c>
      <c r="N910" s="13"/>
      <c r="O910" s="2" t="str">
        <f>IFERROR(IF(tblColetas[[#This Row],[Status Coleta]]="Reprovado","Reprovado",IF(ISERROR(SEARCH("Poço",D910)),IF(N910="","Erro",IF(Q910="Reprovado","",WORKDAY(N910,IF(D910="Operacional",10,3),FERIADOS!$A$3:$A$119))),"-")),"-")</f>
        <v>-</v>
      </c>
      <c r="P910" s="21"/>
      <c r="Q910" s="7"/>
      <c r="R910" s="13"/>
      <c r="S910" s="30"/>
      <c r="T910" s="43"/>
      <c r="W910" t="str">
        <f t="shared" ref="W910:W915" si="396">B910&amp;C910&amp;D910</f>
        <v>ATDPoço 7-BUZ-87D-RJS (P-4)Poço CG</v>
      </c>
      <c r="X9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1" spans="1:24" ht="12.5" x14ac:dyDescent="0.25">
      <c r="A911" s="19"/>
      <c r="B911" s="19" t="s">
        <v>145</v>
      </c>
      <c r="C911" s="5" t="s">
        <v>202</v>
      </c>
      <c r="D911" s="20" t="s">
        <v>29</v>
      </c>
      <c r="E911" s="35"/>
      <c r="F911" s="29" cm="1">
        <f t="array" ref="F911">IF(V911 &lt;&gt; "", V911, IFERROR(_xlfn.SINGLE(INDEX($G$1:G910,SUMPRODUCT(MAX(($W$1:W910=W911)*(ROW($W$1:W910))))))+IF(D911="Fiscal",30,90),""))</f>
        <v>46098</v>
      </c>
      <c r="G911" s="21"/>
      <c r="H911" s="15" t="str">
        <f t="shared" si="393"/>
        <v>Erro</v>
      </c>
      <c r="I911" s="15"/>
      <c r="J911" s="32"/>
      <c r="K911" s="15" t="str">
        <f t="shared" si="394"/>
        <v>Erro</v>
      </c>
      <c r="L911" s="15"/>
      <c r="M911" s="15" t="str">
        <f t="shared" si="395"/>
        <v>Erro</v>
      </c>
      <c r="N911" s="13"/>
      <c r="O911" s="2" t="str">
        <f>IFERROR(IF(tblColetas[[#This Row],[Status Coleta]]="Reprovado","Reprovado",IF(ISERROR(SEARCH("Poço",D911)),IF(N911="","Erro",IF(Q911="Reprovado","",WORKDAY(N911,IF(D911="Operacional",10,3),FERIADOS!$A$3:$A$119))),"-")),"-")</f>
        <v>-</v>
      </c>
      <c r="P911" s="21"/>
      <c r="Q911" s="7"/>
      <c r="R911" s="13"/>
      <c r="S911" s="30"/>
      <c r="T911" s="43"/>
      <c r="W911" t="str">
        <f t="shared" si="396"/>
        <v>ATDPoço 7-BUZ-87D-RJS (P-4)Poço PVT</v>
      </c>
      <c r="X9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2" spans="1:24" ht="12.5" x14ac:dyDescent="0.25">
      <c r="A912" s="19"/>
      <c r="B912" s="19" t="s">
        <v>145</v>
      </c>
      <c r="C912" s="5" t="s">
        <v>212</v>
      </c>
      <c r="D912" s="20" t="s">
        <v>26</v>
      </c>
      <c r="E912" s="35"/>
      <c r="F912" s="29" cm="1">
        <f t="array" ref="F912">IF(V912 &lt;&gt; "", V912, IFERROR(_xlfn.SINGLE(INDEX($G$1:G911,SUMPRODUCT(MAX(($W$1:W911=W912)*(ROW($W$1:W911))))))+IF(D912="Fiscal",30,90),""))</f>
        <v>46087</v>
      </c>
      <c r="G912" s="21"/>
      <c r="H912" s="15" t="str">
        <f t="shared" si="393"/>
        <v>Erro</v>
      </c>
      <c r="I912" s="15"/>
      <c r="J912" s="32"/>
      <c r="K912" s="15" t="str">
        <f t="shared" si="394"/>
        <v>Erro</v>
      </c>
      <c r="L912" s="15"/>
      <c r="M912" s="15" t="str">
        <f t="shared" si="395"/>
        <v>Erro</v>
      </c>
      <c r="N912" s="13"/>
      <c r="O912" s="2" t="str">
        <f>IFERROR(IF(tblColetas[[#This Row],[Status Coleta]]="Reprovado","Reprovado",IF(ISERROR(SEARCH("Poço",D912)),IF(N912="","Erro",IF(Q912="Reprovado","",WORKDAY(N912,IF(D912="Operacional",10,3),FERIADOS!$A$3:$A$119))),"-")),"-")</f>
        <v>-</v>
      </c>
      <c r="P912" s="21"/>
      <c r="Q912" s="7"/>
      <c r="R912" s="13"/>
      <c r="S912" s="30"/>
      <c r="T912" s="43"/>
      <c r="W912" t="str">
        <f t="shared" si="396"/>
        <v>ATDPoço 7-BUZ-85D-RJS (P-7)Poço CG</v>
      </c>
      <c r="X9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3" spans="1:24" ht="12.5" x14ac:dyDescent="0.25">
      <c r="A913" s="19"/>
      <c r="B913" s="19" t="s">
        <v>145</v>
      </c>
      <c r="C913" s="5" t="s">
        <v>212</v>
      </c>
      <c r="D913" s="20" t="s">
        <v>29</v>
      </c>
      <c r="E913" s="35"/>
      <c r="F913" s="29" cm="1">
        <f t="array" ref="F913">IF(V913 &lt;&gt; "", V913, IFERROR(_xlfn.SINGLE(INDEX($G$1:G912,SUMPRODUCT(MAX(($W$1:W912=W913)*(ROW($W$1:W912))))))+IF(D913="Fiscal",30,90),""))</f>
        <v>46087</v>
      </c>
      <c r="G913" s="21"/>
      <c r="H913" s="15" t="str">
        <f t="shared" si="393"/>
        <v>Erro</v>
      </c>
      <c r="I913" s="15"/>
      <c r="J913" s="32"/>
      <c r="K913" s="15" t="str">
        <f t="shared" si="394"/>
        <v>Erro</v>
      </c>
      <c r="L913" s="15"/>
      <c r="M913" s="15" t="str">
        <f t="shared" si="395"/>
        <v>Erro</v>
      </c>
      <c r="N913" s="13"/>
      <c r="O913" s="2" t="str">
        <f>IFERROR(IF(tblColetas[[#This Row],[Status Coleta]]="Reprovado","Reprovado",IF(ISERROR(SEARCH("Poço",D913)),IF(N913="","Erro",IF(Q913="Reprovado","",WORKDAY(N913,IF(D913="Operacional",10,3),FERIADOS!$A$3:$A$119))),"-")),"-")</f>
        <v>-</v>
      </c>
      <c r="P913" s="21"/>
      <c r="Q913" s="7"/>
      <c r="R913" s="13"/>
      <c r="S913" s="30"/>
      <c r="T913" s="43"/>
      <c r="W913" t="str">
        <f t="shared" si="396"/>
        <v>ATDPoço 7-BUZ-85D-RJS (P-7)Poço PVT</v>
      </c>
      <c r="X9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4" spans="1:24" ht="12.5" x14ac:dyDescent="0.25">
      <c r="A914" s="19"/>
      <c r="B914" s="19" t="s">
        <v>145</v>
      </c>
      <c r="C914" s="5" t="s">
        <v>166</v>
      </c>
      <c r="D914" s="20" t="s">
        <v>26</v>
      </c>
      <c r="E914" s="35"/>
      <c r="F914" s="29" cm="1">
        <f t="array" ref="F914">IF(V914 &lt;&gt; "", V914, IFERROR(_xlfn.SINGLE(INDEX($G$1:G913,SUMPRODUCT(MAX(($W$1:W913=W914)*(ROW($W$1:W913))))))+IF(D914="Fiscal",30,90),""))</f>
        <v>46088</v>
      </c>
      <c r="G914" s="21"/>
      <c r="H914" s="15" t="str">
        <f t="shared" si="393"/>
        <v>Erro</v>
      </c>
      <c r="I914" s="15"/>
      <c r="J914" s="32"/>
      <c r="K914" s="15" t="str">
        <f t="shared" si="394"/>
        <v>Erro</v>
      </c>
      <c r="L914" s="15"/>
      <c r="M914" s="15" t="str">
        <f t="shared" si="395"/>
        <v>Erro</v>
      </c>
      <c r="N914" s="13"/>
      <c r="O914" s="2" t="str">
        <f>IFERROR(IF(tblColetas[[#This Row],[Status Coleta]]="Reprovado","Reprovado",IF(ISERROR(SEARCH("Poço",D914)),IF(N914="","Erro",IF(Q914="Reprovado","",WORKDAY(N914,IF(D914="Operacional",10,3),FERIADOS!$A$3:$A$119))),"-")),"-")</f>
        <v>-</v>
      </c>
      <c r="P914" s="21"/>
      <c r="Q914" s="7"/>
      <c r="R914" s="13"/>
      <c r="S914" s="30"/>
      <c r="T914" s="43"/>
      <c r="W914" t="str">
        <f t="shared" si="396"/>
        <v>ATDPoço 7-BUZ-74D-RJS (P-5)Poço CG</v>
      </c>
      <c r="X9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5" spans="1:24" ht="12.5" x14ac:dyDescent="0.25">
      <c r="A915" s="19"/>
      <c r="B915" s="19" t="s">
        <v>145</v>
      </c>
      <c r="C915" s="5" t="s">
        <v>166</v>
      </c>
      <c r="D915" s="20" t="s">
        <v>29</v>
      </c>
      <c r="E915" s="35"/>
      <c r="F915" s="29" cm="1">
        <f t="array" ref="F915">IF(V915 &lt;&gt; "", V915, IFERROR(_xlfn.SINGLE(INDEX($G$1:G914,SUMPRODUCT(MAX(($W$1:W914=W915)*(ROW($W$1:W914))))))+IF(D915="Fiscal",30,90),""))</f>
        <v>46088</v>
      </c>
      <c r="G915" s="21"/>
      <c r="H915" s="15" t="str">
        <f t="shared" si="393"/>
        <v>Erro</v>
      </c>
      <c r="I915" s="15"/>
      <c r="J915" s="32"/>
      <c r="K915" s="15" t="str">
        <f t="shared" si="394"/>
        <v>Erro</v>
      </c>
      <c r="L915" s="15"/>
      <c r="M915" s="15" t="str">
        <f t="shared" si="395"/>
        <v>Erro</v>
      </c>
      <c r="N915" s="13"/>
      <c r="O915" s="2" t="str">
        <f>IFERROR(IF(tblColetas[[#This Row],[Status Coleta]]="Reprovado","Reprovado",IF(ISERROR(SEARCH("Poço",D915)),IF(N915="","Erro",IF(Q915="Reprovado","",WORKDAY(N915,IF(D915="Operacional",10,3),FERIADOS!$A$3:$A$119))),"-")),"-")</f>
        <v>-</v>
      </c>
      <c r="P915" s="21"/>
      <c r="Q915" s="7"/>
      <c r="R915" s="13"/>
      <c r="S915" s="30"/>
      <c r="T915" s="43"/>
      <c r="W915" t="str">
        <f t="shared" si="396"/>
        <v>ATDPoço 7-BUZ-74D-RJS (P-5)Poço PVT</v>
      </c>
      <c r="X9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6" spans="1:24" ht="12.5" x14ac:dyDescent="0.25">
      <c r="A916" s="19"/>
      <c r="B916" s="19" t="s">
        <v>46</v>
      </c>
      <c r="C916" s="5" t="s">
        <v>74</v>
      </c>
      <c r="D916" s="20" t="s">
        <v>72</v>
      </c>
      <c r="E916" s="35"/>
      <c r="F916" s="29" cm="1">
        <f t="array" ref="F916">IF(V916 &lt;&gt; "", V916, IFERROR(_xlfn.SINGLE(INDEX($G$1:G915,SUMPRODUCT(MAX(($W$1:W915=W916)*(ROW($W$1:W915))))))+IF(D916="Fiscal",30,90),""))</f>
        <v>46038</v>
      </c>
      <c r="G916" s="21">
        <v>46034</v>
      </c>
      <c r="H916" s="15">
        <f t="shared" ref="H916:H926" si="397">IF(G916="","Erro", G916+10)</f>
        <v>46044</v>
      </c>
      <c r="I916" s="15"/>
      <c r="J916" s="32"/>
      <c r="K916" s="15">
        <f t="shared" ref="K916:K926" si="398">IF(G916="","Erro",G916+20)</f>
        <v>46054</v>
      </c>
      <c r="L916" s="15"/>
      <c r="M916" s="15">
        <f t="shared" ref="M916:M926" si="399">IF(G916="","Erro",G916+IF(D916="Operacional",45,25))</f>
        <v>46059</v>
      </c>
      <c r="N916" s="13">
        <v>46059</v>
      </c>
      <c r="O916" s="2">
        <f>IFERROR(IF(tblColetas[[#This Row],[Status Coleta]]="Reprovado","Reprovado",IF(ISERROR(SEARCH("Poço",D916)),IF(N916="","Erro",IF(Q916="Reprovado","",WORKDAY(N916,IF(D916="Operacional",10,3),FERIADOS!$A$3:$A$119))),"-")),"-")</f>
        <v>46064</v>
      </c>
      <c r="P916" s="21">
        <v>46063</v>
      </c>
      <c r="Q916" s="7" t="s">
        <v>37</v>
      </c>
      <c r="R916" s="13"/>
      <c r="S916" s="30"/>
      <c r="T916" s="43"/>
      <c r="W916" t="str">
        <f t="shared" ref="W916:W926" si="400">B916&amp;C916&amp;D916</f>
        <v>CDMT76-FT-0014 (HP Flare)Fiscal</v>
      </c>
      <c r="X9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7" spans="1:24" ht="12.5" x14ac:dyDescent="0.25">
      <c r="A917" s="19"/>
      <c r="B917" s="19" t="s">
        <v>46</v>
      </c>
      <c r="C917" s="5" t="s">
        <v>75</v>
      </c>
      <c r="D917" s="20" t="s">
        <v>72</v>
      </c>
      <c r="E917" s="35"/>
      <c r="F917" s="29" cm="1">
        <f t="array" ref="F917">IF(V917 &lt;&gt; "", V917, IFERROR(_xlfn.SINGLE(INDEX($G$1:G916,SUMPRODUCT(MAX(($W$1:W916=W917)*(ROW($W$1:W916))))))+IF(D917="Fiscal",30,90),""))</f>
        <v>46038</v>
      </c>
      <c r="G917" s="21">
        <v>46034</v>
      </c>
      <c r="H917" s="15">
        <f t="shared" si="397"/>
        <v>46044</v>
      </c>
      <c r="I917" s="15"/>
      <c r="J917" s="32"/>
      <c r="K917" s="15">
        <f t="shared" si="398"/>
        <v>46054</v>
      </c>
      <c r="L917" s="15"/>
      <c r="M917" s="15">
        <f t="shared" si="399"/>
        <v>46059</v>
      </c>
      <c r="N917" s="13">
        <v>46059</v>
      </c>
      <c r="O917" s="2" t="str">
        <f>IFERROR(IF(tblColetas[[#This Row],[Status Coleta]]="Reprovado","Reprovado",IF(ISERROR(SEARCH("Poço",D917)),IF(N917="","Erro",IF(Q917="Reprovado","",WORKDAY(N917,IF(D917="Operacional",10,3),FERIADOS!$A$3:$A$119))),"-")),"-")</f>
        <v>Reprovado</v>
      </c>
      <c r="P917" s="21"/>
      <c r="Q917" s="7" t="s">
        <v>81</v>
      </c>
      <c r="R917" s="13"/>
      <c r="S917" s="30"/>
      <c r="T917" s="43"/>
      <c r="W917" t="str">
        <f t="shared" si="400"/>
        <v>CDMT76-FT-0034 (LP Flare)Fiscal</v>
      </c>
      <c r="X9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8" spans="1:24" ht="12.5" x14ac:dyDescent="0.25">
      <c r="A918" s="19"/>
      <c r="B918" s="19" t="s">
        <v>46</v>
      </c>
      <c r="C918" s="5" t="s">
        <v>71</v>
      </c>
      <c r="D918" s="20" t="s">
        <v>72</v>
      </c>
      <c r="E918" s="35"/>
      <c r="F918" s="29" cm="1">
        <f t="array" ref="F918">IF(V918 &lt;&gt; "", V918, IFERROR(_xlfn.SINGLE(INDEX($G$1:G917,SUMPRODUCT(MAX(($W$1:W917=W918)*(ROW($W$1:W917))))))+IF(D918="Fiscal",30,90),""))</f>
        <v>46037</v>
      </c>
      <c r="G918" s="21">
        <v>46035</v>
      </c>
      <c r="H918" s="15">
        <f t="shared" si="397"/>
        <v>46045</v>
      </c>
      <c r="I918" s="15"/>
      <c r="J918" s="32"/>
      <c r="K918" s="15">
        <f t="shared" si="398"/>
        <v>46055</v>
      </c>
      <c r="L918" s="15"/>
      <c r="M918" s="15">
        <f t="shared" si="399"/>
        <v>46060</v>
      </c>
      <c r="N918" s="13">
        <v>46059</v>
      </c>
      <c r="O918" s="2">
        <f>IFERROR(IF(tblColetas[[#This Row],[Status Coleta]]="Reprovado","Reprovado",IF(ISERROR(SEARCH("Poço",D918)),IF(N918="","Erro",IF(Q918="Reprovado","",WORKDAY(N918,IF(D918="Operacional",10,3),FERIADOS!$A$3:$A$119))),"-")),"-")</f>
        <v>46064</v>
      </c>
      <c r="P918" s="21">
        <v>46063</v>
      </c>
      <c r="Q918" s="7" t="s">
        <v>37</v>
      </c>
      <c r="R918" s="13"/>
      <c r="S918" s="30"/>
      <c r="T918" s="43"/>
      <c r="W918" t="str">
        <f t="shared" si="400"/>
        <v>CDMT77-FT-0103 (Fuel Gas)Fiscal</v>
      </c>
      <c r="X9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19" spans="1:24" ht="12.5" x14ac:dyDescent="0.25">
      <c r="A919" s="19"/>
      <c r="B919" s="19" t="s">
        <v>46</v>
      </c>
      <c r="C919" s="5" t="s">
        <v>125</v>
      </c>
      <c r="D919" s="20" t="s">
        <v>72</v>
      </c>
      <c r="E919" s="35"/>
      <c r="F919" s="29" cm="1">
        <f t="array" ref="F919">IF(V919 &lt;&gt; "", V919, IFERROR(_xlfn.SINGLE(INDEX($G$1:G918,SUMPRODUCT(MAX(($W$1:W918=W919)*(ROW($W$1:W918))))))+IF(D919="Fiscal",30,90),""))</f>
        <v>46037</v>
      </c>
      <c r="G919" s="21">
        <v>46035</v>
      </c>
      <c r="H919" s="15">
        <f t="shared" si="397"/>
        <v>46045</v>
      </c>
      <c r="I919" s="15"/>
      <c r="J919" s="32"/>
      <c r="K919" s="15">
        <f t="shared" si="398"/>
        <v>46055</v>
      </c>
      <c r="L919" s="15"/>
      <c r="M919" s="15">
        <f t="shared" si="399"/>
        <v>46060</v>
      </c>
      <c r="N919" s="13">
        <v>46059</v>
      </c>
      <c r="O919" s="2">
        <f>IFERROR(IF(tblColetas[[#This Row],[Status Coleta]]="Reprovado","Reprovado",IF(ISERROR(SEARCH("Poço",D919)),IF(N919="","Erro",IF(Q919="Reprovado","",WORKDAY(N919,IF(D919="Operacional",10,3),FERIADOS!$A$3:$A$119))),"-")),"-")</f>
        <v>46064</v>
      </c>
      <c r="P919" s="21">
        <v>46063</v>
      </c>
      <c r="Q919" s="7" t="s">
        <v>37</v>
      </c>
      <c r="R919" s="13"/>
      <c r="S919" s="30"/>
      <c r="T919" s="43"/>
      <c r="W919" t="str">
        <f t="shared" si="400"/>
        <v>CDMT74-FT-6901 (Export Gas)Fiscal</v>
      </c>
      <c r="X9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0" spans="1:24" ht="12.5" x14ac:dyDescent="0.25">
      <c r="A920" s="19"/>
      <c r="B920" s="19" t="s">
        <v>46</v>
      </c>
      <c r="C920" s="5" t="s">
        <v>69</v>
      </c>
      <c r="D920" s="20" t="s">
        <v>70</v>
      </c>
      <c r="E920" s="35"/>
      <c r="F920" s="29" cm="1">
        <f t="array" ref="F920">IF(V920 &lt;&gt; "", V920, IFERROR(_xlfn.SINGLE(INDEX($G$1:G919,SUMPRODUCT(MAX(($W$1:W919=W920)*(ROW($W$1:W919))))))+IF(D920="Fiscal",30,90),""))</f>
        <v>46097</v>
      </c>
      <c r="G920" s="21"/>
      <c r="H920" s="15" t="str">
        <f t="shared" si="397"/>
        <v>Erro</v>
      </c>
      <c r="I920" s="15"/>
      <c r="J920" s="32"/>
      <c r="K920" s="15" t="str">
        <f t="shared" si="398"/>
        <v>Erro</v>
      </c>
      <c r="L920" s="15"/>
      <c r="M920" s="15" t="str">
        <f t="shared" si="399"/>
        <v>Erro</v>
      </c>
      <c r="N920" s="13"/>
      <c r="O920" s="2" t="str">
        <f>IFERROR(IF(tblColetas[[#This Row],[Status Coleta]]="Reprovado","Reprovado",IF(ISERROR(SEARCH("Poço",D920)),IF(N920="","Erro",IF(Q920="Reprovado","",WORKDAY(N920,IF(D920="Operacional",10,3),FERIADOS!$A$3:$A$119))),"-")),"-")</f>
        <v>Erro</v>
      </c>
      <c r="P920" s="21"/>
      <c r="Q920" s="7"/>
      <c r="R920" s="13"/>
      <c r="S920" s="30"/>
      <c r="T920" s="43"/>
      <c r="W920" t="str">
        <f t="shared" si="400"/>
        <v>CDMT73-AP-0001 (Gas Lift)Gas Lift</v>
      </c>
      <c r="X9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1" spans="1:24" ht="12.5" x14ac:dyDescent="0.25">
      <c r="A921" s="19"/>
      <c r="B921" s="19" t="s">
        <v>34</v>
      </c>
      <c r="C921" s="5" t="s">
        <v>71</v>
      </c>
      <c r="D921" s="20" t="s">
        <v>72</v>
      </c>
      <c r="E921" s="35"/>
      <c r="F921" s="29" cm="1">
        <f t="array" ref="F921">IF(V921 &lt;&gt; "", V921, IFERROR(_xlfn.SINGLE(INDEX($G$1:G920,SUMPRODUCT(MAX(($W$1:W920=W921)*(ROW($W$1:W920))))))+IF(D921="Fiscal",30,90),""))</f>
        <v>46038</v>
      </c>
      <c r="G921" s="21">
        <v>46035</v>
      </c>
      <c r="H921" s="15">
        <f t="shared" si="397"/>
        <v>46045</v>
      </c>
      <c r="I921" s="15"/>
      <c r="J921" s="32"/>
      <c r="K921" s="15">
        <f t="shared" si="398"/>
        <v>46055</v>
      </c>
      <c r="L921" s="15"/>
      <c r="M921" s="15">
        <f t="shared" si="399"/>
        <v>46060</v>
      </c>
      <c r="N921" s="13">
        <v>46059</v>
      </c>
      <c r="O921" s="2">
        <f>IFERROR(IF(tblColetas[[#This Row],[Status Coleta]]="Reprovado","Reprovado",IF(ISERROR(SEARCH("Poço",D921)),IF(N921="","Erro",IF(Q921="Reprovado","",WORKDAY(N921,IF(D921="Operacional",10,3),FERIADOS!$A$3:$A$119))),"-")),"-")</f>
        <v>46064</v>
      </c>
      <c r="P921" s="21">
        <v>46064</v>
      </c>
      <c r="Q921" s="7" t="s">
        <v>37</v>
      </c>
      <c r="R921" s="13"/>
      <c r="S921" s="30"/>
      <c r="T921" s="43"/>
      <c r="W921" t="str">
        <f t="shared" si="400"/>
        <v>CDST77-FT-0103 (Fuel Gas)Fiscal</v>
      </c>
      <c r="X9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2" spans="1:24" ht="12.5" x14ac:dyDescent="0.25">
      <c r="A922" s="19"/>
      <c r="B922" s="19" t="s">
        <v>34</v>
      </c>
      <c r="C922" s="5" t="s">
        <v>73</v>
      </c>
      <c r="D922" s="20" t="s">
        <v>72</v>
      </c>
      <c r="E922" s="35"/>
      <c r="F922" s="29" cm="1">
        <f t="array" ref="F922">IF(V922 &lt;&gt; "", V922, IFERROR(_xlfn.SINGLE(INDEX($G$1:G921,SUMPRODUCT(MAX(($W$1:W921=W922)*(ROW($W$1:W921))))))+IF(D922="Fiscal",30,90),""))</f>
        <v>46038</v>
      </c>
      <c r="G922" s="21">
        <v>46034</v>
      </c>
      <c r="H922" s="15">
        <f t="shared" si="397"/>
        <v>46044</v>
      </c>
      <c r="I922" s="15"/>
      <c r="J922" s="32"/>
      <c r="K922" s="15">
        <f t="shared" si="398"/>
        <v>46054</v>
      </c>
      <c r="L922" s="15"/>
      <c r="M922" s="15">
        <f t="shared" si="399"/>
        <v>46059</v>
      </c>
      <c r="N922" s="13">
        <v>46059</v>
      </c>
      <c r="O922" s="2">
        <f>IFERROR(IF(tblColetas[[#This Row],[Status Coleta]]="Reprovado","Reprovado",IF(ISERROR(SEARCH("Poço",D922)),IF(N922="","Erro",IF(Q922="Reprovado","",WORKDAY(N922,IF(D922="Operacional",10,3),FERIADOS!$A$3:$A$119))),"-")),"-")</f>
        <v>46064</v>
      </c>
      <c r="P922" s="21">
        <v>46064</v>
      </c>
      <c r="Q922" s="7" t="s">
        <v>37</v>
      </c>
      <c r="R922" s="13"/>
      <c r="S922" s="30"/>
      <c r="T922" s="43"/>
      <c r="W922" t="str">
        <f t="shared" si="400"/>
        <v>CDST74-AX-6911 (Export Gas)Fiscal</v>
      </c>
      <c r="X9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3" spans="1:24" ht="12.5" x14ac:dyDescent="0.25">
      <c r="A923" s="19"/>
      <c r="B923" s="19" t="s">
        <v>34</v>
      </c>
      <c r="C923" s="5" t="s">
        <v>74</v>
      </c>
      <c r="D923" s="20" t="s">
        <v>72</v>
      </c>
      <c r="E923" s="35"/>
      <c r="F923" s="29" cm="1">
        <f t="array" ref="F923">IF(V923 &lt;&gt; "", V923, IFERROR(_xlfn.SINGLE(INDEX($G$1:G922,SUMPRODUCT(MAX(($W$1:W922=W923)*(ROW($W$1:W922))))))+IF(D923="Fiscal",30,90),""))</f>
        <v>46039</v>
      </c>
      <c r="G923" s="21">
        <v>46035</v>
      </c>
      <c r="H923" s="15">
        <f t="shared" si="397"/>
        <v>46045</v>
      </c>
      <c r="I923" s="15"/>
      <c r="J923" s="32"/>
      <c r="K923" s="15">
        <f t="shared" si="398"/>
        <v>46055</v>
      </c>
      <c r="L923" s="15"/>
      <c r="M923" s="15">
        <f t="shared" si="399"/>
        <v>46060</v>
      </c>
      <c r="N923" s="13">
        <v>46059</v>
      </c>
      <c r="O923" s="2">
        <f>IFERROR(IF(tblColetas[[#This Row],[Status Coleta]]="Reprovado","Reprovado",IF(ISERROR(SEARCH("Poço",D923)),IF(N923="","Erro",IF(Q923="Reprovado","",WORKDAY(N923,IF(D923="Operacional",10,3),FERIADOS!$A$3:$A$119))),"-")),"-")</f>
        <v>46064</v>
      </c>
      <c r="P923" s="21">
        <v>46064</v>
      </c>
      <c r="Q923" s="7" t="s">
        <v>37</v>
      </c>
      <c r="R923" s="13"/>
      <c r="S923" s="30"/>
      <c r="T923" s="43"/>
      <c r="W923" t="str">
        <f t="shared" si="400"/>
        <v>CDST76-FT-0014 (HP Flare)Fiscal</v>
      </c>
      <c r="X9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4" spans="1:24" ht="12.5" x14ac:dyDescent="0.25">
      <c r="A924" s="19"/>
      <c r="B924" s="19" t="s">
        <v>34</v>
      </c>
      <c r="C924" s="5" t="s">
        <v>75</v>
      </c>
      <c r="D924" s="20" t="s">
        <v>72</v>
      </c>
      <c r="E924" s="35"/>
      <c r="F924" s="29" cm="1">
        <f t="array" ref="F924">IF(V924 &lt;&gt; "", V924, IFERROR(_xlfn.SINGLE(INDEX($G$1:G923,SUMPRODUCT(MAX(($W$1:W923=W924)*(ROW($W$1:W923))))))+IF(D924="Fiscal",30,90),""))</f>
        <v>46039</v>
      </c>
      <c r="G924" s="21">
        <v>46035</v>
      </c>
      <c r="H924" s="15">
        <f t="shared" si="397"/>
        <v>46045</v>
      </c>
      <c r="I924" s="15"/>
      <c r="J924" s="32"/>
      <c r="K924" s="15">
        <f t="shared" si="398"/>
        <v>46055</v>
      </c>
      <c r="L924" s="15"/>
      <c r="M924" s="15">
        <f t="shared" si="399"/>
        <v>46060</v>
      </c>
      <c r="N924" s="13">
        <v>46059</v>
      </c>
      <c r="O924" s="2">
        <f>IFERROR(IF(tblColetas[[#This Row],[Status Coleta]]="Reprovado","Reprovado",IF(ISERROR(SEARCH("Poço",D924)),IF(N924="","Erro",IF(Q924="Reprovado","",WORKDAY(N924,IF(D924="Operacional",10,3),FERIADOS!$A$3:$A$119))),"-")),"-")</f>
        <v>46064</v>
      </c>
      <c r="P924" s="21">
        <v>46064</v>
      </c>
      <c r="Q924" s="7" t="s">
        <v>37</v>
      </c>
      <c r="R924" s="13"/>
      <c r="S924" s="30"/>
      <c r="T924" s="43"/>
      <c r="W924" t="str">
        <f t="shared" si="400"/>
        <v>CDST76-FT-0034 (LP Flare)Fiscal</v>
      </c>
      <c r="X9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5" spans="1:24" ht="12.5" x14ac:dyDescent="0.25">
      <c r="A925" s="19"/>
      <c r="B925" s="19" t="s">
        <v>46</v>
      </c>
      <c r="C925" s="5" t="s">
        <v>93</v>
      </c>
      <c r="D925" s="20" t="s">
        <v>26</v>
      </c>
      <c r="E925" s="35"/>
      <c r="F925" s="29" cm="1">
        <f t="array" ref="F925">IF(V925 &lt;&gt; "", V925, IFERROR(_xlfn.SINGLE(INDEX($G$1:G924,SUMPRODUCT(MAX(($W$1:W924=W925)*(ROW($W$1:W924))))))+IF(D925="Fiscal",30,90),""))</f>
        <v>46099</v>
      </c>
      <c r="G925" s="21"/>
      <c r="H925" s="15" t="str">
        <f t="shared" si="397"/>
        <v>Erro</v>
      </c>
      <c r="I925" s="15"/>
      <c r="J925" s="32"/>
      <c r="K925" s="15" t="str">
        <f t="shared" si="398"/>
        <v>Erro</v>
      </c>
      <c r="L925" s="15"/>
      <c r="M925" s="15" t="str">
        <f t="shared" si="399"/>
        <v>Erro</v>
      </c>
      <c r="N925" s="13"/>
      <c r="O925" s="2" t="str">
        <f>IFERROR(IF(tblColetas[[#This Row],[Status Coleta]]="Reprovado","Reprovado",IF(ISERROR(SEARCH("Poço",D925)),IF(N925="","Erro",IF(Q925="Reprovado","",WORKDAY(N925,IF(D925="Operacional",10,3),FERIADOS!$A$3:$A$119))),"-")),"-")</f>
        <v>-</v>
      </c>
      <c r="P925" s="21"/>
      <c r="Q925" s="7"/>
      <c r="R925" s="13"/>
      <c r="S925" s="30"/>
      <c r="T925" s="43"/>
      <c r="W925" t="str">
        <f t="shared" si="400"/>
        <v>CDMPoço LL-61 (P-16)Poço CG</v>
      </c>
      <c r="X9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6" spans="1:24" ht="12.5" x14ac:dyDescent="0.25">
      <c r="A926" s="19"/>
      <c r="B926" s="19" t="s">
        <v>46</v>
      </c>
      <c r="C926" s="5" t="s">
        <v>93</v>
      </c>
      <c r="D926" s="20" t="s">
        <v>29</v>
      </c>
      <c r="E926" s="35"/>
      <c r="F926" s="29" cm="1">
        <f t="array" ref="F926">IF(V926 &lt;&gt; "", V926, IFERROR(_xlfn.SINGLE(INDEX($G$1:G925,SUMPRODUCT(MAX(($W$1:W925=W926)*(ROW($W$1:W925))))))+IF(D926="Fiscal",30,90),""))</f>
        <v>46099</v>
      </c>
      <c r="G926" s="21"/>
      <c r="H926" s="15" t="str">
        <f t="shared" si="397"/>
        <v>Erro</v>
      </c>
      <c r="I926" s="15"/>
      <c r="J926" s="32"/>
      <c r="K926" s="15" t="str">
        <f t="shared" si="398"/>
        <v>Erro</v>
      </c>
      <c r="L926" s="15"/>
      <c r="M926" s="15" t="str">
        <f t="shared" si="399"/>
        <v>Erro</v>
      </c>
      <c r="N926" s="13"/>
      <c r="O926" s="2" t="str">
        <f>IFERROR(IF(tblColetas[[#This Row],[Status Coleta]]="Reprovado","Reprovado",IF(ISERROR(SEARCH("Poço",D926)),IF(N926="","Erro",IF(Q926="Reprovado","",WORKDAY(N926,IF(D926="Operacional",10,3),FERIADOS!$A$3:$A$119))),"-")),"-")</f>
        <v>-</v>
      </c>
      <c r="P926" s="21"/>
      <c r="Q926" s="7"/>
      <c r="R926" s="13"/>
      <c r="S926" s="30"/>
      <c r="T926" s="43"/>
      <c r="W926" t="str">
        <f t="shared" si="400"/>
        <v>CDMPoço LL-61 (P-16)Poço PVT</v>
      </c>
      <c r="X9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7" spans="1:24" ht="12.5" x14ac:dyDescent="0.25">
      <c r="A927" s="8"/>
      <c r="B927" s="8" t="s">
        <v>52</v>
      </c>
      <c r="C927" s="5" t="s">
        <v>53</v>
      </c>
      <c r="D927" s="9" t="s">
        <v>26</v>
      </c>
      <c r="E927" s="36"/>
      <c r="F927" s="29" cm="1">
        <f t="array" ref="F927">IF(V927 &lt;&gt; "", V927, IFERROR(_xlfn.SINGLE(INDEX($G$1:G926,SUMPRODUCT(MAX(($W$1:W926=W927)*(ROW($W$1:W926))))))+IF(D927="Fiscal",30,90),""))</f>
        <v>46100</v>
      </c>
      <c r="G927" s="13">
        <v>46014</v>
      </c>
      <c r="H927" s="15">
        <f t="shared" ref="H927:H944" si="401">IF(G927="","Erro", G927+10)</f>
        <v>46024</v>
      </c>
      <c r="I927" s="15">
        <v>46015</v>
      </c>
      <c r="J927" s="32" t="s">
        <v>245</v>
      </c>
      <c r="K927" s="15">
        <f t="shared" ref="K927:K944" si="402">IF(G927="","Erro",G927+20)</f>
        <v>46034</v>
      </c>
      <c r="L927" s="15">
        <v>46029</v>
      </c>
      <c r="M927" s="15">
        <f t="shared" ref="M927:M944" si="403">IF(G927="","Erro",G927+IF(D927="Operacional",45,25))</f>
        <v>46039</v>
      </c>
      <c r="N927" s="13">
        <v>46031</v>
      </c>
      <c r="O927" s="2" t="str">
        <f>IFERROR(IF(tblColetas[[#This Row],[Status Coleta]]="Reprovado","Reprovado",IF(ISERROR(SEARCH("Poço",D927)),IF(N927="","Erro",IF(Q927="Reprovado","",WORKDAY(N927,IF(D927="Operacional",10,3),FERIADOS!$A$3:$A$119))),"-")),"-")</f>
        <v>-</v>
      </c>
      <c r="P927" s="13"/>
      <c r="Q927" s="7" t="s">
        <v>37</v>
      </c>
      <c r="R927" s="13"/>
      <c r="S927" s="30"/>
      <c r="T927" s="43"/>
      <c r="W927" t="str">
        <f t="shared" ref="W927:W944" si="404">B927&amp;C927&amp;D927</f>
        <v>SEPPoço MRO-27  P-8Poço CG</v>
      </c>
      <c r="X9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8" spans="1:24" ht="12.5" x14ac:dyDescent="0.25">
      <c r="A928" s="8"/>
      <c r="B928" s="8" t="s">
        <v>52</v>
      </c>
      <c r="C928" s="5" t="s">
        <v>53</v>
      </c>
      <c r="D928" s="9" t="s">
        <v>29</v>
      </c>
      <c r="E928" s="36"/>
      <c r="F928" s="29" cm="1">
        <f t="array" ref="F928">IF(V928 &lt;&gt; "", V928, IFERROR(_xlfn.SINGLE(INDEX($G$1:G927,SUMPRODUCT(MAX(($W$1:W927=W928)*(ROW($W$1:W927))))))+IF(D928="Fiscal",30,90),""))</f>
        <v>46104</v>
      </c>
      <c r="G928" s="13">
        <v>46032</v>
      </c>
      <c r="H928" s="15">
        <f t="shared" si="401"/>
        <v>46042</v>
      </c>
      <c r="I928" s="15">
        <v>46033</v>
      </c>
      <c r="J928" s="32" t="s">
        <v>253</v>
      </c>
      <c r="K928" s="15">
        <f t="shared" si="402"/>
        <v>46052</v>
      </c>
      <c r="L928" s="15">
        <v>46043</v>
      </c>
      <c r="M928" s="15">
        <f t="shared" si="403"/>
        <v>46057</v>
      </c>
      <c r="N928" s="13">
        <v>46057</v>
      </c>
      <c r="O928" s="2" t="str">
        <f>IFERROR(IF(tblColetas[[#This Row],[Status Coleta]]="Reprovado","Reprovado",IF(ISERROR(SEARCH("Poço",D928)),IF(N928="","Erro",IF(Q928="Reprovado","",WORKDAY(N928,IF(D928="Operacional",10,3),FERIADOS!$A$3:$A$119))),"-")),"-")</f>
        <v>Reprovado</v>
      </c>
      <c r="P928" s="13"/>
      <c r="Q928" s="7" t="s">
        <v>81</v>
      </c>
      <c r="R928" s="13"/>
      <c r="S928" s="33" t="s">
        <v>127</v>
      </c>
      <c r="T928" s="43"/>
      <c r="W928" t="str">
        <f t="shared" si="404"/>
        <v>SEPPoço MRO-27  P-8Poço PVT</v>
      </c>
      <c r="X9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29" spans="1:24" ht="12.5" x14ac:dyDescent="0.25">
      <c r="A929" s="8"/>
      <c r="B929" s="8" t="s">
        <v>52</v>
      </c>
      <c r="C929" s="5" t="s">
        <v>53</v>
      </c>
      <c r="D929" s="9" t="s">
        <v>26</v>
      </c>
      <c r="E929" s="36"/>
      <c r="F929" s="29" cm="1">
        <f t="array" ref="F929">IF(V929 &lt;&gt; "", V929, IFERROR(_xlfn.SINGLE(INDEX($G$1:G928,SUMPRODUCT(MAX(($W$1:W928=W929)*(ROW($W$1:W928))))))+IF(D929="Fiscal",30,90),""))</f>
        <v>46104</v>
      </c>
      <c r="G929" s="13">
        <v>46032</v>
      </c>
      <c r="H929" s="15">
        <f t="shared" si="401"/>
        <v>46042</v>
      </c>
      <c r="I929" s="15">
        <v>46033</v>
      </c>
      <c r="J929" s="32" t="s">
        <v>253</v>
      </c>
      <c r="K929" s="15">
        <f t="shared" si="402"/>
        <v>46052</v>
      </c>
      <c r="L929" s="15">
        <v>46043</v>
      </c>
      <c r="M929" s="15">
        <f t="shared" si="403"/>
        <v>46057</v>
      </c>
      <c r="N929" s="13">
        <v>46057</v>
      </c>
      <c r="O929" s="2" t="str">
        <f>IFERROR(IF(tblColetas[[#This Row],[Status Coleta]]="Reprovado","Reprovado",IF(ISERROR(SEARCH("Poço",D929)),IF(N929="","Erro",IF(Q929="Reprovado","",WORKDAY(N929,IF(D929="Operacional",10,3),FERIADOS!$A$3:$A$119))),"-")),"-")</f>
        <v>-</v>
      </c>
      <c r="P929" s="13"/>
      <c r="Q929" s="7" t="s">
        <v>37</v>
      </c>
      <c r="R929" s="13"/>
      <c r="S929" s="30"/>
      <c r="T929" s="43"/>
      <c r="W929" t="str">
        <f t="shared" si="404"/>
        <v>SEPPoço MRO-27  P-8Poço CG</v>
      </c>
      <c r="X9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0" spans="1:24" ht="12.5" x14ac:dyDescent="0.25">
      <c r="A930" s="8"/>
      <c r="B930" s="8" t="s">
        <v>31</v>
      </c>
      <c r="C930" s="5" t="s">
        <v>105</v>
      </c>
      <c r="D930" s="9" t="s">
        <v>26</v>
      </c>
      <c r="E930" s="36"/>
      <c r="F930" s="29" cm="1">
        <f t="array" ref="F930">IF(V930 &lt;&gt; "", V930, IFERROR(_xlfn.SINGLE(INDEX($G$1:G929,SUMPRODUCT(MAX(($W$1:W929=W930)*(ROW($W$1:W929))))))+IF(D930="Fiscal",30,90),""))</f>
        <v>46097</v>
      </c>
      <c r="G930" s="13">
        <v>46050</v>
      </c>
      <c r="H930" s="15">
        <f t="shared" si="401"/>
        <v>46060</v>
      </c>
      <c r="I930" s="15">
        <v>46054</v>
      </c>
      <c r="J930" s="32" t="s">
        <v>364</v>
      </c>
      <c r="K930" s="15">
        <f t="shared" si="402"/>
        <v>46070</v>
      </c>
      <c r="L930" s="15"/>
      <c r="M930" s="15">
        <f t="shared" si="403"/>
        <v>46075</v>
      </c>
      <c r="N930" s="13"/>
      <c r="O930" s="2" t="str">
        <f>IFERROR(IF(tblColetas[[#This Row],[Status Coleta]]="Reprovado","Reprovado",IF(ISERROR(SEARCH("Poço",D930)),IF(N930="","Erro",IF(Q930="Reprovado","",WORKDAY(N930,IF(D930="Operacional",10,3),FERIADOS!$A$3:$A$119))),"-")),"-")</f>
        <v>-</v>
      </c>
      <c r="P930" s="13"/>
      <c r="Q930" s="7"/>
      <c r="R930" s="13"/>
      <c r="S930" s="30"/>
      <c r="T930" s="43"/>
      <c r="W930" t="str">
        <f t="shared" si="404"/>
        <v>CDIPoço SPH-16 (P-7)Poço CG</v>
      </c>
      <c r="X9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1" spans="1:24" ht="12.5" x14ac:dyDescent="0.25">
      <c r="A931" s="8"/>
      <c r="B931" s="8" t="s">
        <v>31</v>
      </c>
      <c r="C931" s="5" t="s">
        <v>105</v>
      </c>
      <c r="D931" s="9" t="s">
        <v>29</v>
      </c>
      <c r="E931" s="36"/>
      <c r="F931" s="29" cm="1">
        <f t="array" ref="F931">IF(V931 &lt;&gt; "", V931, IFERROR(_xlfn.SINGLE(INDEX($G$1:G930,SUMPRODUCT(MAX(($W$1:W930=W931)*(ROW($W$1:W930))))))+IF(D931="Fiscal",30,90),""))</f>
        <v>46097</v>
      </c>
      <c r="G931" s="13">
        <v>46050</v>
      </c>
      <c r="H931" s="15">
        <f t="shared" si="401"/>
        <v>46060</v>
      </c>
      <c r="I931" s="15">
        <v>46054</v>
      </c>
      <c r="J931" s="32" t="s">
        <v>364</v>
      </c>
      <c r="K931" s="15">
        <f t="shared" si="402"/>
        <v>46070</v>
      </c>
      <c r="L931" s="15"/>
      <c r="M931" s="15">
        <f t="shared" si="403"/>
        <v>46075</v>
      </c>
      <c r="N931" s="13"/>
      <c r="O931" s="2" t="str">
        <f>IFERROR(IF(tblColetas[[#This Row],[Status Coleta]]="Reprovado","Reprovado",IF(ISERROR(SEARCH("Poço",D931)),IF(N931="","Erro",IF(Q931="Reprovado","",WORKDAY(N931,IF(D931="Operacional",10,3),FERIADOS!$A$3:$A$119))),"-")),"-")</f>
        <v>-</v>
      </c>
      <c r="P931" s="13"/>
      <c r="Q931" s="7"/>
      <c r="R931" s="13"/>
      <c r="S931" s="30"/>
      <c r="T931" s="43"/>
      <c r="W931" t="str">
        <f t="shared" si="404"/>
        <v>CDIPoço SPH-16 (P-7)Poço PVT</v>
      </c>
      <c r="X9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2" spans="1:24" ht="12.5" x14ac:dyDescent="0.25">
      <c r="A932" s="8"/>
      <c r="B932" s="8" t="s">
        <v>24</v>
      </c>
      <c r="C932" s="5" t="s">
        <v>102</v>
      </c>
      <c r="D932" s="9" t="s">
        <v>26</v>
      </c>
      <c r="E932" s="36"/>
      <c r="F932" s="29" cm="1">
        <f t="array" ref="F932">IF(V932 &lt;&gt; "", V932, IFERROR(_xlfn.SINGLE(INDEX($G$1:G931,SUMPRODUCT(MAX(($W$1:W931=W932)*(ROW($W$1:W931))))))+IF(D932="Fiscal",30,90),""))</f>
        <v>46104</v>
      </c>
      <c r="G932" s="13"/>
      <c r="H932" s="15" t="str">
        <f t="shared" si="401"/>
        <v>Erro</v>
      </c>
      <c r="I932" s="15"/>
      <c r="J932" s="32"/>
      <c r="K932" s="15" t="str">
        <f t="shared" si="402"/>
        <v>Erro</v>
      </c>
      <c r="L932" s="15"/>
      <c r="M932" s="15" t="str">
        <f t="shared" si="403"/>
        <v>Erro</v>
      </c>
      <c r="N932" s="13"/>
      <c r="O932" s="2" t="str">
        <f>IFERROR(IF(tblColetas[[#This Row],[Status Coleta]]="Reprovado","Reprovado",IF(ISERROR(SEARCH("Poço",D932)),IF(N932="","Erro",IF(Q932="Reprovado","",WORKDAY(N932,IF(D932="Operacional",10,3),FERIADOS!$A$3:$A$119))),"-")),"-")</f>
        <v>-</v>
      </c>
      <c r="P932" s="13"/>
      <c r="Q932" s="7"/>
      <c r="R932" s="13"/>
      <c r="S932" s="30"/>
      <c r="T932" s="43"/>
      <c r="W932" t="str">
        <f t="shared" si="404"/>
        <v>CDAPoço BAZ-09Poço CG</v>
      </c>
      <c r="X9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3" spans="1:24" ht="12.5" x14ac:dyDescent="0.25">
      <c r="A933" s="8"/>
      <c r="B933" s="8" t="s">
        <v>24</v>
      </c>
      <c r="C933" s="5" t="s">
        <v>102</v>
      </c>
      <c r="D933" s="9" t="s">
        <v>29</v>
      </c>
      <c r="E933" s="36"/>
      <c r="F933" s="29" cm="1">
        <f t="array" ref="F933">IF(V933 &lt;&gt; "", V933, IFERROR(_xlfn.SINGLE(INDEX($G$1:G932,SUMPRODUCT(MAX(($W$1:W932=W933)*(ROW($W$1:W932))))))+IF(D933="Fiscal",30,90),""))</f>
        <v>46104</v>
      </c>
      <c r="G933" s="13"/>
      <c r="H933" s="15" t="str">
        <f t="shared" si="401"/>
        <v>Erro</v>
      </c>
      <c r="I933" s="15"/>
      <c r="J933" s="32"/>
      <c r="K933" s="15" t="str">
        <f t="shared" si="402"/>
        <v>Erro</v>
      </c>
      <c r="L933" s="15"/>
      <c r="M933" s="15" t="str">
        <f t="shared" si="403"/>
        <v>Erro</v>
      </c>
      <c r="N933" s="13"/>
      <c r="O933" s="2" t="str">
        <f>IFERROR(IF(tblColetas[[#This Row],[Status Coleta]]="Reprovado","Reprovado",IF(ISERROR(SEARCH("Poço",D933)),IF(N933="","Erro",IF(Q933="Reprovado","",WORKDAY(N933,IF(D933="Operacional",10,3),FERIADOS!$A$3:$A$119))),"-")),"-")</f>
        <v>-</v>
      </c>
      <c r="P933" s="13"/>
      <c r="Q933" s="7"/>
      <c r="R933" s="13"/>
      <c r="S933" s="30"/>
      <c r="T933" s="43"/>
      <c r="W933" t="str">
        <f t="shared" si="404"/>
        <v>CDAPoço BAZ-09Poço PVT</v>
      </c>
      <c r="X9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4" spans="1:24" ht="12.5" x14ac:dyDescent="0.25">
      <c r="A934" s="8"/>
      <c r="B934" s="8" t="s">
        <v>34</v>
      </c>
      <c r="C934" s="5" t="s">
        <v>67</v>
      </c>
      <c r="D934" s="9" t="s">
        <v>26</v>
      </c>
      <c r="E934" s="36"/>
      <c r="F934" s="29" cm="1">
        <f t="array" ref="F934">IF(V934 &lt;&gt; "", V934, IFERROR(_xlfn.SINGLE(INDEX($G$1:G933,SUMPRODUCT(MAX(($W$1:W933=W934)*(ROW($W$1:W933))))))+IF(D934="Fiscal",30,90),""))</f>
        <v>46105</v>
      </c>
      <c r="G934" s="13"/>
      <c r="H934" s="15" t="str">
        <f t="shared" si="401"/>
        <v>Erro</v>
      </c>
      <c r="I934" s="15"/>
      <c r="J934" s="32"/>
      <c r="K934" s="15" t="str">
        <f t="shared" si="402"/>
        <v>Erro</v>
      </c>
      <c r="L934" s="15"/>
      <c r="M934" s="15" t="str">
        <f t="shared" si="403"/>
        <v>Erro</v>
      </c>
      <c r="N934" s="13"/>
      <c r="O934" s="2" t="str">
        <f>IFERROR(IF(tblColetas[[#This Row],[Status Coleta]]="Reprovado","Reprovado",IF(ISERROR(SEARCH("Poço",D934)),IF(N934="","Erro",IF(Q934="Reprovado","",WORKDAY(N934,IF(D934="Operacional",10,3),FERIADOS!$A$3:$A$119))),"-")),"-")</f>
        <v>-</v>
      </c>
      <c r="P934" s="13"/>
      <c r="Q934" s="7"/>
      <c r="R934" s="13"/>
      <c r="S934" s="30"/>
      <c r="T934" s="43"/>
      <c r="W934" t="str">
        <f t="shared" si="404"/>
        <v>CDSPoço LL-81 (P-09)Poço CG</v>
      </c>
      <c r="X9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5" spans="1:24" ht="12.5" x14ac:dyDescent="0.25">
      <c r="A935" s="8"/>
      <c r="B935" s="8" t="s">
        <v>34</v>
      </c>
      <c r="C935" s="5" t="s">
        <v>67</v>
      </c>
      <c r="D935" s="9" t="s">
        <v>29</v>
      </c>
      <c r="E935" s="36"/>
      <c r="F935" s="29" cm="1">
        <f t="array" ref="F935">IF(V935 &lt;&gt; "", V935, IFERROR(_xlfn.SINGLE(INDEX($G$1:G934,SUMPRODUCT(MAX(($W$1:W934=W935)*(ROW($W$1:W934))))))+IF(D935="Fiscal",30,90),""))</f>
        <v>46105</v>
      </c>
      <c r="G935" s="13"/>
      <c r="H935" s="15" t="str">
        <f t="shared" si="401"/>
        <v>Erro</v>
      </c>
      <c r="I935" s="15"/>
      <c r="J935" s="32"/>
      <c r="K935" s="15" t="str">
        <f t="shared" si="402"/>
        <v>Erro</v>
      </c>
      <c r="L935" s="15"/>
      <c r="M935" s="15" t="str">
        <f t="shared" si="403"/>
        <v>Erro</v>
      </c>
      <c r="N935" s="13"/>
      <c r="O935" s="2" t="str">
        <f>IFERROR(IF(tblColetas[[#This Row],[Status Coleta]]="Reprovado","Reprovado",IF(ISERROR(SEARCH("Poço",D935)),IF(N935="","Erro",IF(Q935="Reprovado","",WORKDAY(N935,IF(D935="Operacional",10,3),FERIADOS!$A$3:$A$119))),"-")),"-")</f>
        <v>-</v>
      </c>
      <c r="P935" s="13"/>
      <c r="Q935" s="7"/>
      <c r="R935" s="13"/>
      <c r="S935" s="30"/>
      <c r="T935" s="43"/>
      <c r="W935" t="str">
        <f t="shared" si="404"/>
        <v>CDSPoço LL-81 (P-09)Poço PVT</v>
      </c>
      <c r="X9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6" spans="1:24" ht="12.5" x14ac:dyDescent="0.25">
      <c r="A936" s="8"/>
      <c r="B936" s="8" t="s">
        <v>145</v>
      </c>
      <c r="C936" s="5" t="s">
        <v>146</v>
      </c>
      <c r="D936" s="9" t="s">
        <v>72</v>
      </c>
      <c r="E936" s="36"/>
      <c r="F936" s="29" cm="1">
        <f t="array" ref="F936">IF(V936 &lt;&gt; "", V936, IFERROR(_xlfn.SINGLE(INDEX($G$1:G935,SUMPRODUCT(MAX(($W$1:W935=W936)*(ROW($W$1:W935))))))+IF(D936="Fiscal",30,90),""))</f>
        <v>46043</v>
      </c>
      <c r="G936" s="13">
        <v>46040</v>
      </c>
      <c r="H936" s="15">
        <f t="shared" si="401"/>
        <v>46050</v>
      </c>
      <c r="I936" s="15"/>
      <c r="J936" s="32"/>
      <c r="K936" s="15">
        <f t="shared" si="402"/>
        <v>46060</v>
      </c>
      <c r="L936" s="15"/>
      <c r="M936" s="15">
        <f t="shared" si="403"/>
        <v>46065</v>
      </c>
      <c r="N936" s="13">
        <v>46065</v>
      </c>
      <c r="O936" s="2">
        <f>IFERROR(IF(tblColetas[[#This Row],[Status Coleta]]="Reprovado","Reprovado",IF(ISERROR(SEARCH("Poço",D936)),IF(N936="","Erro",IF(Q936="Reprovado","",WORKDAY(N936,IF(D936="Operacional",10,3),FERIADOS!$A$3:$A$119))),"-")),"-")</f>
        <v>46070</v>
      </c>
      <c r="P936" s="13"/>
      <c r="Q936" s="7"/>
      <c r="R936" s="13"/>
      <c r="S936" s="30"/>
      <c r="T936" s="43"/>
      <c r="W936" t="str">
        <f t="shared" si="404"/>
        <v>ATD777-AP-1403 (Fuel Gas to Flare Stack)Fiscal</v>
      </c>
      <c r="X9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7" spans="1:24" ht="12.5" x14ac:dyDescent="0.25">
      <c r="A937" s="8"/>
      <c r="B937" s="8" t="s">
        <v>145</v>
      </c>
      <c r="C937" s="5" t="s">
        <v>147</v>
      </c>
      <c r="D937" s="9" t="s">
        <v>72</v>
      </c>
      <c r="E937" s="36"/>
      <c r="F937" s="29" cm="1">
        <f t="array" ref="F937">IF(V937 &lt;&gt; "", V937, IFERROR(_xlfn.SINGLE(INDEX($G$1:G936,SUMPRODUCT(MAX(($W$1:W936=W937)*(ROW($W$1:W936))))))+IF(D937="Fiscal",30,90),""))</f>
        <v>46043</v>
      </c>
      <c r="G937" s="13">
        <v>46040</v>
      </c>
      <c r="H937" s="15">
        <f t="shared" si="401"/>
        <v>46050</v>
      </c>
      <c r="I937" s="15"/>
      <c r="J937" s="32"/>
      <c r="K937" s="15">
        <f t="shared" si="402"/>
        <v>46060</v>
      </c>
      <c r="L937" s="15"/>
      <c r="M937" s="15">
        <f t="shared" si="403"/>
        <v>46065</v>
      </c>
      <c r="N937" s="13">
        <v>46065</v>
      </c>
      <c r="O937" s="2">
        <f>IFERROR(IF(tblColetas[[#This Row],[Status Coleta]]="Reprovado","Reprovado",IF(ISERROR(SEARCH("Poço",D937)),IF(N937="","Erro",IF(Q937="Reprovado","",WORKDAY(N937,IF(D937="Operacional",10,3),FERIADOS!$A$3:$A$119))),"-")),"-")</f>
        <v>46070</v>
      </c>
      <c r="P937" s="13"/>
      <c r="Q937" s="7"/>
      <c r="R937" s="13"/>
      <c r="S937" s="30"/>
      <c r="T937" s="43"/>
      <c r="W937" t="str">
        <f t="shared" si="404"/>
        <v>ATD777-AP-1506 (Fuel Gas)Fiscal</v>
      </c>
      <c r="X9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8" spans="1:24" ht="12.5" x14ac:dyDescent="0.25">
      <c r="A938" s="8"/>
      <c r="B938" s="8" t="s">
        <v>145</v>
      </c>
      <c r="C938" s="5" t="s">
        <v>148</v>
      </c>
      <c r="D938" s="9" t="s">
        <v>72</v>
      </c>
      <c r="E938" s="36"/>
      <c r="F938" s="29" cm="1">
        <f t="array" ref="F938">IF(V938 &lt;&gt; "", V938, IFERROR(_xlfn.SINGLE(INDEX($G$1:G937,SUMPRODUCT(MAX(($W$1:W937=W938)*(ROW($W$1:W937))))))+IF(D938="Fiscal",30,90),""))</f>
        <v>46043</v>
      </c>
      <c r="G938" s="13">
        <v>46040</v>
      </c>
      <c r="H938" s="15">
        <f t="shared" si="401"/>
        <v>46050</v>
      </c>
      <c r="I938" s="15"/>
      <c r="J938" s="32"/>
      <c r="K938" s="15">
        <f t="shared" si="402"/>
        <v>46060</v>
      </c>
      <c r="L938" s="15"/>
      <c r="M938" s="15">
        <f t="shared" si="403"/>
        <v>46065</v>
      </c>
      <c r="N938" s="13">
        <v>46065</v>
      </c>
      <c r="O938" s="2">
        <f>IFERROR(IF(tblColetas[[#This Row],[Status Coleta]]="Reprovado","Reprovado",IF(ISERROR(SEARCH("Poço",D938)),IF(N938="","Erro",IF(Q938="Reprovado","",WORKDAY(N938,IF(D938="Operacional",10,3),FERIADOS!$A$3:$A$119))),"-")),"-")</f>
        <v>46070</v>
      </c>
      <c r="P938" s="13"/>
      <c r="Q938" s="7"/>
      <c r="R938" s="13"/>
      <c r="S938" s="30"/>
      <c r="T938" s="43"/>
      <c r="W938" t="str">
        <f t="shared" si="404"/>
        <v>ATD776-AP-0018-2 (HP Flare)Fiscal</v>
      </c>
      <c r="X9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39" spans="1:24" ht="12.5" x14ac:dyDescent="0.25">
      <c r="A939" s="8"/>
      <c r="B939" s="8" t="s">
        <v>145</v>
      </c>
      <c r="C939" s="5" t="s">
        <v>149</v>
      </c>
      <c r="D939" s="9" t="s">
        <v>72</v>
      </c>
      <c r="E939" s="36"/>
      <c r="F939" s="29" cm="1">
        <f t="array" ref="F939">IF(V939 &lt;&gt; "", V939, IFERROR(_xlfn.SINGLE(INDEX($G$1:G938,SUMPRODUCT(MAX(($W$1:W938=W939)*(ROW($W$1:W938))))))+IF(D939="Fiscal",30,90),""))</f>
        <v>46043</v>
      </c>
      <c r="G939" s="13">
        <v>46040</v>
      </c>
      <c r="H939" s="15">
        <f t="shared" si="401"/>
        <v>46050</v>
      </c>
      <c r="I939" s="15"/>
      <c r="J939" s="32"/>
      <c r="K939" s="15">
        <f t="shared" si="402"/>
        <v>46060</v>
      </c>
      <c r="L939" s="15"/>
      <c r="M939" s="15">
        <f t="shared" si="403"/>
        <v>46065</v>
      </c>
      <c r="N939" s="13">
        <v>46065</v>
      </c>
      <c r="O939" s="2">
        <f>IFERROR(IF(tblColetas[[#This Row],[Status Coleta]]="Reprovado","Reprovado",IF(ISERROR(SEARCH("Poço",D939)),IF(N939="","Erro",IF(Q939="Reprovado","",WORKDAY(N939,IF(D939="Operacional",10,3),FERIADOS!$A$3:$A$119))),"-")),"-")</f>
        <v>46070</v>
      </c>
      <c r="P939" s="13"/>
      <c r="Q939" s="7"/>
      <c r="R939" s="13"/>
      <c r="S939" s="30"/>
      <c r="T939" s="43"/>
      <c r="W939" t="str">
        <f t="shared" si="404"/>
        <v>ATD776-AP-0036-2 (LP Flare)Fiscal</v>
      </c>
      <c r="X9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0" spans="1:24" ht="12.5" x14ac:dyDescent="0.25">
      <c r="A940" s="8"/>
      <c r="B940" s="8" t="s">
        <v>145</v>
      </c>
      <c r="C940" s="5" t="s">
        <v>151</v>
      </c>
      <c r="D940" s="9" t="s">
        <v>72</v>
      </c>
      <c r="E940" s="36"/>
      <c r="F940" s="29" cm="1">
        <f t="array" ref="F940">IF(V940 &lt;&gt; "", V940, IFERROR(_xlfn.SINGLE(INDEX($G$1:G939,SUMPRODUCT(MAX(($W$1:W939=W940)*(ROW($W$1:W939))))))+IF(D940="Fiscal",30,90),""))</f>
        <v>46043</v>
      </c>
      <c r="G940" s="13">
        <v>46040</v>
      </c>
      <c r="H940" s="15">
        <f t="shared" si="401"/>
        <v>46050</v>
      </c>
      <c r="I940" s="15"/>
      <c r="J940" s="32"/>
      <c r="K940" s="15">
        <f t="shared" si="402"/>
        <v>46060</v>
      </c>
      <c r="L940" s="15"/>
      <c r="M940" s="15">
        <f t="shared" si="403"/>
        <v>46065</v>
      </c>
      <c r="N940" s="13">
        <v>46065</v>
      </c>
      <c r="O940" s="2">
        <f>IFERROR(IF(tblColetas[[#This Row],[Status Coleta]]="Reprovado","Reprovado",IF(ISERROR(SEARCH("Poço",D940)),IF(N940="","Erro",IF(Q940="Reprovado","",WORKDAY(N940,IF(D940="Operacional",10,3),FERIADOS!$A$3:$A$119))),"-")),"-")</f>
        <v>46070</v>
      </c>
      <c r="P940" s="13"/>
      <c r="Q940" s="7"/>
      <c r="R940" s="13"/>
      <c r="S940" s="30"/>
      <c r="T940" s="43"/>
      <c r="W940" t="str">
        <f t="shared" si="404"/>
        <v>ATD776-AP-7001 (Flare Assist)Fiscal</v>
      </c>
      <c r="X9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1" spans="1:24" ht="12.5" x14ac:dyDescent="0.25">
      <c r="A941" s="10"/>
      <c r="B941" s="10" t="s">
        <v>38</v>
      </c>
      <c r="C941" s="6" t="s">
        <v>261</v>
      </c>
      <c r="D941" s="11" t="s">
        <v>26</v>
      </c>
      <c r="E941" s="36"/>
      <c r="F941" s="25" t="str" cm="1">
        <f t="array" ref="F941">IF(V941 &lt;&gt; "", V941, IFERROR(_xlfn.SINGLE(INDEX($G$1:G940,SUMPRODUCT(MAX(($W$1:W940=W941)*(ROW($W$1:W940))))))+IF(D941="Fiscal",30,90),""))</f>
        <v/>
      </c>
      <c r="G941" s="12">
        <v>46015</v>
      </c>
      <c r="H941" s="15">
        <f t="shared" si="401"/>
        <v>46025</v>
      </c>
      <c r="I941" s="15">
        <v>46018</v>
      </c>
      <c r="J941" s="32" t="s">
        <v>233</v>
      </c>
      <c r="K941" s="15">
        <f t="shared" si="402"/>
        <v>46035</v>
      </c>
      <c r="L941" s="15">
        <v>46029</v>
      </c>
      <c r="M941" s="14">
        <f t="shared" si="403"/>
        <v>46040</v>
      </c>
      <c r="N941" s="12">
        <v>46039</v>
      </c>
      <c r="O941" s="1" t="str">
        <f>IFERROR(IF(tblColetas[[#This Row],[Status Coleta]]="Reprovado","Reprovado",IF(ISERROR(SEARCH("Poço",D941)),IF(N941="","Erro",IF(Q941="Reprovado","",WORKDAY(N941,IF(D941="Operacional",10,3),FERIADOS!$A$3:$A$119))),"-")),"-")</f>
        <v>-</v>
      </c>
      <c r="P941" s="12"/>
      <c r="Q941" s="7"/>
      <c r="R941" s="12"/>
      <c r="S941" s="27"/>
      <c r="T941" s="42"/>
      <c r="W941" t="str">
        <f t="shared" si="404"/>
        <v>CDPPoço TUP-127 (P-05)Poço CG</v>
      </c>
      <c r="X9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2" spans="1:24" ht="12.5" x14ac:dyDescent="0.25">
      <c r="A942" s="10"/>
      <c r="B942" s="10" t="s">
        <v>38</v>
      </c>
      <c r="C942" s="6" t="s">
        <v>261</v>
      </c>
      <c r="D942" s="11" t="s">
        <v>29</v>
      </c>
      <c r="E942" s="36"/>
      <c r="F942" s="25" t="str" cm="1">
        <f t="array" ref="F942">IF(V942 &lt;&gt; "", V942, IFERROR(_xlfn.SINGLE(INDEX($G$1:G941,SUMPRODUCT(MAX(($W$1:W941=W942)*(ROW($W$1:W941))))))+IF(D942="Fiscal",30,90),""))</f>
        <v/>
      </c>
      <c r="G942" s="12">
        <v>46015</v>
      </c>
      <c r="H942" s="15">
        <f t="shared" si="401"/>
        <v>46025</v>
      </c>
      <c r="I942" s="15">
        <v>46018</v>
      </c>
      <c r="J942" s="32" t="s">
        <v>233</v>
      </c>
      <c r="K942" s="15">
        <f t="shared" si="402"/>
        <v>46035</v>
      </c>
      <c r="L942" s="15">
        <v>46029</v>
      </c>
      <c r="M942" s="14">
        <f t="shared" si="403"/>
        <v>46040</v>
      </c>
      <c r="N942" s="12">
        <v>46039</v>
      </c>
      <c r="O942" s="1" t="str">
        <f>IFERROR(IF(tblColetas[[#This Row],[Status Coleta]]="Reprovado","Reprovado",IF(ISERROR(SEARCH("Poço",D942)),IF(N942="","Erro",IF(Q942="Reprovado","",WORKDAY(N942,IF(D942="Operacional",10,3),FERIADOS!$A$3:$A$119))),"-")),"-")</f>
        <v>-</v>
      </c>
      <c r="P942" s="12"/>
      <c r="Q942" s="7"/>
      <c r="R942" s="12"/>
      <c r="S942" s="27"/>
      <c r="T942" s="42"/>
      <c r="W942" t="str">
        <f t="shared" si="404"/>
        <v>CDPPoço TUP-127 (P-05)Poço PVT</v>
      </c>
      <c r="X9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3" spans="1:24" ht="12.5" x14ac:dyDescent="0.25">
      <c r="A943" s="8"/>
      <c r="B943" s="8" t="s">
        <v>38</v>
      </c>
      <c r="C943" s="5" t="s">
        <v>261</v>
      </c>
      <c r="D943" s="9" t="s">
        <v>26</v>
      </c>
      <c r="E943" s="36"/>
      <c r="F943" s="29" cm="1">
        <f t="array" ref="F943">IF(V943 &lt;&gt; "", V943, IFERROR(_xlfn.SINGLE(INDEX($G$1:G942,SUMPRODUCT(MAX(($W$1:W942=W943)*(ROW($W$1:W942))))))+IF(D943="Fiscal",30,90),""))</f>
        <v>46105</v>
      </c>
      <c r="G943" s="13"/>
      <c r="H943" s="15" t="str">
        <f t="shared" si="401"/>
        <v>Erro</v>
      </c>
      <c r="I943" s="15"/>
      <c r="J943" s="32"/>
      <c r="K943" s="15" t="str">
        <f t="shared" si="402"/>
        <v>Erro</v>
      </c>
      <c r="L943" s="15"/>
      <c r="M943" s="15" t="str">
        <f t="shared" si="403"/>
        <v>Erro</v>
      </c>
      <c r="N943" s="13"/>
      <c r="O943" s="2" t="str">
        <f>IFERROR(IF(tblColetas[[#This Row],[Status Coleta]]="Reprovado","Reprovado",IF(ISERROR(SEARCH("Poço",D943)),IF(N943="","Erro",IF(Q943="Reprovado","",WORKDAY(N943,IF(D943="Operacional",10,3),FERIADOS!$A$3:$A$119))),"-")),"-")</f>
        <v>-</v>
      </c>
      <c r="P943" s="13"/>
      <c r="Q943" s="7"/>
      <c r="R943" s="13"/>
      <c r="S943" s="30"/>
      <c r="T943" s="43"/>
      <c r="W943" t="str">
        <f t="shared" si="404"/>
        <v>CDPPoço TUP-127 (P-05)Poço CG</v>
      </c>
      <c r="X9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4" spans="1:24" ht="12.5" x14ac:dyDescent="0.25">
      <c r="A944" s="8"/>
      <c r="B944" s="8" t="s">
        <v>38</v>
      </c>
      <c r="C944" s="5" t="s">
        <v>261</v>
      </c>
      <c r="D944" s="9" t="s">
        <v>29</v>
      </c>
      <c r="E944" s="36"/>
      <c r="F944" s="29" cm="1">
        <f t="array" ref="F944">IF(V944 &lt;&gt; "", V944, IFERROR(_xlfn.SINGLE(INDEX($G$1:G943,SUMPRODUCT(MAX(($W$1:W943=W944)*(ROW($W$1:W943))))))+IF(D944="Fiscal",30,90),""))</f>
        <v>46105</v>
      </c>
      <c r="G944" s="13"/>
      <c r="H944" s="15" t="str">
        <f t="shared" si="401"/>
        <v>Erro</v>
      </c>
      <c r="I944" s="15"/>
      <c r="J944" s="32"/>
      <c r="K944" s="15" t="str">
        <f t="shared" si="402"/>
        <v>Erro</v>
      </c>
      <c r="L944" s="15"/>
      <c r="M944" s="15" t="str">
        <f t="shared" si="403"/>
        <v>Erro</v>
      </c>
      <c r="N944" s="13"/>
      <c r="O944" s="2" t="str">
        <f>IFERROR(IF(tblColetas[[#This Row],[Status Coleta]]="Reprovado","Reprovado",IF(ISERROR(SEARCH("Poço",D944)),IF(N944="","Erro",IF(Q944="Reprovado","",WORKDAY(N944,IF(D944="Operacional",10,3),FERIADOS!$A$3:$A$119))),"-")),"-")</f>
        <v>-</v>
      </c>
      <c r="P944" s="13"/>
      <c r="Q944" s="7"/>
      <c r="R944" s="13"/>
      <c r="S944" s="30"/>
      <c r="T944" s="43"/>
      <c r="W944" t="str">
        <f t="shared" si="404"/>
        <v>CDPPoço TUP-127 (P-05)Poço PVT</v>
      </c>
      <c r="X9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5" spans="1:24" ht="12.5" x14ac:dyDescent="0.25">
      <c r="A945" s="19"/>
      <c r="B945" s="19" t="s">
        <v>52</v>
      </c>
      <c r="C945" s="5" t="s">
        <v>121</v>
      </c>
      <c r="D945" s="20" t="s">
        <v>70</v>
      </c>
      <c r="E945" s="35"/>
      <c r="F945" s="29" cm="1">
        <f t="array" ref="F945">IF(V945 &lt;&gt; "", V945, IFERROR(_xlfn.SINGLE(INDEX($G$1:G944,SUMPRODUCT(MAX(($W$1:W944=W945)*(ROW($W$1:W944))))))+IF(D945="Fiscal",30,90),""))</f>
        <v>46084</v>
      </c>
      <c r="G945" s="21"/>
      <c r="H945" s="15" t="str">
        <f t="shared" ref="H945:H953" si="405">IF(G945="","Erro", G945+10)</f>
        <v>Erro</v>
      </c>
      <c r="I945" s="15"/>
      <c r="J945" s="32"/>
      <c r="K945" s="15" t="str">
        <f t="shared" ref="K945:K953" si="406">IF(G945="","Erro",G945+20)</f>
        <v>Erro</v>
      </c>
      <c r="L945" s="15"/>
      <c r="M945" s="15" t="str">
        <f t="shared" ref="M945:M953" si="407">IF(G945="","Erro",G945+IF(D945="Operacional",45,25))</f>
        <v>Erro</v>
      </c>
      <c r="N945" s="13"/>
      <c r="O945" s="2" t="str">
        <f>IFERROR(IF(tblColetas[[#This Row],[Status Coleta]]="Reprovado","Reprovado",IF(ISERROR(SEARCH("Poço",D945)),IF(N945="","Erro",IF(Q945="Reprovado","",WORKDAY(N945,IF(D945="Operacional",10,3),FERIADOS!$A$3:$A$119))),"-")),"-")</f>
        <v>Erro</v>
      </c>
      <c r="P945" s="21"/>
      <c r="Q945" s="7"/>
      <c r="R945" s="13"/>
      <c r="S945" s="30"/>
      <c r="T945" s="43"/>
      <c r="W945" t="str">
        <f t="shared" ref="W945:W953" si="408">B945&amp;C945&amp;D945</f>
        <v>SEP773-AP-0011 (Gas Lift Total)Gas Lift</v>
      </c>
      <c r="X9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6" spans="1:24" ht="12.5" x14ac:dyDescent="0.25">
      <c r="A946" s="19"/>
      <c r="B946" s="19" t="s">
        <v>31</v>
      </c>
      <c r="C946" s="5" t="s">
        <v>122</v>
      </c>
      <c r="D946" s="20" t="s">
        <v>72</v>
      </c>
      <c r="E946" s="35"/>
      <c r="F946" s="29" cm="1">
        <f t="array" ref="F946">IF(V946 &lt;&gt; "", V946, IFERROR(_xlfn.SINGLE(INDEX($G$1:G945,SUMPRODUCT(MAX(($W$1:W945=W946)*(ROW($W$1:W945))))))+IF(D946="Fiscal",30,90),""))</f>
        <v>46045</v>
      </c>
      <c r="G946" s="21">
        <v>46044</v>
      </c>
      <c r="H946" s="15">
        <f t="shared" si="405"/>
        <v>46054</v>
      </c>
      <c r="I946" s="15"/>
      <c r="J946" s="32"/>
      <c r="K946" s="15">
        <f t="shared" si="406"/>
        <v>46064</v>
      </c>
      <c r="L946" s="15"/>
      <c r="M946" s="15">
        <f t="shared" si="407"/>
        <v>46069</v>
      </c>
      <c r="N946" s="13"/>
      <c r="O946" s="2" t="str">
        <f>IFERROR(IF(tblColetas[[#This Row],[Status Coleta]]="Reprovado","Reprovado",IF(ISERROR(SEARCH("Poço",D946)),IF(N946="","Erro",IF(Q946="Reprovado","",WORKDAY(N946,IF(D946="Operacional",10,3),FERIADOS!$A$3:$A$119))),"-")),"-")</f>
        <v>Erro</v>
      </c>
      <c r="P946" s="21"/>
      <c r="Q946" s="7"/>
      <c r="R946" s="13"/>
      <c r="S946" s="30"/>
      <c r="T946" s="43"/>
      <c r="W946" t="str">
        <f t="shared" si="408"/>
        <v>CDIT77-FT-6911 (Export gas)Fiscal</v>
      </c>
      <c r="X9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7" spans="1:24" ht="12.5" x14ac:dyDescent="0.25">
      <c r="A947" s="19"/>
      <c r="B947" s="19" t="s">
        <v>31</v>
      </c>
      <c r="C947" s="5" t="s">
        <v>71</v>
      </c>
      <c r="D947" s="20" t="s">
        <v>72</v>
      </c>
      <c r="E947" s="35"/>
      <c r="F947" s="29" cm="1">
        <f t="array" ref="F947">IF(V947 &lt;&gt; "", V947, IFERROR(_xlfn.SINGLE(INDEX($G$1:G946,SUMPRODUCT(MAX(($W$1:W946=W947)*(ROW($W$1:W946))))))+IF(D947="Fiscal",30,90),""))</f>
        <v>46045</v>
      </c>
      <c r="G947" s="21">
        <v>46044</v>
      </c>
      <c r="H947" s="15">
        <f t="shared" si="405"/>
        <v>46054</v>
      </c>
      <c r="I947" s="15"/>
      <c r="J947" s="32"/>
      <c r="K947" s="15">
        <f t="shared" si="406"/>
        <v>46064</v>
      </c>
      <c r="L947" s="15"/>
      <c r="M947" s="15">
        <f t="shared" si="407"/>
        <v>46069</v>
      </c>
      <c r="N947" s="13"/>
      <c r="O947" s="2" t="str">
        <f>IFERROR(IF(tblColetas[[#This Row],[Status Coleta]]="Reprovado","Reprovado",IF(ISERROR(SEARCH("Poço",D947)),IF(N947="","Erro",IF(Q947="Reprovado","",WORKDAY(N947,IF(D947="Operacional",10,3),FERIADOS!$A$3:$A$119))),"-")),"-")</f>
        <v>Erro</v>
      </c>
      <c r="P947" s="21"/>
      <c r="Q947" s="7"/>
      <c r="R947" s="13"/>
      <c r="S947" s="30"/>
      <c r="T947" s="43"/>
      <c r="W947" t="str">
        <f t="shared" si="408"/>
        <v>CDIT77-FT-0103 (Fuel Gas)Fiscal</v>
      </c>
      <c r="X9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8" spans="1:24" ht="12.5" x14ac:dyDescent="0.25">
      <c r="A948" s="19"/>
      <c r="B948" s="19" t="s">
        <v>31</v>
      </c>
      <c r="C948" s="5" t="s">
        <v>74</v>
      </c>
      <c r="D948" s="20" t="s">
        <v>72</v>
      </c>
      <c r="E948" s="35"/>
      <c r="F948" s="29" cm="1">
        <f t="array" ref="F948">IF(V948 &lt;&gt; "", V948, IFERROR(_xlfn.SINGLE(INDEX($G$1:G947,SUMPRODUCT(MAX(($W$1:W947=W948)*(ROW($W$1:W947))))))+IF(D948="Fiscal",30,90),""))</f>
        <v>46045</v>
      </c>
      <c r="G948" s="21">
        <v>46045</v>
      </c>
      <c r="H948" s="15">
        <f t="shared" si="405"/>
        <v>46055</v>
      </c>
      <c r="I948" s="15"/>
      <c r="J948" s="32"/>
      <c r="K948" s="15">
        <f t="shared" si="406"/>
        <v>46065</v>
      </c>
      <c r="L948" s="15"/>
      <c r="M948" s="15">
        <f t="shared" si="407"/>
        <v>46070</v>
      </c>
      <c r="N948" s="13"/>
      <c r="O948" s="2" t="str">
        <f>IFERROR(IF(tblColetas[[#This Row],[Status Coleta]]="Reprovado","Reprovado",IF(ISERROR(SEARCH("Poço",D948)),IF(N948="","Erro",IF(Q948="Reprovado","",WORKDAY(N948,IF(D948="Operacional",10,3),FERIADOS!$A$3:$A$119))),"-")),"-")</f>
        <v>Erro</v>
      </c>
      <c r="P948" s="21"/>
      <c r="Q948" s="7"/>
      <c r="R948" s="13"/>
      <c r="S948" s="30"/>
      <c r="T948" s="43"/>
      <c r="W948" t="str">
        <f t="shared" si="408"/>
        <v>CDIT76-FT-0014 (HP Flare)Fiscal</v>
      </c>
      <c r="X9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49" spans="1:24" ht="12.5" x14ac:dyDescent="0.25">
      <c r="A949" s="19"/>
      <c r="B949" s="19" t="s">
        <v>31</v>
      </c>
      <c r="C949" s="5" t="s">
        <v>75</v>
      </c>
      <c r="D949" s="20" t="s">
        <v>72</v>
      </c>
      <c r="E949" s="35"/>
      <c r="F949" s="29" cm="1">
        <f t="array" ref="F949">IF(V949 &lt;&gt; "", V949, IFERROR(_xlfn.SINGLE(INDEX($G$1:G948,SUMPRODUCT(MAX(($W$1:W948=W949)*(ROW($W$1:W948))))))+IF(D949="Fiscal",30,90),""))</f>
        <v>46045</v>
      </c>
      <c r="G949" s="21">
        <v>46045</v>
      </c>
      <c r="H949" s="15">
        <f t="shared" si="405"/>
        <v>46055</v>
      </c>
      <c r="I949" s="15"/>
      <c r="J949" s="32"/>
      <c r="K949" s="15">
        <f t="shared" si="406"/>
        <v>46065</v>
      </c>
      <c r="L949" s="15"/>
      <c r="M949" s="15">
        <f t="shared" si="407"/>
        <v>46070</v>
      </c>
      <c r="N949" s="13"/>
      <c r="O949" s="2" t="str">
        <f>IFERROR(IF(tblColetas[[#This Row],[Status Coleta]]="Reprovado","Reprovado",IF(ISERROR(SEARCH("Poço",D949)),IF(N949="","Erro",IF(Q949="Reprovado","",WORKDAY(N949,IF(D949="Operacional",10,3),FERIADOS!$A$3:$A$119))),"-")),"-")</f>
        <v>Erro</v>
      </c>
      <c r="P949" s="21"/>
      <c r="Q949" s="7"/>
      <c r="R949" s="13"/>
      <c r="S949" s="30"/>
      <c r="T949" s="43"/>
      <c r="W949" t="str">
        <f t="shared" si="408"/>
        <v>CDIT76-FT-0034 (LP Flare)Fiscal</v>
      </c>
      <c r="X9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0" spans="1:24" ht="12.5" x14ac:dyDescent="0.25">
      <c r="A950" s="19"/>
      <c r="B950" s="19" t="s">
        <v>31</v>
      </c>
      <c r="C950" s="5" t="s">
        <v>87</v>
      </c>
      <c r="D950" s="20" t="s">
        <v>26</v>
      </c>
      <c r="E950" s="35"/>
      <c r="F950" s="29" cm="1">
        <f t="array" ref="F950">IF(V950 &lt;&gt; "", V950, IFERROR(_xlfn.SINGLE(INDEX($G$1:G949,SUMPRODUCT(MAX(($W$1:W949=W950)*(ROW($W$1:W949))))))+IF(D950="Fiscal",30,90),""))</f>
        <v>46017</v>
      </c>
      <c r="G950" s="21">
        <v>46017</v>
      </c>
      <c r="H950" s="15">
        <f t="shared" si="405"/>
        <v>46027</v>
      </c>
      <c r="I950" s="15">
        <v>46019</v>
      </c>
      <c r="J950" s="32" t="s">
        <v>200</v>
      </c>
      <c r="K950" s="15">
        <f t="shared" si="406"/>
        <v>46037</v>
      </c>
      <c r="L950" s="15">
        <v>46029</v>
      </c>
      <c r="M950" s="15">
        <f t="shared" si="407"/>
        <v>46042</v>
      </c>
      <c r="N950" s="13">
        <v>46042</v>
      </c>
      <c r="O950" s="2" t="str">
        <f>IFERROR(IF(tblColetas[[#This Row],[Status Coleta]]="Reprovado","Reprovado",IF(ISERROR(SEARCH("Poço",D950)),IF(N950="","Erro",IF(Q950="Reprovado","",WORKDAY(N950,IF(D950="Operacional",10,3),FERIADOS!$A$3:$A$119))),"-")),"-")</f>
        <v>-</v>
      </c>
      <c r="P950" s="21"/>
      <c r="Q950" s="7" t="s">
        <v>37</v>
      </c>
      <c r="R950" s="13"/>
      <c r="S950" s="30"/>
      <c r="T950" s="43"/>
      <c r="V950" s="50">
        <v>46017</v>
      </c>
      <c r="W950" t="str">
        <f t="shared" si="408"/>
        <v>CDIPoço SPH-8 (P-4)Poço CG</v>
      </c>
      <c r="X9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1" spans="1:24" ht="12.5" x14ac:dyDescent="0.25">
      <c r="A951" s="19"/>
      <c r="B951" s="19" t="s">
        <v>31</v>
      </c>
      <c r="C951" s="5" t="s">
        <v>87</v>
      </c>
      <c r="D951" s="20" t="s">
        <v>29</v>
      </c>
      <c r="E951" s="35"/>
      <c r="F951" s="29" cm="1">
        <f t="array" ref="F951">IF(V951 &lt;&gt; "", V951, IFERROR(_xlfn.SINGLE(INDEX($G$1:G950,SUMPRODUCT(MAX(($W$1:W950=W951)*(ROW($W$1:W950))))))+IF(D951="Fiscal",30,90),""))</f>
        <v>46017</v>
      </c>
      <c r="G951" s="21">
        <v>46017</v>
      </c>
      <c r="H951" s="15">
        <f t="shared" si="405"/>
        <v>46027</v>
      </c>
      <c r="I951" s="15">
        <v>46019</v>
      </c>
      <c r="J951" s="32" t="s">
        <v>200</v>
      </c>
      <c r="K951" s="15">
        <f t="shared" si="406"/>
        <v>46037</v>
      </c>
      <c r="L951" s="15">
        <v>46029</v>
      </c>
      <c r="M951" s="15">
        <f t="shared" si="407"/>
        <v>46042</v>
      </c>
      <c r="N951" s="13">
        <v>46042</v>
      </c>
      <c r="O951" s="2" t="str">
        <f>IFERROR(IF(tblColetas[[#This Row],[Status Coleta]]="Reprovado","Reprovado",IF(ISERROR(SEARCH("Poço",D951)),IF(N951="","Erro",IF(Q951="Reprovado","",WORKDAY(N951,IF(D951="Operacional",10,3),FERIADOS!$A$3:$A$119))),"-")),"-")</f>
        <v>Reprovado</v>
      </c>
      <c r="P951" s="21"/>
      <c r="Q951" s="7" t="s">
        <v>81</v>
      </c>
      <c r="R951" s="13"/>
      <c r="S951" s="30"/>
      <c r="T951" s="43"/>
      <c r="V951" s="50">
        <v>46017</v>
      </c>
      <c r="W951" t="str">
        <f t="shared" si="408"/>
        <v>CDIPoço SPH-8 (P-4)Poço PVT</v>
      </c>
      <c r="X9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2" spans="1:24" ht="12.5" x14ac:dyDescent="0.25">
      <c r="A952" s="19"/>
      <c r="B952" s="19" t="s">
        <v>31</v>
      </c>
      <c r="C952" s="5" t="s">
        <v>87</v>
      </c>
      <c r="D952" s="20" t="s">
        <v>26</v>
      </c>
      <c r="E952" s="35"/>
      <c r="F952" s="29" cm="1">
        <f t="array" ref="F952">IF(V952 &lt;&gt; "", V952, IFERROR(_xlfn.SINGLE(INDEX($G$1:G951,SUMPRODUCT(MAX(($W$1:W951=W952)*(ROW($W$1:W951))))))+IF(D952="Fiscal",30,90),""))</f>
        <v>46107</v>
      </c>
      <c r="G952" s="21">
        <v>46037</v>
      </c>
      <c r="H952" s="15">
        <f t="shared" si="405"/>
        <v>46047</v>
      </c>
      <c r="I952" s="15">
        <v>46040</v>
      </c>
      <c r="J952" s="32" t="s">
        <v>254</v>
      </c>
      <c r="K952" s="15">
        <f t="shared" si="406"/>
        <v>46057</v>
      </c>
      <c r="L952" s="15">
        <v>46048</v>
      </c>
      <c r="M952" s="15">
        <f t="shared" si="407"/>
        <v>46062</v>
      </c>
      <c r="N952" s="13">
        <v>46062</v>
      </c>
      <c r="O952" s="2" t="str">
        <f>IFERROR(IF(tblColetas[[#This Row],[Status Coleta]]="Reprovado","Reprovado",IF(ISERROR(SEARCH("Poço",D952)),IF(N952="","Erro",IF(Q952="Reprovado","",WORKDAY(N952,IF(D952="Operacional",10,3),FERIADOS!$A$3:$A$119))),"-")),"-")</f>
        <v>-</v>
      </c>
      <c r="P952" s="21"/>
      <c r="Q952" s="7"/>
      <c r="R952" s="13"/>
      <c r="S952" s="30"/>
      <c r="T952" s="43"/>
      <c r="W952" t="str">
        <f t="shared" si="408"/>
        <v>CDIPoço SPH-8 (P-4)Poço CG</v>
      </c>
      <c r="X9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3" spans="1:24" ht="12.5" x14ac:dyDescent="0.25">
      <c r="A953" s="19"/>
      <c r="B953" s="19" t="s">
        <v>31</v>
      </c>
      <c r="C953" s="5" t="s">
        <v>87</v>
      </c>
      <c r="D953" s="20" t="s">
        <v>29</v>
      </c>
      <c r="E953" s="35"/>
      <c r="F953" s="29" cm="1">
        <f t="array" ref="F953">IF(V953 &lt;&gt; "", V953, IFERROR(_xlfn.SINGLE(INDEX($G$1:G952,SUMPRODUCT(MAX(($W$1:W952=W953)*(ROW($W$1:W952))))))+IF(D953="Fiscal",30,90),""))</f>
        <v>46107</v>
      </c>
      <c r="G953" s="21">
        <v>46037</v>
      </c>
      <c r="H953" s="15">
        <f t="shared" si="405"/>
        <v>46047</v>
      </c>
      <c r="I953" s="15">
        <v>46040</v>
      </c>
      <c r="J953" s="32" t="s">
        <v>254</v>
      </c>
      <c r="K953" s="15">
        <f t="shared" si="406"/>
        <v>46057</v>
      </c>
      <c r="L953" s="15">
        <v>46048</v>
      </c>
      <c r="M953" s="15">
        <f t="shared" si="407"/>
        <v>46062</v>
      </c>
      <c r="N953" s="13">
        <v>46062</v>
      </c>
      <c r="O953" s="2" t="str">
        <f>IFERROR(IF(tblColetas[[#This Row],[Status Coleta]]="Reprovado","Reprovado",IF(ISERROR(SEARCH("Poço",D953)),IF(N953="","Erro",IF(Q953="Reprovado","",WORKDAY(N953,IF(D953="Operacional",10,3),FERIADOS!$A$3:$A$119))),"-")),"-")</f>
        <v>-</v>
      </c>
      <c r="P953" s="21"/>
      <c r="Q953" s="7"/>
      <c r="R953" s="13"/>
      <c r="S953" s="30"/>
      <c r="T953" s="43"/>
      <c r="W953" t="str">
        <f t="shared" si="408"/>
        <v>CDIPoço SPH-8 (P-4)Poço PVT</v>
      </c>
      <c r="X9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4" spans="1:24" ht="12.5" x14ac:dyDescent="0.25">
      <c r="A954" s="19"/>
      <c r="B954" s="19" t="s">
        <v>38</v>
      </c>
      <c r="C954" s="5" t="s">
        <v>96</v>
      </c>
      <c r="D954" s="20" t="s">
        <v>26</v>
      </c>
      <c r="E954" s="35"/>
      <c r="F954" s="29" cm="1">
        <f t="array" ref="F954">IF(V954 &lt;&gt; "", V954, IFERROR(_xlfn.SINGLE(INDEX($G$1:G953,SUMPRODUCT(MAX(($W$1:W953=W954)*(ROW($W$1:W953))))))+IF(D954="Fiscal",30,90),""))</f>
        <v>46106</v>
      </c>
      <c r="G954" s="21"/>
      <c r="H954" s="15" t="str">
        <f t="shared" ref="H954:H963" si="409">IF(G954="","Erro", G954+10)</f>
        <v>Erro</v>
      </c>
      <c r="I954" s="15"/>
      <c r="J954" s="32"/>
      <c r="K954" s="15" t="str">
        <f t="shared" ref="K954:K963" si="410">IF(G954="","Erro",G954+20)</f>
        <v>Erro</v>
      </c>
      <c r="L954" s="15"/>
      <c r="M954" s="15" t="str">
        <f t="shared" ref="M954:M963" si="411">IF(G954="","Erro",G954+IF(D954="Operacional",45,25))</f>
        <v>Erro</v>
      </c>
      <c r="N954" s="13"/>
      <c r="O954" s="2" t="str">
        <f>IFERROR(IF(tblColetas[[#This Row],[Status Coleta]]="Reprovado","Reprovado",IF(ISERROR(SEARCH("Poço",D954)),IF(N954="","Erro",IF(Q954="Reprovado","",WORKDAY(N954,IF(D954="Operacional",10,3),FERIADOS!$A$3:$A$119))),"-")),"-")</f>
        <v>-</v>
      </c>
      <c r="P954" s="21"/>
      <c r="Q954" s="7"/>
      <c r="R954" s="13"/>
      <c r="S954" s="30"/>
      <c r="T954" s="43"/>
      <c r="W954" t="str">
        <f t="shared" ref="W954:W963" si="412">B954&amp;C954&amp;D954</f>
        <v>CDPPoço TUP-120 (P-7)Poço CG</v>
      </c>
      <c r="X9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5" spans="1:24" ht="12.5" x14ac:dyDescent="0.25">
      <c r="A955" s="19"/>
      <c r="B955" s="19" t="s">
        <v>38</v>
      </c>
      <c r="C955" s="5" t="s">
        <v>96</v>
      </c>
      <c r="D955" s="20" t="s">
        <v>29</v>
      </c>
      <c r="E955" s="35"/>
      <c r="F955" s="29" cm="1">
        <f t="array" ref="F955">IF(V955 &lt;&gt; "", V955, IFERROR(_xlfn.SINGLE(INDEX($G$1:G954,SUMPRODUCT(MAX(($W$1:W954=W955)*(ROW($W$1:W954))))))+IF(D955="Fiscal",30,90),""))</f>
        <v>46106</v>
      </c>
      <c r="G955" s="21"/>
      <c r="H955" s="15" t="str">
        <f t="shared" si="409"/>
        <v>Erro</v>
      </c>
      <c r="I955" s="15"/>
      <c r="J955" s="32"/>
      <c r="K955" s="15" t="str">
        <f t="shared" si="410"/>
        <v>Erro</v>
      </c>
      <c r="L955" s="15"/>
      <c r="M955" s="15" t="str">
        <f t="shared" si="411"/>
        <v>Erro</v>
      </c>
      <c r="N955" s="13"/>
      <c r="O955" s="2" t="str">
        <f>IFERROR(IF(tblColetas[[#This Row],[Status Coleta]]="Reprovado","Reprovado",IF(ISERROR(SEARCH("Poço",D955)),IF(N955="","Erro",IF(Q955="Reprovado","",WORKDAY(N955,IF(D955="Operacional",10,3),FERIADOS!$A$3:$A$119))),"-")),"-")</f>
        <v>-</v>
      </c>
      <c r="P955" s="21"/>
      <c r="Q955" s="7"/>
      <c r="R955" s="13"/>
      <c r="S955" s="30"/>
      <c r="T955" s="43"/>
      <c r="W955" t="str">
        <f t="shared" si="412"/>
        <v>CDPPoço TUP-120 (P-7)Poço PVT</v>
      </c>
      <c r="X9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6" spans="1:24" ht="12.5" x14ac:dyDescent="0.25">
      <c r="A956" s="19"/>
      <c r="B956" s="19" t="s">
        <v>145</v>
      </c>
      <c r="C956" s="5" t="s">
        <v>249</v>
      </c>
      <c r="D956" s="20" t="s">
        <v>26</v>
      </c>
      <c r="E956" s="35"/>
      <c r="F956" s="29" cm="1">
        <f t="array" ref="F956">IF(V956 &lt;&gt; "", V956, IFERROR(_xlfn.SINGLE(INDEX($G$1:G955,SUMPRODUCT(MAX(($W$1:W955=W956)*(ROW($W$1:W955))))))+IF(D956="Fiscal",30,90),""))</f>
        <v>46109</v>
      </c>
      <c r="G956" s="21"/>
      <c r="H956" s="15" t="str">
        <f t="shared" si="409"/>
        <v>Erro</v>
      </c>
      <c r="I956" s="15"/>
      <c r="J956" s="32"/>
      <c r="K956" s="15" t="str">
        <f t="shared" si="410"/>
        <v>Erro</v>
      </c>
      <c r="L956" s="15"/>
      <c r="M956" s="15" t="str">
        <f t="shared" si="411"/>
        <v>Erro</v>
      </c>
      <c r="N956" s="13"/>
      <c r="O956" s="2" t="str">
        <f>IFERROR(IF(tblColetas[[#This Row],[Status Coleta]]="Reprovado","Reprovado",IF(ISERROR(SEARCH("Poço",D956)),IF(N956="","Erro",IF(Q956="Reprovado","",WORKDAY(N956,IF(D956="Operacional",10,3),FERIADOS!$A$3:$A$119))),"-")),"-")</f>
        <v>-</v>
      </c>
      <c r="P956" s="21"/>
      <c r="Q956" s="7"/>
      <c r="R956" s="13"/>
      <c r="S956" s="30"/>
      <c r="T956" s="43"/>
      <c r="W956" t="str">
        <f t="shared" si="412"/>
        <v>ATDPoço 7-BUZ-41D-RJS (PWAG1)Poço CG</v>
      </c>
      <c r="X9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7" spans="1:24" ht="12.5" x14ac:dyDescent="0.25">
      <c r="A957" s="19"/>
      <c r="B957" s="19" t="s">
        <v>145</v>
      </c>
      <c r="C957" s="5" t="s">
        <v>249</v>
      </c>
      <c r="D957" s="20" t="s">
        <v>29</v>
      </c>
      <c r="E957" s="35"/>
      <c r="F957" s="29" cm="1">
        <f t="array" ref="F957">IF(V957 &lt;&gt; "", V957, IFERROR(_xlfn.SINGLE(INDEX($G$1:G956,SUMPRODUCT(MAX(($W$1:W956=W957)*(ROW($W$1:W956))))))+IF(D957="Fiscal",30,90),""))</f>
        <v>46109</v>
      </c>
      <c r="G957" s="21"/>
      <c r="H957" s="15" t="str">
        <f t="shared" si="409"/>
        <v>Erro</v>
      </c>
      <c r="I957" s="15"/>
      <c r="J957" s="32"/>
      <c r="K957" s="15" t="str">
        <f t="shared" si="410"/>
        <v>Erro</v>
      </c>
      <c r="L957" s="15"/>
      <c r="M957" s="15" t="str">
        <f t="shared" si="411"/>
        <v>Erro</v>
      </c>
      <c r="N957" s="13"/>
      <c r="O957" s="2" t="str">
        <f>IFERROR(IF(tblColetas[[#This Row],[Status Coleta]]="Reprovado","Reprovado",IF(ISERROR(SEARCH("Poço",D957)),IF(N957="","Erro",IF(Q957="Reprovado","",WORKDAY(N957,IF(D957="Operacional",10,3),FERIADOS!$A$3:$A$119))),"-")),"-")</f>
        <v>-</v>
      </c>
      <c r="P957" s="21"/>
      <c r="Q957" s="7"/>
      <c r="R957" s="13"/>
      <c r="S957" s="30"/>
      <c r="T957" s="43"/>
      <c r="W957" t="str">
        <f t="shared" si="412"/>
        <v>ATDPoço 7-BUZ-41D-RJS (PWAG1)Poço PVT</v>
      </c>
      <c r="X9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8" spans="1:24" ht="12.5" x14ac:dyDescent="0.25">
      <c r="A958" s="19"/>
      <c r="B958" s="19" t="s">
        <v>24</v>
      </c>
      <c r="C958" s="5" t="s">
        <v>76</v>
      </c>
      <c r="D958" s="20" t="s">
        <v>72</v>
      </c>
      <c r="E958" s="35"/>
      <c r="F958" s="29" cm="1">
        <f t="array" ref="F958">IF(V958 &lt;&gt; "", V958, IFERROR(_xlfn.SINGLE(INDEX($G$1:G957,SUMPRODUCT(MAX(($W$1:W957=W958)*(ROW($W$1:W957))))))+IF(D958="Fiscal",30,90),""))</f>
        <v>46049</v>
      </c>
      <c r="G958" s="21">
        <v>46046</v>
      </c>
      <c r="H958" s="15">
        <f t="shared" si="409"/>
        <v>46056</v>
      </c>
      <c r="I958" s="15">
        <v>46050</v>
      </c>
      <c r="J958" s="32" t="s">
        <v>252</v>
      </c>
      <c r="K958" s="15">
        <f t="shared" si="410"/>
        <v>46066</v>
      </c>
      <c r="L958" s="15">
        <v>46058</v>
      </c>
      <c r="M958" s="15">
        <f t="shared" si="411"/>
        <v>46071</v>
      </c>
      <c r="N958" s="13"/>
      <c r="O958" s="2" t="str">
        <f>IFERROR(IF(tblColetas[[#This Row],[Status Coleta]]="Reprovado","Reprovado",IF(ISERROR(SEARCH("Poço",D958)),IF(N958="","Erro",IF(Q958="Reprovado","",WORKDAY(N958,IF(D958="Operacional",10,3),FERIADOS!$A$3:$A$119))),"-")),"-")</f>
        <v>Erro</v>
      </c>
      <c r="P958" s="21"/>
      <c r="Q958" s="7"/>
      <c r="R958" s="13"/>
      <c r="S958" s="30"/>
      <c r="T958" s="43"/>
      <c r="W958" t="str">
        <f t="shared" si="412"/>
        <v>CDAM74-FT-005 (Export gas)Fiscal</v>
      </c>
      <c r="X9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59" spans="1:24" ht="12.5" x14ac:dyDescent="0.25">
      <c r="A959" s="19"/>
      <c r="B959" s="19" t="s">
        <v>24</v>
      </c>
      <c r="C959" s="5" t="s">
        <v>78</v>
      </c>
      <c r="D959" s="20" t="s">
        <v>72</v>
      </c>
      <c r="E959" s="35"/>
      <c r="F959" s="29" cm="1">
        <f t="array" ref="F959">IF(V959 &lt;&gt; "", V959, IFERROR(_xlfn.SINGLE(INDEX($G$1:G958,SUMPRODUCT(MAX(($W$1:W958=W959)*(ROW($W$1:W958))))))+IF(D959="Fiscal",30,90),""))</f>
        <v>46049</v>
      </c>
      <c r="G959" s="21">
        <v>46046</v>
      </c>
      <c r="H959" s="15">
        <f t="shared" si="409"/>
        <v>46056</v>
      </c>
      <c r="I959" s="15">
        <v>46050</v>
      </c>
      <c r="J959" s="32" t="s">
        <v>252</v>
      </c>
      <c r="K959" s="15">
        <f t="shared" si="410"/>
        <v>46066</v>
      </c>
      <c r="L959" s="15">
        <v>46058</v>
      </c>
      <c r="M959" s="15">
        <f t="shared" si="411"/>
        <v>46071</v>
      </c>
      <c r="N959" s="13"/>
      <c r="O959" s="2" t="str">
        <f>IFERROR(IF(tblColetas[[#This Row],[Status Coleta]]="Reprovado","Reprovado",IF(ISERROR(SEARCH("Poço",D959)),IF(N959="","Erro",IF(Q959="Reprovado","",WORKDAY(N959,IF(D959="Operacional",10,3),FERIADOS!$A$3:$A$119))),"-")),"-")</f>
        <v>Erro</v>
      </c>
      <c r="P959" s="21"/>
      <c r="Q959" s="7"/>
      <c r="R959" s="13"/>
      <c r="S959" s="30"/>
      <c r="T959" s="43"/>
      <c r="W959" t="str">
        <f t="shared" si="412"/>
        <v>CDAT77-FT-001 (Fuel Gas)Fiscal</v>
      </c>
      <c r="X9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0" spans="1:24" ht="12.5" x14ac:dyDescent="0.25">
      <c r="A960" s="19"/>
      <c r="B960" s="19" t="s">
        <v>52</v>
      </c>
      <c r="C960" s="5" t="s">
        <v>112</v>
      </c>
      <c r="D960" s="20" t="s">
        <v>72</v>
      </c>
      <c r="E960" s="35"/>
      <c r="F960" s="29" cm="1">
        <f t="array" ref="F960">IF(V960 &lt;&gt; "", V960, IFERROR(_xlfn.SINGLE(INDEX($G$1:G959,SUMPRODUCT(MAX(($W$1:W959=W960)*(ROW($W$1:W959))))))+IF(D960="Fiscal",30,90),""))</f>
        <v>46048</v>
      </c>
      <c r="G960" s="21">
        <v>46047</v>
      </c>
      <c r="H960" s="15">
        <f t="shared" si="409"/>
        <v>46057</v>
      </c>
      <c r="I960" s="15"/>
      <c r="J960" s="32"/>
      <c r="K960" s="15">
        <f t="shared" si="410"/>
        <v>46067</v>
      </c>
      <c r="L960" s="15"/>
      <c r="M960" s="15">
        <f t="shared" si="411"/>
        <v>46072</v>
      </c>
      <c r="N960" s="13"/>
      <c r="O960" s="2" t="str">
        <f>IFERROR(IF(tblColetas[[#This Row],[Status Coleta]]="Reprovado","Reprovado",IF(ISERROR(SEARCH("Poço",D960)),IF(N960="","Erro",IF(Q960="Reprovado","",WORKDAY(N960,IF(D960="Operacional",10,3),FERIADOS!$A$3:$A$119))),"-")),"-")</f>
        <v>Erro</v>
      </c>
      <c r="P960" s="21"/>
      <c r="Q960" s="7"/>
      <c r="R960" s="13"/>
      <c r="S960" s="30"/>
      <c r="T960" s="43"/>
      <c r="W960" t="str">
        <f t="shared" si="412"/>
        <v>SEP776-AP-0006 (HP Flare)Fiscal</v>
      </c>
      <c r="X9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1" spans="1:24" ht="12.5" x14ac:dyDescent="0.25">
      <c r="A961" s="19"/>
      <c r="B961" s="19" t="s">
        <v>52</v>
      </c>
      <c r="C961" s="5" t="s">
        <v>113</v>
      </c>
      <c r="D961" s="20" t="s">
        <v>72</v>
      </c>
      <c r="E961" s="35"/>
      <c r="F961" s="29" cm="1">
        <f t="array" ref="F961">IF(V961 &lt;&gt; "", V961, IFERROR(_xlfn.SINGLE(INDEX($G$1:G960,SUMPRODUCT(MAX(($W$1:W960=W961)*(ROW($W$1:W960))))))+IF(D961="Fiscal",30,90),""))</f>
        <v>46048</v>
      </c>
      <c r="G961" s="21">
        <v>46047</v>
      </c>
      <c r="H961" s="15">
        <f t="shared" si="409"/>
        <v>46057</v>
      </c>
      <c r="I961" s="15"/>
      <c r="J961" s="32"/>
      <c r="K961" s="15">
        <f t="shared" si="410"/>
        <v>46067</v>
      </c>
      <c r="L961" s="15"/>
      <c r="M961" s="15">
        <f t="shared" si="411"/>
        <v>46072</v>
      </c>
      <c r="N961" s="13"/>
      <c r="O961" s="2" t="str">
        <f>IFERROR(IF(tblColetas[[#This Row],[Status Coleta]]="Reprovado","Reprovado",IF(ISERROR(SEARCH("Poço",D961)),IF(N961="","Erro",IF(Q961="Reprovado","",WORKDAY(N961,IF(D961="Operacional",10,3),FERIADOS!$A$3:$A$119))),"-")),"-")</f>
        <v>Erro</v>
      </c>
      <c r="P961" s="21"/>
      <c r="Q961" s="7"/>
      <c r="R961" s="13"/>
      <c r="S961" s="30"/>
      <c r="T961" s="43"/>
      <c r="W961" t="str">
        <f t="shared" si="412"/>
        <v>SEP776-AP-0030 (LP Flare)Fiscal</v>
      </c>
      <c r="X9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2" spans="1:24" ht="12.5" x14ac:dyDescent="0.25">
      <c r="A962" s="19"/>
      <c r="B962" s="19" t="s">
        <v>52</v>
      </c>
      <c r="C962" s="5" t="s">
        <v>114</v>
      </c>
      <c r="D962" s="20" t="s">
        <v>72</v>
      </c>
      <c r="E962" s="35"/>
      <c r="F962" s="29" cm="1">
        <f t="array" ref="F962">IF(V962 &lt;&gt; "", V962, IFERROR(_xlfn.SINGLE(INDEX($G$1:G961,SUMPRODUCT(MAX(($W$1:W961=W962)*(ROW($W$1:W961))))))+IF(D962="Fiscal",30,90),""))</f>
        <v>46048</v>
      </c>
      <c r="G962" s="21">
        <v>46046</v>
      </c>
      <c r="H962" s="15">
        <f t="shared" si="409"/>
        <v>46056</v>
      </c>
      <c r="I962" s="15"/>
      <c r="J962" s="32"/>
      <c r="K962" s="15">
        <f t="shared" si="410"/>
        <v>46066</v>
      </c>
      <c r="L962" s="15"/>
      <c r="M962" s="15">
        <f t="shared" si="411"/>
        <v>46071</v>
      </c>
      <c r="N962" s="13"/>
      <c r="O962" s="2" t="str">
        <f>IFERROR(IF(tblColetas[[#This Row],[Status Coleta]]="Reprovado","Reprovado",IF(ISERROR(SEARCH("Poço",D962)),IF(N962="","Erro",IF(Q962="Reprovado","",WORKDAY(N962,IF(D962="Operacional",10,3),FERIADOS!$A$3:$A$119))),"-")),"-")</f>
        <v>Erro</v>
      </c>
      <c r="P962" s="21"/>
      <c r="Q962" s="7"/>
      <c r="R962" s="13"/>
      <c r="S962" s="30"/>
      <c r="T962" s="43"/>
      <c r="W962" t="str">
        <f t="shared" si="412"/>
        <v>SEP777-AP-1104 (Fuel Gas)Fiscal</v>
      </c>
      <c r="X9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3" spans="1:24" ht="12.5" x14ac:dyDescent="0.25">
      <c r="A963" s="19"/>
      <c r="B963" s="19" t="s">
        <v>52</v>
      </c>
      <c r="C963" s="5" t="s">
        <v>115</v>
      </c>
      <c r="D963" s="20" t="s">
        <v>72</v>
      </c>
      <c r="E963" s="35"/>
      <c r="F963" s="29" cm="1">
        <f t="array" ref="F963">IF(V963 &lt;&gt; "", V963, IFERROR(_xlfn.SINGLE(INDEX($G$1:G962,SUMPRODUCT(MAX(($W$1:W962=W963)*(ROW($W$1:W962))))))+IF(D963="Fiscal",30,90),""))</f>
        <v>46048</v>
      </c>
      <c r="G963" s="21">
        <v>46046</v>
      </c>
      <c r="H963" s="15">
        <f t="shared" si="409"/>
        <v>46056</v>
      </c>
      <c r="I963" s="15"/>
      <c r="J963" s="32"/>
      <c r="K963" s="15">
        <f t="shared" si="410"/>
        <v>46066</v>
      </c>
      <c r="L963" s="15"/>
      <c r="M963" s="15">
        <f t="shared" si="411"/>
        <v>46071</v>
      </c>
      <c r="N963" s="13"/>
      <c r="O963" s="2" t="str">
        <f>IFERROR(IF(tblColetas[[#This Row],[Status Coleta]]="Reprovado","Reprovado",IF(ISERROR(SEARCH("Poço",D963)),IF(N963="","Erro",IF(Q963="Reprovado","",WORKDAY(N963,IF(D963="Operacional",10,3),FERIADOS!$A$3:$A$119))),"-")),"-")</f>
        <v>Erro</v>
      </c>
      <c r="P963" s="21"/>
      <c r="Q963" s="7"/>
      <c r="R963" s="13"/>
      <c r="S963" s="30"/>
      <c r="T963" s="43"/>
      <c r="W963" t="str">
        <f t="shared" si="412"/>
        <v>SEP771-AP-0221 (Flare Assist)Fiscal</v>
      </c>
      <c r="X9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4" spans="1:24" ht="12.5" x14ac:dyDescent="0.25">
      <c r="A964" s="8"/>
      <c r="B964" s="8" t="s">
        <v>38</v>
      </c>
      <c r="C964" s="5" t="s">
        <v>65</v>
      </c>
      <c r="D964" s="9" t="s">
        <v>26</v>
      </c>
      <c r="E964" s="36"/>
      <c r="F964" s="29" cm="1">
        <f t="array" ref="F964">IF(V964 &lt;&gt; "", V964, IFERROR(_xlfn.SINGLE(INDEX($G$1:G963,SUMPRODUCT(MAX(($W$1:W963=W964)*(ROW($W$1:W963))))))+IF(D964="Fiscal",30,90),""))</f>
        <v>46079</v>
      </c>
      <c r="G964" s="13">
        <v>46057</v>
      </c>
      <c r="H964" s="15">
        <f t="shared" ref="H964:H973" si="413">IF(G964="","Erro", G964+10)</f>
        <v>46067</v>
      </c>
      <c r="I964" s="15">
        <v>46059</v>
      </c>
      <c r="J964" s="32" t="s">
        <v>254</v>
      </c>
      <c r="K964" s="15">
        <f t="shared" ref="K964:K973" si="414">IF(G964="","Erro",G964+20)</f>
        <v>46077</v>
      </c>
      <c r="L964" s="15"/>
      <c r="M964" s="15">
        <f t="shared" ref="M964:M973" si="415">IF(G964="","Erro",G964+IF(D964="Operacional",45,25))</f>
        <v>46082</v>
      </c>
      <c r="N964" s="13"/>
      <c r="O964" s="2" t="str">
        <f>IFERROR(IF(tblColetas[[#This Row],[Status Coleta]]="Reprovado","Reprovado",IF(ISERROR(SEARCH("Poço",D964)),IF(N964="","Erro",IF(Q964="Reprovado","",WORKDAY(N964,IF(D964="Operacional",10,3),FERIADOS!$A$3:$A$119))),"-")),"-")</f>
        <v>-</v>
      </c>
      <c r="P964" s="13"/>
      <c r="Q964" s="7"/>
      <c r="R964" s="13"/>
      <c r="S964" s="30"/>
      <c r="T964" s="43"/>
      <c r="W964" t="str">
        <f t="shared" ref="W964:W973" si="416">B964&amp;C964&amp;D964</f>
        <v>CDPPoço LL-22 (P-8)Poço CG</v>
      </c>
      <c r="X9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5" spans="1:24" ht="12.5" x14ac:dyDescent="0.25">
      <c r="A965" s="8"/>
      <c r="B965" s="8" t="s">
        <v>38</v>
      </c>
      <c r="C965" s="5" t="s">
        <v>65</v>
      </c>
      <c r="D965" s="9" t="s">
        <v>29</v>
      </c>
      <c r="E965" s="36"/>
      <c r="F965" s="29" cm="1">
        <f t="array" ref="F965">IF(V965 &lt;&gt; "", V965, IFERROR(_xlfn.SINGLE(INDEX($G$1:G964,SUMPRODUCT(MAX(($W$1:W964=W965)*(ROW($W$1:W964))))))+IF(D965="Fiscal",30,90),""))</f>
        <v>46079</v>
      </c>
      <c r="G965" s="13">
        <v>46057</v>
      </c>
      <c r="H965" s="15">
        <f t="shared" si="413"/>
        <v>46067</v>
      </c>
      <c r="I965" s="15">
        <v>46059</v>
      </c>
      <c r="J965" s="32" t="s">
        <v>254</v>
      </c>
      <c r="K965" s="15">
        <f t="shared" si="414"/>
        <v>46077</v>
      </c>
      <c r="L965" s="15"/>
      <c r="M965" s="15">
        <f t="shared" si="415"/>
        <v>46082</v>
      </c>
      <c r="N965" s="13"/>
      <c r="O965" s="2" t="str">
        <f>IFERROR(IF(tblColetas[[#This Row],[Status Coleta]]="Reprovado","Reprovado",IF(ISERROR(SEARCH("Poço",D965)),IF(N965="","Erro",IF(Q965="Reprovado","",WORKDAY(N965,IF(D965="Operacional",10,3),FERIADOS!$A$3:$A$119))),"-")),"-")</f>
        <v>-</v>
      </c>
      <c r="P965" s="13"/>
      <c r="Q965" s="7"/>
      <c r="R965" s="13"/>
      <c r="S965" s="30"/>
      <c r="T965" s="43"/>
      <c r="W965" t="str">
        <f t="shared" si="416"/>
        <v>CDPPoço LL-22 (P-8)Poço PVT</v>
      </c>
      <c r="X9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6" spans="1:24" ht="12.5" x14ac:dyDescent="0.25">
      <c r="A966" s="19"/>
      <c r="B966" s="19" t="s">
        <v>52</v>
      </c>
      <c r="C966" s="5" t="s">
        <v>123</v>
      </c>
      <c r="D966" s="20" t="s">
        <v>26</v>
      </c>
      <c r="E966" s="35"/>
      <c r="F966" s="29" cm="1">
        <f t="array" ref="F966">IF(V966 &lt;&gt; "", V966, IFERROR(_xlfn.SINGLE(INDEX($G$1:G965,SUMPRODUCT(MAX(($W$1:W965=W966)*(ROW($W$1:W965))))))+IF(D966="Fiscal",30,90),""))</f>
        <v>46023</v>
      </c>
      <c r="G966" s="21">
        <v>46023</v>
      </c>
      <c r="H966" s="15">
        <f t="shared" si="413"/>
        <v>46033</v>
      </c>
      <c r="I966" s="15">
        <v>46031</v>
      </c>
      <c r="J966" s="32" t="s">
        <v>253</v>
      </c>
      <c r="K966" s="15">
        <f t="shared" si="414"/>
        <v>46043</v>
      </c>
      <c r="L966" s="15">
        <v>46045</v>
      </c>
      <c r="M966" s="15">
        <f t="shared" si="415"/>
        <v>46048</v>
      </c>
      <c r="N966" s="13">
        <v>46048</v>
      </c>
      <c r="O966" s="2" t="str">
        <f>IFERROR(IF(tblColetas[[#This Row],[Status Coleta]]="Reprovado","Reprovado",IF(ISERROR(SEARCH("Poço",D966)),IF(N966="","Erro",IF(Q966="Reprovado","",WORKDAY(N966,IF(D966="Operacional",10,3),FERIADOS!$A$3:$A$119))),"-")),"-")</f>
        <v>-</v>
      </c>
      <c r="P966" s="21"/>
      <c r="Q966" s="7"/>
      <c r="R966" s="13"/>
      <c r="S966" s="30"/>
      <c r="T966" s="43"/>
      <c r="V966" s="37">
        <v>46023</v>
      </c>
      <c r="W966" t="str">
        <f t="shared" si="416"/>
        <v>SEPPoço P-10Poço CG</v>
      </c>
      <c r="X9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7" spans="1:24" ht="12.5" x14ac:dyDescent="0.25">
      <c r="A967" s="19"/>
      <c r="B967" s="19" t="s">
        <v>52</v>
      </c>
      <c r="C967" s="5" t="s">
        <v>123</v>
      </c>
      <c r="D967" s="20" t="s">
        <v>29</v>
      </c>
      <c r="E967" s="35"/>
      <c r="F967" s="29" cm="1">
        <f t="array" ref="F967">IF(V967 &lt;&gt; "", V967, IFERROR(_xlfn.SINGLE(INDEX($G$1:G966,SUMPRODUCT(MAX(($W$1:W966=W967)*(ROW($W$1:W966))))))+IF(D967="Fiscal",30,90),""))</f>
        <v>46023</v>
      </c>
      <c r="G967" s="21">
        <v>46023</v>
      </c>
      <c r="H967" s="15">
        <f t="shared" si="413"/>
        <v>46033</v>
      </c>
      <c r="I967" s="15">
        <v>46031</v>
      </c>
      <c r="J967" s="32" t="s">
        <v>253</v>
      </c>
      <c r="K967" s="15">
        <f t="shared" si="414"/>
        <v>46043</v>
      </c>
      <c r="L967" s="15">
        <v>46045</v>
      </c>
      <c r="M967" s="15">
        <f t="shared" si="415"/>
        <v>46048</v>
      </c>
      <c r="N967" s="13">
        <v>46048</v>
      </c>
      <c r="O967" s="2" t="str">
        <f>IFERROR(IF(tblColetas[[#This Row],[Status Coleta]]="Reprovado","Reprovado",IF(ISERROR(SEARCH("Poço",D967)),IF(N967="","Erro",IF(Q967="Reprovado","",WORKDAY(N967,IF(D967="Operacional",10,3),FERIADOS!$A$3:$A$119))),"-")),"-")</f>
        <v>-</v>
      </c>
      <c r="P967" s="21"/>
      <c r="Q967" s="7"/>
      <c r="R967" s="13"/>
      <c r="S967" s="30"/>
      <c r="T967" s="43"/>
      <c r="V967" s="37">
        <v>46023</v>
      </c>
      <c r="W967" t="str">
        <f t="shared" si="416"/>
        <v>SEPPoço P-10Poço PVT</v>
      </c>
      <c r="X9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8" spans="1:24" ht="12.5" x14ac:dyDescent="0.25">
      <c r="A968" s="19"/>
      <c r="B968" s="19" t="s">
        <v>52</v>
      </c>
      <c r="C968" s="5" t="s">
        <v>123</v>
      </c>
      <c r="D968" s="20" t="s">
        <v>26</v>
      </c>
      <c r="E968" s="35"/>
      <c r="F968" s="29" cm="1">
        <f t="array" ref="F968">IF(V968 &lt;&gt; "", V968, IFERROR(_xlfn.SINGLE(INDEX($G$1:G967,SUMPRODUCT(MAX(($W$1:W967=W968)*(ROW($W$1:W967))))))+IF(D968="Fiscal",30,90),""))</f>
        <v>46113</v>
      </c>
      <c r="G968" s="21"/>
      <c r="H968" s="15" t="str">
        <f t="shared" si="413"/>
        <v>Erro</v>
      </c>
      <c r="I968" s="15"/>
      <c r="J968" s="32"/>
      <c r="K968" s="15" t="str">
        <f t="shared" si="414"/>
        <v>Erro</v>
      </c>
      <c r="L968" s="15"/>
      <c r="M968" s="15" t="str">
        <f t="shared" si="415"/>
        <v>Erro</v>
      </c>
      <c r="N968" s="13"/>
      <c r="O968" s="2" t="str">
        <f>IFERROR(IF(tblColetas[[#This Row],[Status Coleta]]="Reprovado","Reprovado",IF(ISERROR(SEARCH("Poço",D968)),IF(N968="","Erro",IF(Q968="Reprovado","",WORKDAY(N968,IF(D968="Operacional",10,3),FERIADOS!$A$3:$A$119))),"-")),"-")</f>
        <v>-</v>
      </c>
      <c r="P968" s="21"/>
      <c r="Q968" s="7"/>
      <c r="R968" s="13"/>
      <c r="S968" s="30"/>
      <c r="T968" s="43"/>
      <c r="W968" t="str">
        <f t="shared" si="416"/>
        <v>SEPPoço P-10Poço CG</v>
      </c>
      <c r="X9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69" spans="1:24" ht="12.5" x14ac:dyDescent="0.25">
      <c r="A969" s="19"/>
      <c r="B969" s="19" t="s">
        <v>52</v>
      </c>
      <c r="C969" s="5" t="s">
        <v>123</v>
      </c>
      <c r="D969" s="20" t="s">
        <v>29</v>
      </c>
      <c r="E969" s="35"/>
      <c r="F969" s="29" cm="1">
        <f t="array" ref="F969">IF(V969 &lt;&gt; "", V969, IFERROR(_xlfn.SINGLE(INDEX($G$1:G968,SUMPRODUCT(MAX(($W$1:W968=W969)*(ROW($W$1:W968))))))+IF(D969="Fiscal",30,90),""))</f>
        <v>46113</v>
      </c>
      <c r="G969" s="21"/>
      <c r="H969" s="15" t="str">
        <f t="shared" si="413"/>
        <v>Erro</v>
      </c>
      <c r="I969" s="15"/>
      <c r="J969" s="32"/>
      <c r="K969" s="15" t="str">
        <f t="shared" si="414"/>
        <v>Erro</v>
      </c>
      <c r="L969" s="15"/>
      <c r="M969" s="15" t="str">
        <f t="shared" si="415"/>
        <v>Erro</v>
      </c>
      <c r="N969" s="13"/>
      <c r="O969" s="2" t="str">
        <f>IFERROR(IF(tblColetas[[#This Row],[Status Coleta]]="Reprovado","Reprovado",IF(ISERROR(SEARCH("Poço",D969)),IF(N969="","Erro",IF(Q969="Reprovado","",WORKDAY(N969,IF(D969="Operacional",10,3),FERIADOS!$A$3:$A$119))),"-")),"-")</f>
        <v>-</v>
      </c>
      <c r="P969" s="21"/>
      <c r="Q969" s="7"/>
      <c r="R969" s="13"/>
      <c r="S969" s="30"/>
      <c r="T969" s="43"/>
      <c r="W969" t="str">
        <f t="shared" si="416"/>
        <v>SEPPoço P-10Poço PVT</v>
      </c>
      <c r="X9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0" spans="1:24" ht="12.5" x14ac:dyDescent="0.25">
      <c r="A970" s="19"/>
      <c r="B970" s="19" t="s">
        <v>24</v>
      </c>
      <c r="C970" s="5" t="s">
        <v>100</v>
      </c>
      <c r="D970" s="20" t="s">
        <v>26</v>
      </c>
      <c r="E970" s="35"/>
      <c r="F970" s="29" cm="1">
        <f t="array" ref="F970">IF(V970 &lt;&gt; "", V970, IFERROR(_xlfn.SINGLE(INDEX($G$1:G969,SUMPRODUCT(MAX(($W$1:W969=W970)*(ROW($W$1:W969))))))+IF(D970="Fiscal",30,90),""))</f>
        <v>46110</v>
      </c>
      <c r="G970" s="21"/>
      <c r="H970" s="15" t="str">
        <f t="shared" si="413"/>
        <v>Erro</v>
      </c>
      <c r="I970" s="15"/>
      <c r="J970" s="32"/>
      <c r="K970" s="15" t="str">
        <f t="shared" si="414"/>
        <v>Erro</v>
      </c>
      <c r="L970" s="15"/>
      <c r="M970" s="15" t="str">
        <f t="shared" si="415"/>
        <v>Erro</v>
      </c>
      <c r="N970" s="13"/>
      <c r="O970" s="2" t="str">
        <f>IFERROR(IF(tblColetas[[#This Row],[Status Coleta]]="Reprovado","Reprovado",IF(ISERROR(SEARCH("Poço",D970)),IF(N970="","Erro",IF(Q970="Reprovado","",WORKDAY(N970,IF(D970="Operacional",10,3),FERIADOS!$A$3:$A$119))),"-")),"-")</f>
        <v>-</v>
      </c>
      <c r="P970" s="21"/>
      <c r="Q970" s="7"/>
      <c r="R970" s="13"/>
      <c r="S970" s="30"/>
      <c r="T970" s="43"/>
      <c r="W970" t="str">
        <f t="shared" si="416"/>
        <v>CDAPoço JUB-63Poço CG</v>
      </c>
      <c r="X9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1" spans="1:24" ht="12.5" x14ac:dyDescent="0.25">
      <c r="A971" s="19"/>
      <c r="B971" s="19" t="s">
        <v>24</v>
      </c>
      <c r="C971" s="5" t="s">
        <v>100</v>
      </c>
      <c r="D971" s="20" t="s">
        <v>29</v>
      </c>
      <c r="E971" s="35"/>
      <c r="F971" s="29" cm="1">
        <f t="array" ref="F971">IF(V971 &lt;&gt; "", V971, IFERROR(_xlfn.SINGLE(INDEX($G$1:G970,SUMPRODUCT(MAX(($W$1:W970=W971)*(ROW($W$1:W970))))))+IF(D971="Fiscal",30,90),""))</f>
        <v>46110</v>
      </c>
      <c r="G971" s="21"/>
      <c r="H971" s="15" t="str">
        <f t="shared" si="413"/>
        <v>Erro</v>
      </c>
      <c r="I971" s="15"/>
      <c r="J971" s="32"/>
      <c r="K971" s="15" t="str">
        <f t="shared" si="414"/>
        <v>Erro</v>
      </c>
      <c r="L971" s="15"/>
      <c r="M971" s="15" t="str">
        <f t="shared" si="415"/>
        <v>Erro</v>
      </c>
      <c r="N971" s="13"/>
      <c r="O971" s="2" t="str">
        <f>IFERROR(IF(tblColetas[[#This Row],[Status Coleta]]="Reprovado","Reprovado",IF(ISERROR(SEARCH("Poço",D971)),IF(N971="","Erro",IF(Q971="Reprovado","",WORKDAY(N971,IF(D971="Operacional",10,3),FERIADOS!$A$3:$A$119))),"-")),"-")</f>
        <v>-</v>
      </c>
      <c r="P971" s="21"/>
      <c r="Q971" s="7"/>
      <c r="R971" s="13"/>
      <c r="S971" s="30"/>
      <c r="T971" s="43"/>
      <c r="W971" t="str">
        <f t="shared" si="416"/>
        <v>CDAPoço JUB-63Poço PVT</v>
      </c>
      <c r="X9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2" spans="1:24" ht="12.5" x14ac:dyDescent="0.25">
      <c r="A972" s="19"/>
      <c r="B972" s="19" t="s">
        <v>24</v>
      </c>
      <c r="C972" s="5" t="s">
        <v>101</v>
      </c>
      <c r="D972" s="20" t="s">
        <v>26</v>
      </c>
      <c r="E972" s="35"/>
      <c r="F972" s="29" cm="1">
        <f t="array" ref="F972">IF(V972 &lt;&gt; "", V972, IFERROR(_xlfn.SINGLE(INDEX($G$1:G971,SUMPRODUCT(MAX(($W$1:W971=W972)*(ROW($W$1:W971))))))+IF(D972="Fiscal",30,90),""))</f>
        <v>46112</v>
      </c>
      <c r="G972" s="21">
        <v>46053</v>
      </c>
      <c r="H972" s="15">
        <f t="shared" si="413"/>
        <v>46063</v>
      </c>
      <c r="I972" s="15">
        <v>46058</v>
      </c>
      <c r="J972" s="32" t="s">
        <v>237</v>
      </c>
      <c r="K972" s="15">
        <f t="shared" si="414"/>
        <v>46073</v>
      </c>
      <c r="L972" s="15"/>
      <c r="M972" s="15">
        <f t="shared" si="415"/>
        <v>46078</v>
      </c>
      <c r="N972" s="13"/>
      <c r="O972" s="2" t="str">
        <f>IFERROR(IF(tblColetas[[#This Row],[Status Coleta]]="Reprovado","Reprovado",IF(ISERROR(SEARCH("Poço",D972)),IF(N972="","Erro",IF(Q972="Reprovado","",WORKDAY(N972,IF(D972="Operacional",10,3),FERIADOS!$A$3:$A$119))),"-")),"-")</f>
        <v>-</v>
      </c>
      <c r="P972" s="21"/>
      <c r="Q972" s="7"/>
      <c r="R972" s="13"/>
      <c r="S972" s="30"/>
      <c r="T972" s="43"/>
      <c r="W972" t="str">
        <f t="shared" si="416"/>
        <v>CDAPoço 7-BAZ-04Poço CG</v>
      </c>
      <c r="X9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3" spans="1:24" ht="12.5" x14ac:dyDescent="0.25">
      <c r="A973" s="19"/>
      <c r="B973" s="19" t="s">
        <v>24</v>
      </c>
      <c r="C973" s="5" t="s">
        <v>101</v>
      </c>
      <c r="D973" s="20" t="s">
        <v>29</v>
      </c>
      <c r="E973" s="35"/>
      <c r="F973" s="29" cm="1">
        <f t="array" ref="F973">IF(V973 &lt;&gt; "", V973, IFERROR(_xlfn.SINGLE(INDEX($G$1:G972,SUMPRODUCT(MAX(($W$1:W972=W973)*(ROW($W$1:W972))))))+IF(D973="Fiscal",30,90),""))</f>
        <v>46112</v>
      </c>
      <c r="G973" s="21">
        <v>46053</v>
      </c>
      <c r="H973" s="15">
        <f t="shared" si="413"/>
        <v>46063</v>
      </c>
      <c r="I973" s="15">
        <v>46058</v>
      </c>
      <c r="J973" s="32" t="s">
        <v>237</v>
      </c>
      <c r="K973" s="15">
        <f t="shared" si="414"/>
        <v>46073</v>
      </c>
      <c r="L973" s="15"/>
      <c r="M973" s="15">
        <f t="shared" si="415"/>
        <v>46078</v>
      </c>
      <c r="N973" s="13"/>
      <c r="O973" s="2" t="str">
        <f>IFERROR(IF(tblColetas[[#This Row],[Status Coleta]]="Reprovado","Reprovado",IF(ISERROR(SEARCH("Poço",D973)),IF(N973="","Erro",IF(Q973="Reprovado","",WORKDAY(N973,IF(D973="Operacional",10,3),FERIADOS!$A$3:$A$119))),"-")),"-")</f>
        <v>-</v>
      </c>
      <c r="P973" s="21"/>
      <c r="Q973" s="7"/>
      <c r="R973" s="13"/>
      <c r="S973" s="30"/>
      <c r="T973" s="43"/>
      <c r="W973" t="str">
        <f t="shared" si="416"/>
        <v>CDAPoço 7-BAZ-04Poço PVT</v>
      </c>
      <c r="X9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4" spans="1:24" ht="12.5" x14ac:dyDescent="0.25">
      <c r="A974" s="19"/>
      <c r="B974" s="19" t="s">
        <v>192</v>
      </c>
      <c r="C974" s="5" t="s">
        <v>220</v>
      </c>
      <c r="D974" s="20" t="s">
        <v>70</v>
      </c>
      <c r="E974" s="35"/>
      <c r="F974" s="29" cm="1">
        <f t="array" ref="F974">IF(V974 &lt;&gt; "", V974, IFERROR(_xlfn.SINGLE(INDEX($G$1:G973,SUMPRODUCT(MAX(($W$1:W973=W974)*(ROW($W$1:W973))))))+IF(D974="Fiscal",30,90),""))</f>
        <v>46089</v>
      </c>
      <c r="G974" s="21">
        <v>46026</v>
      </c>
      <c r="H974" s="15">
        <f t="shared" ref="H974:H985" si="417">IF(G974="","Erro", G974+10)</f>
        <v>46036</v>
      </c>
      <c r="I974" s="15"/>
      <c r="J974" s="32"/>
      <c r="K974" s="15">
        <f t="shared" ref="K974:K985" si="418">IF(G974="","Erro",G974+20)</f>
        <v>46046</v>
      </c>
      <c r="L974" s="15"/>
      <c r="M974" s="15">
        <f t="shared" ref="M974:M985" si="419">IF(G974="","Erro",G974+IF(D974="Operacional",45,25))</f>
        <v>46051</v>
      </c>
      <c r="N974" s="13">
        <v>46051</v>
      </c>
      <c r="O974" s="2" t="str">
        <f>IFERROR(IF(tblColetas[[#This Row],[Status Coleta]]="Reprovado","Reprovado",IF(ISERROR(SEARCH("Poço",D974)),IF(N974="","Erro",IF(Q974="Reprovado","",WORKDAY(N974,IF(D974="Operacional",10,3),FERIADOS!$A$3:$A$119))),"-")),"-")</f>
        <v>Reprovado</v>
      </c>
      <c r="P974" s="21"/>
      <c r="Q974" s="7" t="s">
        <v>81</v>
      </c>
      <c r="R974" s="13"/>
      <c r="S974" s="30"/>
      <c r="T974" s="43"/>
      <c r="W974" t="str">
        <f t="shared" ref="W974:W985" si="420">B974&amp;C974&amp;D974</f>
        <v>ADG773-AP-0014 (Gas Lift)Gas Lift</v>
      </c>
      <c r="X9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5" spans="1:24" ht="12.5" x14ac:dyDescent="0.25">
      <c r="A975" s="17"/>
      <c r="B975" s="17" t="s">
        <v>192</v>
      </c>
      <c r="C975" s="6" t="s">
        <v>262</v>
      </c>
      <c r="D975" s="18" t="s">
        <v>26</v>
      </c>
      <c r="E975" s="35"/>
      <c r="F975" s="25" t="str" cm="1">
        <f t="array" ref="F975">IF(V975 &lt;&gt; "", V975, IFERROR(_xlfn.SINGLE(INDEX($G$1:G974,SUMPRODUCT(MAX(($W$1:W974=W975)*(ROW($W$1:W974))))))+IF(D975="Fiscal",30,90),""))</f>
        <v/>
      </c>
      <c r="G975" s="16">
        <v>46020</v>
      </c>
      <c r="H975" s="15">
        <f t="shared" si="417"/>
        <v>46030</v>
      </c>
      <c r="I975" s="15">
        <v>46023</v>
      </c>
      <c r="J975" s="32" t="s">
        <v>263</v>
      </c>
      <c r="K975" s="15">
        <f t="shared" si="418"/>
        <v>46040</v>
      </c>
      <c r="L975" s="15">
        <v>46031</v>
      </c>
      <c r="M975" s="14">
        <f t="shared" si="419"/>
        <v>46045</v>
      </c>
      <c r="N975" s="12">
        <v>46045</v>
      </c>
      <c r="O975" s="1" t="str">
        <f>IFERROR(IF(tblColetas[[#This Row],[Status Coleta]]="Reprovado","Reprovado",IF(ISERROR(SEARCH("Poço",D975)),IF(N975="","Erro",IF(Q975="Reprovado","",WORKDAY(N975,IF(D975="Operacional",10,3),FERIADOS!$A$3:$A$119))),"-")),"-")</f>
        <v>-</v>
      </c>
      <c r="P975" s="16"/>
      <c r="Q975" s="7" t="s">
        <v>37</v>
      </c>
      <c r="R975" s="12"/>
      <c r="S975" s="27"/>
      <c r="T975" s="42"/>
      <c r="W975" t="str">
        <f t="shared" si="420"/>
        <v>ADGPoço MRO-37 (P-10)Poço CG</v>
      </c>
      <c r="X9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6" spans="1:24" ht="12.5" x14ac:dyDescent="0.25">
      <c r="A976" s="17"/>
      <c r="B976" s="17" t="s">
        <v>192</v>
      </c>
      <c r="C976" s="6" t="s">
        <v>262</v>
      </c>
      <c r="D976" s="18" t="s">
        <v>29</v>
      </c>
      <c r="E976" s="35"/>
      <c r="F976" s="25" t="str" cm="1">
        <f t="array" ref="F976">IF(V976 &lt;&gt; "", V976, IFERROR(_xlfn.SINGLE(INDEX($G$1:G975,SUMPRODUCT(MAX(($W$1:W975=W976)*(ROW($W$1:W975))))))+IF(D976="Fiscal",30,90),""))</f>
        <v/>
      </c>
      <c r="G976" s="16">
        <v>46020</v>
      </c>
      <c r="H976" s="15">
        <f t="shared" si="417"/>
        <v>46030</v>
      </c>
      <c r="I976" s="15">
        <v>46023</v>
      </c>
      <c r="J976" s="32" t="s">
        <v>263</v>
      </c>
      <c r="K976" s="15">
        <f t="shared" si="418"/>
        <v>46040</v>
      </c>
      <c r="L976" s="15">
        <v>46031</v>
      </c>
      <c r="M976" s="14">
        <f t="shared" si="419"/>
        <v>46045</v>
      </c>
      <c r="N976" s="12">
        <v>46045</v>
      </c>
      <c r="O976" s="1" t="str">
        <f>IFERROR(IF(tblColetas[[#This Row],[Status Coleta]]="Reprovado","Reprovado",IF(ISERROR(SEARCH("Poço",D976)),IF(N976="","Erro",IF(Q976="Reprovado","",WORKDAY(N976,IF(D976="Operacional",10,3),FERIADOS!$A$3:$A$119))),"-")),"-")</f>
        <v>-</v>
      </c>
      <c r="P976" s="16"/>
      <c r="Q976" s="7" t="s">
        <v>37</v>
      </c>
      <c r="R976" s="12"/>
      <c r="S976" s="27"/>
      <c r="T976" s="42"/>
      <c r="W976" t="str">
        <f t="shared" si="420"/>
        <v>ADGPoço MRO-37 (P-10)Poço PVT</v>
      </c>
      <c r="X9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7" spans="1:24" ht="12.5" x14ac:dyDescent="0.25">
      <c r="A977" s="19"/>
      <c r="B977" s="19" t="s">
        <v>192</v>
      </c>
      <c r="C977" s="5" t="s">
        <v>262</v>
      </c>
      <c r="D977" s="20" t="s">
        <v>26</v>
      </c>
      <c r="E977" s="35"/>
      <c r="F977" s="29" cm="1">
        <f t="array" ref="F977">IF(V977 &lt;&gt; "", V977, IFERROR(_xlfn.SINGLE(INDEX($G$1:G976,SUMPRODUCT(MAX(($W$1:W976=W977)*(ROW($W$1:W976))))))+IF(D977="Fiscal",30,90),""))</f>
        <v>46110</v>
      </c>
      <c r="G977" s="21"/>
      <c r="H977" s="15" t="str">
        <f t="shared" si="417"/>
        <v>Erro</v>
      </c>
      <c r="I977" s="15"/>
      <c r="J977" s="32"/>
      <c r="K977" s="15" t="str">
        <f t="shared" si="418"/>
        <v>Erro</v>
      </c>
      <c r="L977" s="15"/>
      <c r="M977" s="15" t="str">
        <f t="shared" si="419"/>
        <v>Erro</v>
      </c>
      <c r="N977" s="13"/>
      <c r="O977" s="2" t="str">
        <f>IFERROR(IF(tblColetas[[#This Row],[Status Coleta]]="Reprovado","Reprovado",IF(ISERROR(SEARCH("Poço",D977)),IF(N977="","Erro",IF(Q977="Reprovado","",WORKDAY(N977,IF(D977="Operacional",10,3),FERIADOS!$A$3:$A$119))),"-")),"-")</f>
        <v>-</v>
      </c>
      <c r="P977" s="21"/>
      <c r="Q977" s="7"/>
      <c r="R977" s="13"/>
      <c r="S977" s="30"/>
      <c r="T977" s="43"/>
      <c r="W977" t="str">
        <f t="shared" si="420"/>
        <v>ADGPoço MRO-37 (P-10)Poço CG</v>
      </c>
      <c r="X9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8" spans="1:24" ht="12.5" x14ac:dyDescent="0.25">
      <c r="A978" s="19"/>
      <c r="B978" s="19" t="s">
        <v>192</v>
      </c>
      <c r="C978" s="5" t="s">
        <v>262</v>
      </c>
      <c r="D978" s="20" t="s">
        <v>29</v>
      </c>
      <c r="E978" s="35"/>
      <c r="F978" s="29" cm="1">
        <f t="array" ref="F978">IF(V978 &lt;&gt; "", V978, IFERROR(_xlfn.SINGLE(INDEX($G$1:G977,SUMPRODUCT(MAX(($W$1:W977=W978)*(ROW($W$1:W977))))))+IF(D978="Fiscal",30,90),""))</f>
        <v>46110</v>
      </c>
      <c r="G978" s="21"/>
      <c r="H978" s="15" t="str">
        <f t="shared" si="417"/>
        <v>Erro</v>
      </c>
      <c r="I978" s="15"/>
      <c r="J978" s="32"/>
      <c r="K978" s="15" t="str">
        <f t="shared" si="418"/>
        <v>Erro</v>
      </c>
      <c r="L978" s="15"/>
      <c r="M978" s="15" t="str">
        <f t="shared" si="419"/>
        <v>Erro</v>
      </c>
      <c r="N978" s="13"/>
      <c r="O978" s="2" t="str">
        <f>IFERROR(IF(tblColetas[[#This Row],[Status Coleta]]="Reprovado","Reprovado",IF(ISERROR(SEARCH("Poço",D978)),IF(N978="","Erro",IF(Q978="Reprovado","",WORKDAY(N978,IF(D978="Operacional",10,3),FERIADOS!$A$3:$A$119))),"-")),"-")</f>
        <v>-</v>
      </c>
      <c r="P978" s="21"/>
      <c r="Q978" s="7"/>
      <c r="R978" s="13"/>
      <c r="S978" s="30"/>
      <c r="T978" s="43"/>
      <c r="W978" t="str">
        <f t="shared" si="420"/>
        <v>ADGPoço MRO-37 (P-10)Poço PVT</v>
      </c>
      <c r="X97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79" spans="1:24" ht="12.5" x14ac:dyDescent="0.25">
      <c r="A979" s="19"/>
      <c r="B979" s="19" t="s">
        <v>38</v>
      </c>
      <c r="C979" s="5" t="s">
        <v>41</v>
      </c>
      <c r="D979" s="20" t="s">
        <v>26</v>
      </c>
      <c r="E979" s="35"/>
      <c r="F979" s="29" cm="1">
        <f t="array" ref="F979">IF(V979 &lt;&gt; "", V979, IFERROR(_xlfn.SINGLE(INDEX($G$1:G978,SUMPRODUCT(MAX(($W$1:W978=W979)*(ROW($W$1:W978))))))+IF(D979="Fiscal",30,90),""))</f>
        <v>46117</v>
      </c>
      <c r="G979" s="21"/>
      <c r="H979" s="15" t="str">
        <f t="shared" si="417"/>
        <v>Erro</v>
      </c>
      <c r="I979" s="15"/>
      <c r="J979" s="32"/>
      <c r="K979" s="15" t="str">
        <f t="shared" si="418"/>
        <v>Erro</v>
      </c>
      <c r="L979" s="15"/>
      <c r="M979" s="15" t="str">
        <f t="shared" si="419"/>
        <v>Erro</v>
      </c>
      <c r="N979" s="13"/>
      <c r="O979" s="2" t="str">
        <f>IFERROR(IF(tblColetas[[#This Row],[Status Coleta]]="Reprovado","Reprovado",IF(ISERROR(SEARCH("Poço",D979)),IF(N979="","Erro",IF(Q979="Reprovado","",WORKDAY(N979,IF(D979="Operacional",10,3),FERIADOS!$A$3:$A$119))),"-")),"-")</f>
        <v>-</v>
      </c>
      <c r="P979" s="21"/>
      <c r="Q979" s="7"/>
      <c r="R979" s="13"/>
      <c r="S979" s="30"/>
      <c r="T979" s="43"/>
      <c r="W979" t="str">
        <f t="shared" si="420"/>
        <v>CDPPoço LL-15 (P-3)Poço CG</v>
      </c>
      <c r="X97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0" spans="1:24" ht="12.5" x14ac:dyDescent="0.25">
      <c r="A980" s="19"/>
      <c r="B980" s="19" t="s">
        <v>38</v>
      </c>
      <c r="C980" s="5" t="s">
        <v>41</v>
      </c>
      <c r="D980" s="20" t="s">
        <v>29</v>
      </c>
      <c r="E980" s="35"/>
      <c r="F980" s="29" cm="1">
        <f t="array" ref="F980">IF(V980 &lt;&gt; "", V980, IFERROR(_xlfn.SINGLE(INDEX($G$1:G979,SUMPRODUCT(MAX(($W$1:W979=W980)*(ROW($W$1:W979))))))+IF(D980="Fiscal",30,90),""))</f>
        <v>46117</v>
      </c>
      <c r="G980" s="21"/>
      <c r="H980" s="15" t="str">
        <f t="shared" si="417"/>
        <v>Erro</v>
      </c>
      <c r="I980" s="15"/>
      <c r="J980" s="32"/>
      <c r="K980" s="15" t="str">
        <f t="shared" si="418"/>
        <v>Erro</v>
      </c>
      <c r="L980" s="15"/>
      <c r="M980" s="15" t="str">
        <f t="shared" si="419"/>
        <v>Erro</v>
      </c>
      <c r="N980" s="13"/>
      <c r="O980" s="2" t="str">
        <f>IFERROR(IF(tblColetas[[#This Row],[Status Coleta]]="Reprovado","Reprovado",IF(ISERROR(SEARCH("Poço",D980)),IF(N980="","Erro",IF(Q980="Reprovado","",WORKDAY(N980,IF(D980="Operacional",10,3),FERIADOS!$A$3:$A$119))),"-")),"-")</f>
        <v>-</v>
      </c>
      <c r="P980" s="21"/>
      <c r="Q980" s="7"/>
      <c r="R980" s="13"/>
      <c r="S980" s="30"/>
      <c r="T980" s="43"/>
      <c r="W980" t="str">
        <f t="shared" si="420"/>
        <v>CDPPoço LL-15 (P-3)Poço PVT</v>
      </c>
      <c r="X98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1" spans="1:24" ht="12.5" x14ac:dyDescent="0.25">
      <c r="A981" s="19"/>
      <c r="B981" s="19" t="s">
        <v>192</v>
      </c>
      <c r="C981" s="5" t="s">
        <v>112</v>
      </c>
      <c r="D981" s="20" t="s">
        <v>72</v>
      </c>
      <c r="E981" s="35"/>
      <c r="F981" s="29" cm="1">
        <f t="array" ref="F981">IF(V981 &lt;&gt; "", V981, IFERROR(_xlfn.SINGLE(INDEX($G$1:G980,SUMPRODUCT(MAX(($W$1:W980=W981)*(ROW($W$1:W980))))))+IF(D981="Fiscal",30,90),""))</f>
        <v>46056</v>
      </c>
      <c r="G981" s="21">
        <v>46054</v>
      </c>
      <c r="H981" s="15">
        <f t="shared" si="417"/>
        <v>46064</v>
      </c>
      <c r="I981" s="15"/>
      <c r="J981" s="32"/>
      <c r="K981" s="15">
        <f t="shared" si="418"/>
        <v>46074</v>
      </c>
      <c r="L981" s="15"/>
      <c r="M981" s="15">
        <f t="shared" si="419"/>
        <v>46079</v>
      </c>
      <c r="N981" s="13"/>
      <c r="O981" s="2" t="str">
        <f>IFERROR(IF(tblColetas[[#This Row],[Status Coleta]]="Reprovado","Reprovado",IF(ISERROR(SEARCH("Poço",D981)),IF(N981="","Erro",IF(Q981="Reprovado","",WORKDAY(N981,IF(D981="Operacional",10,3),FERIADOS!$A$3:$A$119))),"-")),"-")</f>
        <v>Erro</v>
      </c>
      <c r="P981" s="21"/>
      <c r="Q981" s="7"/>
      <c r="R981" s="13"/>
      <c r="S981" s="30"/>
      <c r="T981" s="43"/>
      <c r="W981" t="str">
        <f t="shared" si="420"/>
        <v>ADG776-AP-0006 (HP Flare)Fiscal</v>
      </c>
      <c r="X98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2" spans="1:24" ht="12.5" x14ac:dyDescent="0.25">
      <c r="A982" s="19"/>
      <c r="B982" s="19" t="s">
        <v>192</v>
      </c>
      <c r="C982" s="5" t="s">
        <v>193</v>
      </c>
      <c r="D982" s="20" t="s">
        <v>72</v>
      </c>
      <c r="E982" s="35"/>
      <c r="F982" s="29" cm="1">
        <f t="array" ref="F982">IF(V982 &lt;&gt; "", V982, IFERROR(_xlfn.SINGLE(INDEX($G$1:G981,SUMPRODUCT(MAX(($W$1:W981=W982)*(ROW($W$1:W981))))))+IF(D982="Fiscal",30,90),""))</f>
        <v>46056</v>
      </c>
      <c r="G982" s="21">
        <v>46054</v>
      </c>
      <c r="H982" s="15">
        <f t="shared" si="417"/>
        <v>46064</v>
      </c>
      <c r="I982" s="15"/>
      <c r="J982" s="32"/>
      <c r="K982" s="15">
        <f t="shared" si="418"/>
        <v>46074</v>
      </c>
      <c r="L982" s="15"/>
      <c r="M982" s="15">
        <f t="shared" si="419"/>
        <v>46079</v>
      </c>
      <c r="N982" s="13"/>
      <c r="O982" s="2" t="str">
        <f>IFERROR(IF(tblColetas[[#This Row],[Status Coleta]]="Reprovado","Reprovado",IF(ISERROR(SEARCH("Poço",D982)),IF(N982="","Erro",IF(Q982="Reprovado","",WORKDAY(N982,IF(D982="Operacional",10,3),FERIADOS!$A$3:$A$119))),"-")),"-")</f>
        <v>Erro</v>
      </c>
      <c r="P982" s="21"/>
      <c r="Q982" s="7"/>
      <c r="R982" s="13"/>
      <c r="S982" s="30"/>
      <c r="T982" s="43"/>
      <c r="W982" t="str">
        <f t="shared" si="420"/>
        <v>ADG776-AP-0026 (LP Flare)Fiscal</v>
      </c>
      <c r="X98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3" spans="1:24" ht="12.5" x14ac:dyDescent="0.25">
      <c r="A983" s="19"/>
      <c r="B983" s="19" t="s">
        <v>192</v>
      </c>
      <c r="C983" s="5" t="s">
        <v>194</v>
      </c>
      <c r="D983" s="20" t="s">
        <v>72</v>
      </c>
      <c r="E983" s="35"/>
      <c r="F983" s="29" cm="1">
        <f t="array" ref="F983">IF(V983 &lt;&gt; "", V983, IFERROR(_xlfn.SINGLE(INDEX($G$1:G982,SUMPRODUCT(MAX(($W$1:W982=W983)*(ROW($W$1:W982))))))+IF(D983="Fiscal",30,90),""))</f>
        <v>46056</v>
      </c>
      <c r="G983" s="21">
        <v>46054</v>
      </c>
      <c r="H983" s="15">
        <f t="shared" si="417"/>
        <v>46064</v>
      </c>
      <c r="I983" s="15"/>
      <c r="J983" s="32"/>
      <c r="K983" s="15">
        <f t="shared" si="418"/>
        <v>46074</v>
      </c>
      <c r="L983" s="15"/>
      <c r="M983" s="15">
        <f t="shared" si="419"/>
        <v>46079</v>
      </c>
      <c r="N983" s="13"/>
      <c r="O983" s="2" t="str">
        <f>IFERROR(IF(tblColetas[[#This Row],[Status Coleta]]="Reprovado","Reprovado",IF(ISERROR(SEARCH("Poço",D983)),IF(N983="","Erro",IF(Q983="Reprovado","",WORKDAY(N983,IF(D983="Operacional",10,3),FERIADOS!$A$3:$A$119))),"-")),"-")</f>
        <v>Erro</v>
      </c>
      <c r="P983" s="21"/>
      <c r="Q983" s="7"/>
      <c r="R983" s="13"/>
      <c r="S983" s="30"/>
      <c r="T983" s="43"/>
      <c r="W983" t="str">
        <f t="shared" si="420"/>
        <v>ADG777-AP-1212 (Fuel Gas)Fiscal</v>
      </c>
      <c r="X98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4" spans="1:24" ht="12.5" x14ac:dyDescent="0.25">
      <c r="A984" s="19"/>
      <c r="B984" s="19" t="s">
        <v>192</v>
      </c>
      <c r="C984" s="5" t="s">
        <v>195</v>
      </c>
      <c r="D984" s="20" t="s">
        <v>72</v>
      </c>
      <c r="E984" s="35"/>
      <c r="F984" s="29" cm="1">
        <f t="array" ref="F984">IF(V984 &lt;&gt; "", V984, IFERROR(_xlfn.SINGLE(INDEX($G$1:G983,SUMPRODUCT(MAX(($W$1:W983=W984)*(ROW($W$1:W983))))))+IF(D984="Fiscal",30,90),""))</f>
        <v>46056</v>
      </c>
      <c r="G984" s="21">
        <v>46054</v>
      </c>
      <c r="H984" s="15">
        <f t="shared" si="417"/>
        <v>46064</v>
      </c>
      <c r="I984" s="15"/>
      <c r="J984" s="32"/>
      <c r="K984" s="15">
        <f t="shared" si="418"/>
        <v>46074</v>
      </c>
      <c r="L984" s="15"/>
      <c r="M984" s="15">
        <f t="shared" si="419"/>
        <v>46079</v>
      </c>
      <c r="N984" s="13"/>
      <c r="O984" s="2" t="str">
        <f>IFERROR(IF(tblColetas[[#This Row],[Status Coleta]]="Reprovado","Reprovado",IF(ISERROR(SEARCH("Poço",D984)),IF(N984="","Erro",IF(Q984="Reprovado","",WORKDAY(N984,IF(D984="Operacional",10,3),FERIADOS!$A$3:$A$119))),"-")),"-")</f>
        <v>Erro</v>
      </c>
      <c r="P984" s="21"/>
      <c r="Q984" s="7"/>
      <c r="R984" s="13"/>
      <c r="S984" s="30"/>
      <c r="T984" s="43"/>
      <c r="W984" t="str">
        <f t="shared" si="420"/>
        <v>ADG771-AP-0225 (Flare Assist)Fiscal</v>
      </c>
      <c r="X98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5" spans="1:24" ht="12.5" x14ac:dyDescent="0.25">
      <c r="A985" s="19"/>
      <c r="B985" s="19" t="s">
        <v>192</v>
      </c>
      <c r="C985" s="5" t="s">
        <v>220</v>
      </c>
      <c r="D985" s="20" t="s">
        <v>70</v>
      </c>
      <c r="E985" s="35"/>
      <c r="F985" s="29" cm="1">
        <f t="array" ref="F985">IF(V985 &lt;&gt; "", V985, IFERROR(_xlfn.SINGLE(INDEX($G$1:G984,SUMPRODUCT(MAX(($W$1:W984=W985)*(ROW($W$1:W984))))))+IF(D985="Fiscal",30,90),""))</f>
        <v>46116</v>
      </c>
      <c r="G985" s="21">
        <v>46054</v>
      </c>
      <c r="H985" s="15">
        <f t="shared" si="417"/>
        <v>46064</v>
      </c>
      <c r="I985" s="15"/>
      <c r="J985" s="32"/>
      <c r="K985" s="15">
        <f t="shared" si="418"/>
        <v>46074</v>
      </c>
      <c r="L985" s="15"/>
      <c r="M985" s="15">
        <f t="shared" si="419"/>
        <v>46079</v>
      </c>
      <c r="N985" s="13"/>
      <c r="O985" s="2" t="str">
        <f>IFERROR(IF(tblColetas[[#This Row],[Status Coleta]]="Reprovado","Reprovado",IF(ISERROR(SEARCH("Poço",D985)),IF(N985="","Erro",IF(Q985="Reprovado","",WORKDAY(N985,IF(D985="Operacional",10,3),FERIADOS!$A$3:$A$119))),"-")),"-")</f>
        <v>Erro</v>
      </c>
      <c r="P985" s="21"/>
      <c r="Q985" s="7"/>
      <c r="R985" s="13"/>
      <c r="S985" s="30"/>
      <c r="T985" s="43"/>
      <c r="W985" t="str">
        <f t="shared" si="420"/>
        <v>ADG773-AP-0014 (Gas Lift)Gas Lift</v>
      </c>
      <c r="X98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6" spans="1:24" ht="12.5" x14ac:dyDescent="0.25">
      <c r="A986" s="19"/>
      <c r="B986" s="19" t="s">
        <v>31</v>
      </c>
      <c r="C986" s="5" t="s">
        <v>107</v>
      </c>
      <c r="D986" s="20" t="s">
        <v>29</v>
      </c>
      <c r="E986" s="35"/>
      <c r="F986" s="29" cm="1">
        <f t="array" ref="F986">IF(V986 &lt;&gt; "", V986, IFERROR(_xlfn.SINGLE(INDEX($G$1:G985,SUMPRODUCT(MAX(($W$1:W985=W986)*(ROW($W$1:W985))))))+IF(D986="Fiscal",30,90),""))</f>
        <v>46119</v>
      </c>
      <c r="G986" s="21"/>
      <c r="H986" s="15" t="str">
        <f t="shared" ref="H986:H993" si="421">IF(G986="","Erro", G986+10)</f>
        <v>Erro</v>
      </c>
      <c r="I986" s="15"/>
      <c r="J986" s="32"/>
      <c r="K986" s="15" t="str">
        <f t="shared" ref="K986:K993" si="422">IF(G986="","Erro",G986+20)</f>
        <v>Erro</v>
      </c>
      <c r="L986" s="15"/>
      <c r="M986" s="15" t="str">
        <f t="shared" ref="M986:M993" si="423">IF(G986="","Erro",G986+IF(D986="Operacional",45,25))</f>
        <v>Erro</v>
      </c>
      <c r="N986" s="13"/>
      <c r="O986" s="2" t="str">
        <f>IFERROR(IF(tblColetas[[#This Row],[Status Coleta]]="Reprovado","Reprovado",IF(ISERROR(SEARCH("Poço",D986)),IF(N986="","Erro",IF(Q986="Reprovado","",WORKDAY(N986,IF(D986="Operacional",10,3),FERIADOS!$A$3:$A$119))),"-")),"-")</f>
        <v>-</v>
      </c>
      <c r="P986" s="21"/>
      <c r="Q986" s="7"/>
      <c r="R986" s="13"/>
      <c r="S986" s="30"/>
      <c r="T986" s="43"/>
      <c r="W986" t="str">
        <f t="shared" ref="W986:W993" si="424">B986&amp;C986&amp;D986</f>
        <v>CDIPoço SPH-7 (P-3)Poço PVT</v>
      </c>
      <c r="X98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7" spans="1:24" ht="12.5" x14ac:dyDescent="0.25">
      <c r="A987" s="19"/>
      <c r="B987" s="19" t="s">
        <v>31</v>
      </c>
      <c r="C987" s="5" t="s">
        <v>107</v>
      </c>
      <c r="D987" s="20" t="s">
        <v>26</v>
      </c>
      <c r="E987" s="35"/>
      <c r="F987" s="29" cm="1">
        <f t="array" ref="F987">IF(V987 &lt;&gt; "", V987, IFERROR(_xlfn.SINGLE(INDEX($G$1:G986,SUMPRODUCT(MAX(($W$1:W986=W987)*(ROW($W$1:W986))))))+IF(D987="Fiscal",30,90),""))</f>
        <v>46119</v>
      </c>
      <c r="G987" s="21"/>
      <c r="H987" s="15" t="str">
        <f t="shared" si="421"/>
        <v>Erro</v>
      </c>
      <c r="I987" s="15"/>
      <c r="J987" s="32"/>
      <c r="K987" s="15" t="str">
        <f t="shared" si="422"/>
        <v>Erro</v>
      </c>
      <c r="L987" s="15"/>
      <c r="M987" s="15" t="str">
        <f t="shared" si="423"/>
        <v>Erro</v>
      </c>
      <c r="N987" s="13"/>
      <c r="O987" s="2" t="str">
        <f>IFERROR(IF(tblColetas[[#This Row],[Status Coleta]]="Reprovado","Reprovado",IF(ISERROR(SEARCH("Poço",D987)),IF(N987="","Erro",IF(Q987="Reprovado","",WORKDAY(N987,IF(D987="Operacional",10,3),FERIADOS!$A$3:$A$119))),"-")),"-")</f>
        <v>-</v>
      </c>
      <c r="P987" s="21"/>
      <c r="Q987" s="7"/>
      <c r="R987" s="13"/>
      <c r="S987" s="30"/>
      <c r="T987" s="43"/>
      <c r="W987" t="str">
        <f t="shared" si="424"/>
        <v>CDIPoço SPH-7 (P-3)Poço CG</v>
      </c>
      <c r="X98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8" spans="1:24" ht="12.5" x14ac:dyDescent="0.25">
      <c r="A988" s="19"/>
      <c r="B988" s="19" t="s">
        <v>31</v>
      </c>
      <c r="C988" s="5" t="s">
        <v>85</v>
      </c>
      <c r="D988" s="20" t="s">
        <v>26</v>
      </c>
      <c r="E988" s="35"/>
      <c r="F988" s="29" cm="1">
        <f t="array" ref="F988">IF(V988 &lt;&gt; "", V988, IFERROR(_xlfn.SINGLE(INDEX($G$1:G987,SUMPRODUCT(MAX(($W$1:W987=W988)*(ROW($W$1:W987))))))+IF(D988="Fiscal",30,90),""))</f>
        <v>46120</v>
      </c>
      <c r="G988" s="21"/>
      <c r="H988" s="15" t="str">
        <f t="shared" si="421"/>
        <v>Erro</v>
      </c>
      <c r="I988" s="15"/>
      <c r="J988" s="32"/>
      <c r="K988" s="15" t="str">
        <f t="shared" si="422"/>
        <v>Erro</v>
      </c>
      <c r="L988" s="15"/>
      <c r="M988" s="15" t="str">
        <f t="shared" si="423"/>
        <v>Erro</v>
      </c>
      <c r="N988" s="13"/>
      <c r="O988" s="2" t="str">
        <f>IFERROR(IF(tblColetas[[#This Row],[Status Coleta]]="Reprovado","Reprovado",IF(ISERROR(SEARCH("Poço",D988)),IF(N988="","Erro",IF(Q988="Reprovado","",WORKDAY(N988,IF(D988="Operacional",10,3),FERIADOS!$A$3:$A$119))),"-")),"-")</f>
        <v>-</v>
      </c>
      <c r="P988" s="21"/>
      <c r="Q988" s="7"/>
      <c r="R988" s="13"/>
      <c r="S988" s="30"/>
      <c r="T988" s="43"/>
      <c r="W988" t="str">
        <f t="shared" si="424"/>
        <v>CDIPoço SPH-17 (P-9)Poço CG</v>
      </c>
      <c r="X98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89" spans="1:24" ht="12.5" x14ac:dyDescent="0.25">
      <c r="A989" s="19"/>
      <c r="B989" s="19" t="s">
        <v>31</v>
      </c>
      <c r="C989" s="5" t="s">
        <v>85</v>
      </c>
      <c r="D989" s="20" t="s">
        <v>29</v>
      </c>
      <c r="E989" s="35"/>
      <c r="F989" s="29" cm="1">
        <f t="array" ref="F989">IF(V989 &lt;&gt; "", V989, IFERROR(_xlfn.SINGLE(INDEX($G$1:G988,SUMPRODUCT(MAX(($W$1:W988=W989)*(ROW($W$1:W988))))))+IF(D989="Fiscal",30,90),""))</f>
        <v>46120</v>
      </c>
      <c r="G989" s="21"/>
      <c r="H989" s="15" t="str">
        <f t="shared" si="421"/>
        <v>Erro</v>
      </c>
      <c r="I989" s="15"/>
      <c r="J989" s="32"/>
      <c r="K989" s="15" t="str">
        <f t="shared" si="422"/>
        <v>Erro</v>
      </c>
      <c r="L989" s="15"/>
      <c r="M989" s="15" t="str">
        <f t="shared" si="423"/>
        <v>Erro</v>
      </c>
      <c r="N989" s="13"/>
      <c r="O989" s="2" t="str">
        <f>IFERROR(IF(tblColetas[[#This Row],[Status Coleta]]="Reprovado","Reprovado",IF(ISERROR(SEARCH("Poço",D989)),IF(N989="","Erro",IF(Q989="Reprovado","",WORKDAY(N989,IF(D989="Operacional",10,3),FERIADOS!$A$3:$A$119))),"-")),"-")</f>
        <v>-</v>
      </c>
      <c r="P989" s="21"/>
      <c r="Q989" s="7"/>
      <c r="R989" s="13"/>
      <c r="S989" s="30"/>
      <c r="T989" s="43"/>
      <c r="W989" t="str">
        <f t="shared" si="424"/>
        <v>CDIPoço SPH-17 (P-9)Poço PVT</v>
      </c>
      <c r="X98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0" spans="1:24" ht="12.5" x14ac:dyDescent="0.25">
      <c r="A990" s="19"/>
      <c r="B990" s="19" t="s">
        <v>31</v>
      </c>
      <c r="C990" s="5" t="s">
        <v>95</v>
      </c>
      <c r="D990" s="20" t="s">
        <v>29</v>
      </c>
      <c r="E990" s="35"/>
      <c r="F990" s="29" cm="1">
        <f t="array" ref="F990">IF(V990 &lt;&gt; "", V990, IFERROR(_xlfn.SINGLE(INDEX($G$1:G989,SUMPRODUCT(MAX(($W$1:W989=W990)*(ROW($W$1:W989))))))+IF(D990="Fiscal",30,90),""))</f>
        <v>46124</v>
      </c>
      <c r="G990" s="21"/>
      <c r="H990" s="15" t="str">
        <f t="shared" si="421"/>
        <v>Erro</v>
      </c>
      <c r="I990" s="15"/>
      <c r="J990" s="32"/>
      <c r="K990" s="15" t="str">
        <f t="shared" si="422"/>
        <v>Erro</v>
      </c>
      <c r="L990" s="15"/>
      <c r="M990" s="15" t="str">
        <f t="shared" si="423"/>
        <v>Erro</v>
      </c>
      <c r="N990" s="13"/>
      <c r="O990" s="2" t="str">
        <f>IFERROR(IF(tblColetas[[#This Row],[Status Coleta]]="Reprovado","Reprovado",IF(ISERROR(SEARCH("Poço",D990)),IF(N990="","Erro",IF(Q990="Reprovado","",WORKDAY(N990,IF(D990="Operacional",10,3),FERIADOS!$A$3:$A$119))),"-")),"-")</f>
        <v>-</v>
      </c>
      <c r="P990" s="21"/>
      <c r="Q990" s="7"/>
      <c r="R990" s="13"/>
      <c r="S990" s="30"/>
      <c r="T990" s="43"/>
      <c r="W990" t="str">
        <f t="shared" si="424"/>
        <v>CDIPoço SPH-20 (P-5)Poço PVT</v>
      </c>
      <c r="X99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1" spans="1:24" ht="12.5" x14ac:dyDescent="0.25">
      <c r="A991" s="19"/>
      <c r="B991" s="19" t="s">
        <v>31</v>
      </c>
      <c r="C991" s="5" t="s">
        <v>95</v>
      </c>
      <c r="D991" s="20" t="s">
        <v>26</v>
      </c>
      <c r="E991" s="35"/>
      <c r="F991" s="29" cm="1">
        <f t="array" ref="F991">IF(V991 &lt;&gt; "", V991, IFERROR(_xlfn.SINGLE(INDEX($G$1:G990,SUMPRODUCT(MAX(($W$1:W990=W991)*(ROW($W$1:W990))))))+IF(D991="Fiscal",30,90),""))</f>
        <v>46124</v>
      </c>
      <c r="G991" s="21"/>
      <c r="H991" s="15" t="str">
        <f t="shared" si="421"/>
        <v>Erro</v>
      </c>
      <c r="I991" s="15"/>
      <c r="J991" s="32"/>
      <c r="K991" s="15" t="str">
        <f t="shared" si="422"/>
        <v>Erro</v>
      </c>
      <c r="L991" s="15"/>
      <c r="M991" s="15" t="str">
        <f t="shared" si="423"/>
        <v>Erro</v>
      </c>
      <c r="N991" s="13"/>
      <c r="O991" s="2" t="str">
        <f>IFERROR(IF(tblColetas[[#This Row],[Status Coleta]]="Reprovado","Reprovado",IF(ISERROR(SEARCH("Poço",D991)),IF(N991="","Erro",IF(Q991="Reprovado","",WORKDAY(N991,IF(D991="Operacional",10,3),FERIADOS!$A$3:$A$119))),"-")),"-")</f>
        <v>-</v>
      </c>
      <c r="P991" s="21"/>
      <c r="Q991" s="7"/>
      <c r="R991" s="13"/>
      <c r="S991" s="30"/>
      <c r="T991" s="43"/>
      <c r="W991" t="str">
        <f t="shared" si="424"/>
        <v>CDIPoço SPH-20 (P-5)Poço CG</v>
      </c>
      <c r="X99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2" spans="1:24" ht="12.5" x14ac:dyDescent="0.25">
      <c r="A992" s="19"/>
      <c r="B992" s="19" t="s">
        <v>31</v>
      </c>
      <c r="C992" s="5" t="s">
        <v>79</v>
      </c>
      <c r="D992" s="20" t="s">
        <v>26</v>
      </c>
      <c r="E992" s="35"/>
      <c r="F992" s="29" cm="1">
        <f t="array" ref="F992">IF(V992 &lt;&gt; "", V992, IFERROR(_xlfn.SINGLE(INDEX($G$1:G991,SUMPRODUCT(MAX(($W$1:W991=W992)*(ROW($W$1:W991))))))+IF(D992="Fiscal",30,90),""))</f>
        <v>46123</v>
      </c>
      <c r="G992" s="21"/>
      <c r="H992" s="15" t="str">
        <f t="shared" si="421"/>
        <v>Erro</v>
      </c>
      <c r="I992" s="15"/>
      <c r="J992" s="32"/>
      <c r="K992" s="15" t="str">
        <f t="shared" si="422"/>
        <v>Erro</v>
      </c>
      <c r="L992" s="15"/>
      <c r="M992" s="15" t="str">
        <f t="shared" si="423"/>
        <v>Erro</v>
      </c>
      <c r="N992" s="13"/>
      <c r="O992" s="2" t="str">
        <f>IFERROR(IF(tblColetas[[#This Row],[Status Coleta]]="Reprovado","Reprovado",IF(ISERROR(SEARCH("Poço",D992)),IF(N992="","Erro",IF(Q992="Reprovado","",WORKDAY(N992,IF(D992="Operacional",10,3),FERIADOS!$A$3:$A$119))),"-")),"-")</f>
        <v>-</v>
      </c>
      <c r="P992" s="21"/>
      <c r="Q992" s="7"/>
      <c r="R992" s="13"/>
      <c r="S992" s="30"/>
      <c r="T992" s="43"/>
      <c r="W992" t="str">
        <f t="shared" si="424"/>
        <v>CDIPoço SPH-14 (P-6)Poço CG</v>
      </c>
      <c r="X99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3" spans="1:24" ht="12.5" x14ac:dyDescent="0.25">
      <c r="A993" s="19"/>
      <c r="B993" s="19" t="s">
        <v>31</v>
      </c>
      <c r="C993" s="5" t="s">
        <v>79</v>
      </c>
      <c r="D993" s="20" t="s">
        <v>29</v>
      </c>
      <c r="E993" s="35"/>
      <c r="F993" s="29" cm="1">
        <f t="array" ref="F993">IF(V993 &lt;&gt; "", V993, IFERROR(_xlfn.SINGLE(INDEX($G$1:G992,SUMPRODUCT(MAX(($W$1:W992=W993)*(ROW($W$1:W992))))))+IF(D993="Fiscal",30,90),""))</f>
        <v>46123</v>
      </c>
      <c r="G993" s="21"/>
      <c r="H993" s="15" t="str">
        <f t="shared" si="421"/>
        <v>Erro</v>
      </c>
      <c r="I993" s="15"/>
      <c r="J993" s="32"/>
      <c r="K993" s="15" t="str">
        <f t="shared" si="422"/>
        <v>Erro</v>
      </c>
      <c r="L993" s="15"/>
      <c r="M993" s="15" t="str">
        <f t="shared" si="423"/>
        <v>Erro</v>
      </c>
      <c r="N993" s="13"/>
      <c r="O993" s="2" t="str">
        <f>IFERROR(IF(tblColetas[[#This Row],[Status Coleta]]="Reprovado","Reprovado",IF(ISERROR(SEARCH("Poço",D993)),IF(N993="","Erro",IF(Q993="Reprovado","",WORKDAY(N993,IF(D993="Operacional",10,3),FERIADOS!$A$3:$A$119))),"-")),"-")</f>
        <v>-</v>
      </c>
      <c r="P993" s="21"/>
      <c r="Q993" s="7"/>
      <c r="R993" s="13"/>
      <c r="S993" s="30"/>
      <c r="T993" s="43"/>
      <c r="W993" t="str">
        <f t="shared" si="424"/>
        <v>CDIPoço SPH-14 (P-6)Poço PVT</v>
      </c>
      <c r="X99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4" spans="1:24" ht="12.5" x14ac:dyDescent="0.25">
      <c r="A994" s="19"/>
      <c r="B994" s="19" t="s">
        <v>52</v>
      </c>
      <c r="C994" s="5" t="s">
        <v>53</v>
      </c>
      <c r="D994" s="20" t="s">
        <v>29</v>
      </c>
      <c r="E994" s="35"/>
      <c r="F994" s="29" cm="1">
        <f t="array" ref="F994">IF(V994 &lt;&gt; "", V994, IFERROR(_xlfn.SINGLE(INDEX($G$1:G993,SUMPRODUCT(MAX(($W$1:W993=W994)*(ROW($W$1:W993))))))+IF(D994="Fiscal",30,90),""))</f>
        <v>46122</v>
      </c>
      <c r="G994" s="21"/>
      <c r="H994" s="15" t="str">
        <f t="shared" ref="H994:H1004" si="425">IF(G994="","Erro", G994+10)</f>
        <v>Erro</v>
      </c>
      <c r="I994" s="15"/>
      <c r="J994" s="32"/>
      <c r="K994" s="15" t="str">
        <f t="shared" ref="K994:K1004" si="426">IF(G994="","Erro",G994+20)</f>
        <v>Erro</v>
      </c>
      <c r="L994" s="15"/>
      <c r="M994" s="15" t="str">
        <f t="shared" ref="M994:M1004" si="427">IF(G994="","Erro",G994+IF(D994="Operacional",45,25))</f>
        <v>Erro</v>
      </c>
      <c r="N994" s="13"/>
      <c r="O994" s="2" t="str">
        <f>IFERROR(IF(tblColetas[[#This Row],[Status Coleta]]="Reprovado","Reprovado",IF(ISERROR(SEARCH("Poço",D994)),IF(N994="","Erro",IF(Q994="Reprovado","",WORKDAY(N994,IF(D994="Operacional",10,3),FERIADOS!$A$3:$A$119))),"-")),"-")</f>
        <v>-</v>
      </c>
      <c r="P994" s="21"/>
      <c r="Q994" s="7"/>
      <c r="R994" s="13"/>
      <c r="S994" s="30"/>
      <c r="T994" s="43"/>
      <c r="W994" t="str">
        <f t="shared" ref="W994:W1004" si="428">B994&amp;C994&amp;D994</f>
        <v>SEPPoço MRO-27  P-8Poço PVT</v>
      </c>
      <c r="X99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5" spans="1:24" ht="12.5" x14ac:dyDescent="0.25">
      <c r="A995" s="19"/>
      <c r="B995" s="19" t="s">
        <v>52</v>
      </c>
      <c r="C995" s="5" t="s">
        <v>53</v>
      </c>
      <c r="D995" s="20" t="s">
        <v>26</v>
      </c>
      <c r="E995" s="35"/>
      <c r="F995" s="29" cm="1">
        <f t="array" ref="F995">IF(V995 &lt;&gt; "", V995, IFERROR(_xlfn.SINGLE(INDEX($G$1:G994,SUMPRODUCT(MAX(($W$1:W994=W995)*(ROW($W$1:W994))))))+IF(D995="Fiscal",30,90),""))</f>
        <v>46122</v>
      </c>
      <c r="G995" s="21"/>
      <c r="H995" s="15" t="str">
        <f t="shared" si="425"/>
        <v>Erro</v>
      </c>
      <c r="I995" s="15"/>
      <c r="J995" s="32"/>
      <c r="K995" s="15" t="str">
        <f t="shared" si="426"/>
        <v>Erro</v>
      </c>
      <c r="L995" s="15"/>
      <c r="M995" s="15" t="str">
        <f t="shared" si="427"/>
        <v>Erro</v>
      </c>
      <c r="N995" s="13"/>
      <c r="O995" s="2" t="str">
        <f>IFERROR(IF(tblColetas[[#This Row],[Status Coleta]]="Reprovado","Reprovado",IF(ISERROR(SEARCH("Poço",D995)),IF(N995="","Erro",IF(Q995="Reprovado","",WORKDAY(N995,IF(D995="Operacional",10,3),FERIADOS!$A$3:$A$119))),"-")),"-")</f>
        <v>-</v>
      </c>
      <c r="P995" s="21"/>
      <c r="Q995" s="7"/>
      <c r="R995" s="13"/>
      <c r="S995" s="30"/>
      <c r="T995" s="43"/>
      <c r="W995" t="str">
        <f t="shared" si="428"/>
        <v>SEPPoço MRO-27  P-8Poço CG</v>
      </c>
      <c r="X99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6" spans="1:24" ht="12.5" x14ac:dyDescent="0.25">
      <c r="A996" s="19"/>
      <c r="B996" s="19" t="s">
        <v>46</v>
      </c>
      <c r="C996" s="5" t="s">
        <v>47</v>
      </c>
      <c r="D996" s="20" t="s">
        <v>26</v>
      </c>
      <c r="E996" s="35"/>
      <c r="F996" s="29" cm="1">
        <f t="array" ref="F996">IF(V996 &lt;&gt; "", V996, IFERROR(_xlfn.SINGLE(INDEX($G$1:G995,SUMPRODUCT(MAX(($W$1:W995=W996)*(ROW($W$1:W995))))))+IF(D996="Fiscal",30,90),""))</f>
        <v>46120</v>
      </c>
      <c r="G996" s="21"/>
      <c r="H996" s="15" t="str">
        <f t="shared" si="425"/>
        <v>Erro</v>
      </c>
      <c r="I996" s="15"/>
      <c r="J996" s="32"/>
      <c r="K996" s="15" t="str">
        <f t="shared" si="426"/>
        <v>Erro</v>
      </c>
      <c r="L996" s="15"/>
      <c r="M996" s="15" t="str">
        <f t="shared" si="427"/>
        <v>Erro</v>
      </c>
      <c r="N996" s="13"/>
      <c r="O996" s="2" t="str">
        <f>IFERROR(IF(tblColetas[[#This Row],[Status Coleta]]="Reprovado","Reprovado",IF(ISERROR(SEARCH("Poço",D996)),IF(N996="","Erro",IF(Q996="Reprovado","",WORKDAY(N996,IF(D996="Operacional",10,3),FERIADOS!$A$3:$A$119))),"-")),"-")</f>
        <v>-</v>
      </c>
      <c r="P996" s="21"/>
      <c r="Q996" s="7"/>
      <c r="R996" s="13"/>
      <c r="S996" s="30"/>
      <c r="T996" s="43"/>
      <c r="W996" t="str">
        <f t="shared" si="428"/>
        <v>CDMPoço LL-87 (P-14)Poço CG</v>
      </c>
      <c r="X99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7" spans="1:24" ht="12.5" x14ac:dyDescent="0.25">
      <c r="A997" s="19"/>
      <c r="B997" s="19" t="s">
        <v>46</v>
      </c>
      <c r="C997" s="5" t="s">
        <v>47</v>
      </c>
      <c r="D997" s="20" t="s">
        <v>29</v>
      </c>
      <c r="E997" s="35"/>
      <c r="F997" s="29" cm="1">
        <f t="array" ref="F997">IF(V997 &lt;&gt; "", V997, IFERROR(_xlfn.SINGLE(INDEX($G$1:G996,SUMPRODUCT(MAX(($W$1:W996=W997)*(ROW($W$1:W996))))))+IF(D997="Fiscal",30,90),""))</f>
        <v>46120</v>
      </c>
      <c r="G997" s="21"/>
      <c r="H997" s="15" t="str">
        <f t="shared" si="425"/>
        <v>Erro</v>
      </c>
      <c r="I997" s="15"/>
      <c r="J997" s="32"/>
      <c r="K997" s="15" t="str">
        <f t="shared" si="426"/>
        <v>Erro</v>
      </c>
      <c r="L997" s="15"/>
      <c r="M997" s="15" t="str">
        <f t="shared" si="427"/>
        <v>Erro</v>
      </c>
      <c r="N997" s="13"/>
      <c r="O997" s="2" t="str">
        <f>IFERROR(IF(tblColetas[[#This Row],[Status Coleta]]="Reprovado","Reprovado",IF(ISERROR(SEARCH("Poço",D997)),IF(N997="","Erro",IF(Q997="Reprovado","",WORKDAY(N997,IF(D997="Operacional",10,3),FERIADOS!$A$3:$A$119))),"-")),"-")</f>
        <v>-</v>
      </c>
      <c r="P997" s="21"/>
      <c r="Q997" s="7"/>
      <c r="R997" s="13"/>
      <c r="S997" s="30"/>
      <c r="T997" s="43"/>
      <c r="W997" t="str">
        <f t="shared" si="428"/>
        <v>CDMPoço LL-87 (P-14)Poço PVT</v>
      </c>
      <c r="X99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8" spans="1:24" ht="12.5" x14ac:dyDescent="0.25">
      <c r="A998" s="19"/>
      <c r="B998" s="19" t="s">
        <v>34</v>
      </c>
      <c r="C998" s="5" t="s">
        <v>89</v>
      </c>
      <c r="D998" s="20" t="s">
        <v>26</v>
      </c>
      <c r="E998" s="35"/>
      <c r="F998" s="29" cm="1">
        <f t="array" ref="F998">IF(V998 &lt;&gt; "", V998, IFERROR(_xlfn.SINGLE(INDEX($G$1:G997,SUMPRODUCT(MAX(($W$1:W997=W998)*(ROW($W$1:W997))))))+IF(D998="Fiscal",30,90),""))</f>
        <v>46122</v>
      </c>
      <c r="G998" s="21"/>
      <c r="H998" s="15" t="str">
        <f t="shared" si="425"/>
        <v>Erro</v>
      </c>
      <c r="I998" s="15"/>
      <c r="J998" s="32"/>
      <c r="K998" s="15" t="str">
        <f t="shared" si="426"/>
        <v>Erro</v>
      </c>
      <c r="L998" s="15"/>
      <c r="M998" s="15" t="str">
        <f t="shared" si="427"/>
        <v>Erro</v>
      </c>
      <c r="N998" s="13"/>
      <c r="O998" s="2" t="str">
        <f>IFERROR(IF(tblColetas[[#This Row],[Status Coleta]]="Reprovado","Reprovado",IF(ISERROR(SEARCH("Poço",D998)),IF(N998="","Erro",IF(Q998="Reprovado","",WORKDAY(N998,IF(D998="Operacional",10,3),FERIADOS!$A$3:$A$119))),"-")),"-")</f>
        <v>-</v>
      </c>
      <c r="P998" s="21"/>
      <c r="Q998" s="7"/>
      <c r="R998" s="13"/>
      <c r="S998" s="30"/>
      <c r="T998" s="43"/>
      <c r="W998" t="str">
        <f t="shared" si="428"/>
        <v>CDSPoço LL-46 (P-01)Poço CG</v>
      </c>
      <c r="X99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999" spans="1:24" ht="12.5" x14ac:dyDescent="0.25">
      <c r="A999" s="19"/>
      <c r="B999" s="19" t="s">
        <v>34</v>
      </c>
      <c r="C999" s="5" t="s">
        <v>89</v>
      </c>
      <c r="D999" s="20" t="s">
        <v>29</v>
      </c>
      <c r="E999" s="35"/>
      <c r="F999" s="29" cm="1">
        <f t="array" ref="F999">IF(V999 &lt;&gt; "", V999, IFERROR(_xlfn.SINGLE(INDEX($G$1:G998,SUMPRODUCT(MAX(($W$1:W998=W999)*(ROW($W$1:W998))))))+IF(D999="Fiscal",30,90),""))</f>
        <v>46122</v>
      </c>
      <c r="G999" s="21"/>
      <c r="H999" s="15" t="str">
        <f t="shared" si="425"/>
        <v>Erro</v>
      </c>
      <c r="I999" s="15"/>
      <c r="J999" s="32"/>
      <c r="K999" s="15" t="str">
        <f t="shared" si="426"/>
        <v>Erro</v>
      </c>
      <c r="L999" s="15"/>
      <c r="M999" s="15" t="str">
        <f t="shared" si="427"/>
        <v>Erro</v>
      </c>
      <c r="N999" s="13"/>
      <c r="O999" s="2" t="str">
        <f>IFERROR(IF(tblColetas[[#This Row],[Status Coleta]]="Reprovado","Reprovado",IF(ISERROR(SEARCH("Poço",D999)),IF(N999="","Erro",IF(Q999="Reprovado","",WORKDAY(N999,IF(D999="Operacional",10,3),FERIADOS!$A$3:$A$119))),"-")),"-")</f>
        <v>-</v>
      </c>
      <c r="P999" s="21"/>
      <c r="Q999" s="7"/>
      <c r="R999" s="13"/>
      <c r="S999" s="30"/>
      <c r="T999" s="43"/>
      <c r="W999" t="str">
        <f t="shared" si="428"/>
        <v>CDSPoço LL-46 (P-01)Poço PVT</v>
      </c>
      <c r="X99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0" spans="1:24" ht="12.5" x14ac:dyDescent="0.25">
      <c r="A1000" s="19"/>
      <c r="B1000" s="19" t="s">
        <v>38</v>
      </c>
      <c r="C1000" s="5" t="s">
        <v>74</v>
      </c>
      <c r="D1000" s="20" t="s">
        <v>72</v>
      </c>
      <c r="E1000" s="35"/>
      <c r="F1000" s="29" cm="1">
        <f t="array" ref="F1000">IF(V1000 &lt;&gt; "", V1000, IFERROR(_xlfn.SINGLE(INDEX($G$1:G999,SUMPRODUCT(MAX(($W$1:W999=W1000)*(ROW($W$1:W999))))))+IF(D1000="Fiscal",30,90),""))</f>
        <v>46061</v>
      </c>
      <c r="G1000" s="21">
        <v>46059</v>
      </c>
      <c r="H1000" s="15">
        <f t="shared" si="425"/>
        <v>46069</v>
      </c>
      <c r="I1000" s="15"/>
      <c r="J1000" s="32"/>
      <c r="K1000" s="15">
        <f t="shared" si="426"/>
        <v>46079</v>
      </c>
      <c r="L1000" s="15"/>
      <c r="M1000" s="15">
        <f t="shared" si="427"/>
        <v>46084</v>
      </c>
      <c r="N1000" s="13"/>
      <c r="O1000" s="2" t="str">
        <f>IFERROR(IF(tblColetas[[#This Row],[Status Coleta]]="Reprovado","Reprovado",IF(ISERROR(SEARCH("Poço",D1000)),IF(N1000="","Erro",IF(Q1000="Reprovado","",WORKDAY(N1000,IF(D1000="Operacional",10,3),FERIADOS!$A$3:$A$119))),"-")),"-")</f>
        <v>Erro</v>
      </c>
      <c r="P1000" s="21"/>
      <c r="Q1000" s="7"/>
      <c r="R1000" s="13"/>
      <c r="S1000" s="30"/>
      <c r="T1000" s="43"/>
      <c r="W1000" t="str">
        <f t="shared" si="428"/>
        <v>CDPT76-FT-0014 (HP Flare)Fiscal</v>
      </c>
      <c r="X100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1" spans="1:24" ht="12.5" x14ac:dyDescent="0.25">
      <c r="A1001" s="19"/>
      <c r="B1001" s="19" t="s">
        <v>38</v>
      </c>
      <c r="C1001" s="5" t="s">
        <v>75</v>
      </c>
      <c r="D1001" s="20" t="s">
        <v>72</v>
      </c>
      <c r="E1001" s="35"/>
      <c r="F1001" s="29" cm="1">
        <f t="array" ref="F1001">IF(V1001 &lt;&gt; "", V1001, IFERROR(_xlfn.SINGLE(INDEX($G$1:G1000,SUMPRODUCT(MAX(($W$1:W1000=W1001)*(ROW($W$1:W1000))))))+IF(D1001="Fiscal",30,90),""))</f>
        <v>46062</v>
      </c>
      <c r="G1001" s="21">
        <v>46059</v>
      </c>
      <c r="H1001" s="15">
        <f t="shared" si="425"/>
        <v>46069</v>
      </c>
      <c r="I1001" s="15"/>
      <c r="J1001" s="32"/>
      <c r="K1001" s="15">
        <f t="shared" si="426"/>
        <v>46079</v>
      </c>
      <c r="L1001" s="15"/>
      <c r="M1001" s="15">
        <f t="shared" si="427"/>
        <v>46084</v>
      </c>
      <c r="N1001" s="13"/>
      <c r="O1001" s="2" t="str">
        <f>IFERROR(IF(tblColetas[[#This Row],[Status Coleta]]="Reprovado","Reprovado",IF(ISERROR(SEARCH("Poço",D1001)),IF(N1001="","Erro",IF(Q1001="Reprovado","",WORKDAY(N1001,IF(D1001="Operacional",10,3),FERIADOS!$A$3:$A$119))),"-")),"-")</f>
        <v>Erro</v>
      </c>
      <c r="P1001" s="21"/>
      <c r="Q1001" s="7"/>
      <c r="R1001" s="13"/>
      <c r="S1001" s="30"/>
      <c r="T1001" s="43"/>
      <c r="W1001" t="str">
        <f t="shared" si="428"/>
        <v>CDPT76-FT-0034 (LP Flare)Fiscal</v>
      </c>
      <c r="X100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2" spans="1:24" ht="12.5" x14ac:dyDescent="0.25">
      <c r="A1002" s="19"/>
      <c r="B1002" s="19" t="s">
        <v>38</v>
      </c>
      <c r="C1002" s="5" t="s">
        <v>71</v>
      </c>
      <c r="D1002" s="20" t="s">
        <v>72</v>
      </c>
      <c r="E1002" s="35"/>
      <c r="F1002" s="29" cm="1">
        <f t="array" ref="F1002">IF(V1002 &lt;&gt; "", V1002, IFERROR(_xlfn.SINGLE(INDEX($G$1:G1001,SUMPRODUCT(MAX(($W$1:W1001=W1002)*(ROW($W$1:W1001))))))+IF(D1002="Fiscal",30,90),""))</f>
        <v>46061</v>
      </c>
      <c r="G1002" s="21">
        <v>46059</v>
      </c>
      <c r="H1002" s="15">
        <f t="shared" si="425"/>
        <v>46069</v>
      </c>
      <c r="I1002" s="15"/>
      <c r="J1002" s="32"/>
      <c r="K1002" s="15">
        <f t="shared" si="426"/>
        <v>46079</v>
      </c>
      <c r="L1002" s="15"/>
      <c r="M1002" s="15">
        <f t="shared" si="427"/>
        <v>46084</v>
      </c>
      <c r="N1002" s="13"/>
      <c r="O1002" s="2" t="str">
        <f>IFERROR(IF(tblColetas[[#This Row],[Status Coleta]]="Reprovado","Reprovado",IF(ISERROR(SEARCH("Poço",D1002)),IF(N1002="","Erro",IF(Q1002="Reprovado","",WORKDAY(N1002,IF(D1002="Operacional",10,3),FERIADOS!$A$3:$A$119))),"-")),"-")</f>
        <v>Erro</v>
      </c>
      <c r="P1002" s="21"/>
      <c r="Q1002" s="7"/>
      <c r="R1002" s="13"/>
      <c r="S1002" s="30"/>
      <c r="T1002" s="43"/>
      <c r="W1002" t="str">
        <f t="shared" si="428"/>
        <v>CDPT77-FT-0103 (Fuel Gas)Fiscal</v>
      </c>
      <c r="X100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3" spans="1:24" ht="12.5" x14ac:dyDescent="0.25">
      <c r="A1003" s="19"/>
      <c r="B1003" s="19" t="s">
        <v>38</v>
      </c>
      <c r="C1003" s="5" t="s">
        <v>98</v>
      </c>
      <c r="D1003" s="20" t="s">
        <v>72</v>
      </c>
      <c r="E1003" s="35"/>
      <c r="F1003" s="29" cm="1">
        <f t="array" ref="F1003">IF(V1003 &lt;&gt; "", V1003, IFERROR(_xlfn.SINGLE(INDEX($G$1:G1002,SUMPRODUCT(MAX(($W$1:W1002=W1003)*(ROW($W$1:W1002))))))+IF(D1003="Fiscal",30,90),""))</f>
        <v>46061</v>
      </c>
      <c r="G1003" s="21">
        <v>46059</v>
      </c>
      <c r="H1003" s="15">
        <f t="shared" si="425"/>
        <v>46069</v>
      </c>
      <c r="I1003" s="15"/>
      <c r="J1003" s="32"/>
      <c r="K1003" s="15">
        <f t="shared" si="426"/>
        <v>46079</v>
      </c>
      <c r="L1003" s="15"/>
      <c r="M1003" s="15">
        <f t="shared" si="427"/>
        <v>46084</v>
      </c>
      <c r="N1003" s="13"/>
      <c r="O1003" s="2" t="str">
        <f>IFERROR(IF(tblColetas[[#This Row],[Status Coleta]]="Reprovado","Reprovado",IF(ISERROR(SEARCH("Poço",D1003)),IF(N1003="","Erro",IF(Q1003="Reprovado","",WORKDAY(N1003,IF(D1003="Operacional",10,3),FERIADOS!$A$3:$A$119))),"-")),"-")</f>
        <v>Erro</v>
      </c>
      <c r="P1003" s="21"/>
      <c r="Q1003" s="7"/>
      <c r="R1003" s="13"/>
      <c r="S1003" s="30"/>
      <c r="T1003" s="43"/>
      <c r="W1003" t="str">
        <f t="shared" si="428"/>
        <v>CDPT74-FT-6701 (Export Gas)Fiscal</v>
      </c>
      <c r="X100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4" spans="1:24" ht="12.5" x14ac:dyDescent="0.25">
      <c r="A1004" s="19"/>
      <c r="B1004" s="19" t="s">
        <v>38</v>
      </c>
      <c r="C1004" s="5" t="s">
        <v>99</v>
      </c>
      <c r="D1004" s="20" t="s">
        <v>70</v>
      </c>
      <c r="E1004" s="35"/>
      <c r="F1004" s="29" cm="1">
        <f t="array" ref="F1004">IF(V1004 &lt;&gt; "", V1004, IFERROR(_xlfn.SINGLE(INDEX($G$1:G1003,SUMPRODUCT(MAX(($W$1:W1003=W1004)*(ROW($W$1:W1003))))))+IF(D1004="Fiscal",30,90),""))</f>
        <v>46121</v>
      </c>
      <c r="G1004" s="21"/>
      <c r="H1004" s="15" t="str">
        <f t="shared" si="425"/>
        <v>Erro</v>
      </c>
      <c r="I1004" s="15"/>
      <c r="J1004" s="32"/>
      <c r="K1004" s="15" t="str">
        <f t="shared" si="426"/>
        <v>Erro</v>
      </c>
      <c r="L1004" s="15"/>
      <c r="M1004" s="15" t="str">
        <f t="shared" si="427"/>
        <v>Erro</v>
      </c>
      <c r="N1004" s="13"/>
      <c r="O1004" s="2" t="str">
        <f>IFERROR(IF(tblColetas[[#This Row],[Status Coleta]]="Reprovado","Reprovado",IF(ISERROR(SEARCH("Poço",D1004)),IF(N1004="","Erro",IF(Q1004="Reprovado","",WORKDAY(N1004,IF(D1004="Operacional",10,3),FERIADOS!$A$3:$A$119))),"-")),"-")</f>
        <v>Erro</v>
      </c>
      <c r="P1004" s="21"/>
      <c r="Q1004" s="7"/>
      <c r="R1004" s="13"/>
      <c r="S1004" s="30"/>
      <c r="T1004" s="43"/>
      <c r="W1004" t="str">
        <f t="shared" si="428"/>
        <v>CDPT73-AP-0016 (Gas Lift)Gas Lift</v>
      </c>
      <c r="X100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5" spans="1:24" ht="12.5" x14ac:dyDescent="0.25">
      <c r="A1005" s="19"/>
      <c r="B1005" s="19" t="s">
        <v>31</v>
      </c>
      <c r="C1005" s="5" t="s">
        <v>108</v>
      </c>
      <c r="D1005" s="20" t="s">
        <v>26</v>
      </c>
      <c r="E1005" s="35"/>
      <c r="F1005" s="29" cm="1">
        <f t="array" ref="F1005">IF(V1005 &lt;&gt; "", V1005, IFERROR(_xlfn.SINGLE(INDEX($G$1:G1004,SUMPRODUCT(MAX(($W$1:W1004=W1005)*(ROW($W$1:W1004))))))+IF(D1005="Fiscal",30,90),""))</f>
        <v>46124</v>
      </c>
      <c r="G1005" s="21"/>
      <c r="H1005" s="15" t="str">
        <f t="shared" ref="H1005:H1010" si="429">IF(G1005="","Erro", G1005+10)</f>
        <v>Erro</v>
      </c>
      <c r="I1005" s="15"/>
      <c r="J1005" s="32"/>
      <c r="K1005" s="15" t="str">
        <f t="shared" ref="K1005:K1010" si="430">IF(G1005="","Erro",G1005+20)</f>
        <v>Erro</v>
      </c>
      <c r="L1005" s="15"/>
      <c r="M1005" s="15" t="str">
        <f t="shared" ref="M1005:M1010" si="431">IF(G1005="","Erro",G1005+IF(D1005="Operacional",45,25))</f>
        <v>Erro</v>
      </c>
      <c r="N1005" s="13"/>
      <c r="O1005" s="2" t="str">
        <f>IFERROR(IF(tblColetas[[#This Row],[Status Coleta]]="Reprovado","Reprovado",IF(ISERROR(SEARCH("Poço",D1005)),IF(N1005="","Erro",IF(Q1005="Reprovado","",WORKDAY(N1005,IF(D1005="Operacional",10,3),FERIADOS!$A$3:$A$119))),"-")),"-")</f>
        <v>-</v>
      </c>
      <c r="P1005" s="21"/>
      <c r="Q1005" s="7"/>
      <c r="R1005" s="13"/>
      <c r="S1005" s="30"/>
      <c r="T1005" s="43"/>
      <c r="W1005" t="str">
        <f t="shared" ref="W1005:W1010" si="432">B1005&amp;C1005&amp;D1005</f>
        <v>CDIPoço SPH-6 (P-10)Poço CG</v>
      </c>
      <c r="X100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6" spans="1:24" ht="12.5" x14ac:dyDescent="0.25">
      <c r="A1006" s="19"/>
      <c r="B1006" s="19" t="s">
        <v>31</v>
      </c>
      <c r="C1006" s="5" t="s">
        <v>108</v>
      </c>
      <c r="D1006" s="20" t="s">
        <v>29</v>
      </c>
      <c r="E1006" s="35"/>
      <c r="F1006" s="29" cm="1">
        <f t="array" ref="F1006">IF(V1006 &lt;&gt; "", V1006, IFERROR(_xlfn.SINGLE(INDEX($G$1:G1005,SUMPRODUCT(MAX(($W$1:W1005=W1006)*(ROW($W$1:W1005))))))+IF(D1006="Fiscal",30,90),""))</f>
        <v>46124</v>
      </c>
      <c r="G1006" s="21"/>
      <c r="H1006" s="15" t="str">
        <f t="shared" si="429"/>
        <v>Erro</v>
      </c>
      <c r="I1006" s="15"/>
      <c r="J1006" s="32"/>
      <c r="K1006" s="15" t="str">
        <f t="shared" si="430"/>
        <v>Erro</v>
      </c>
      <c r="L1006" s="15"/>
      <c r="M1006" s="15" t="str">
        <f t="shared" si="431"/>
        <v>Erro</v>
      </c>
      <c r="N1006" s="13"/>
      <c r="O1006" s="2" t="str">
        <f>IFERROR(IF(tblColetas[[#This Row],[Status Coleta]]="Reprovado","Reprovado",IF(ISERROR(SEARCH("Poço",D1006)),IF(N1006="","Erro",IF(Q1006="Reprovado","",WORKDAY(N1006,IF(D1006="Operacional",10,3),FERIADOS!$A$3:$A$119))),"-")),"-")</f>
        <v>-</v>
      </c>
      <c r="P1006" s="21"/>
      <c r="Q1006" s="7"/>
      <c r="R1006" s="13"/>
      <c r="S1006" s="30"/>
      <c r="T1006" s="43"/>
      <c r="W1006" t="str">
        <f t="shared" si="432"/>
        <v>CDIPoço SPH-6 (P-10)Poço PVT</v>
      </c>
      <c r="X100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7" spans="1:24" ht="12.5" x14ac:dyDescent="0.25">
      <c r="A1007" s="8"/>
      <c r="B1007" s="8" t="s">
        <v>34</v>
      </c>
      <c r="C1007" s="5" t="s">
        <v>71</v>
      </c>
      <c r="D1007" s="9" t="s">
        <v>72</v>
      </c>
      <c r="E1007" s="36"/>
      <c r="F1007" s="29" cm="1">
        <f t="array" ref="F1007">IF(V1007 &lt;&gt; "", V1007, IFERROR(_xlfn.SINGLE(INDEX($G$1:G1006,SUMPRODUCT(MAX(($W$1:W1006=W1007)*(ROW($W$1:W1006))))))+IF(D1007="Fiscal",30,90),""))</f>
        <v>46065</v>
      </c>
      <c r="G1007" s="13">
        <v>46062</v>
      </c>
      <c r="H1007" s="15">
        <f t="shared" si="429"/>
        <v>46072</v>
      </c>
      <c r="I1007" s="15"/>
      <c r="J1007" s="32"/>
      <c r="K1007" s="15">
        <f t="shared" si="430"/>
        <v>46082</v>
      </c>
      <c r="L1007" s="15"/>
      <c r="M1007" s="15">
        <f t="shared" si="431"/>
        <v>46087</v>
      </c>
      <c r="N1007" s="13"/>
      <c r="O1007" s="2" t="str">
        <f>IFERROR(IF(tblColetas[[#This Row],[Status Coleta]]="Reprovado","Reprovado",IF(ISERROR(SEARCH("Poço",D1007)),IF(N1007="","Erro",IF(Q1007="Reprovado","",WORKDAY(N1007,IF(D1007="Operacional",10,3),FERIADOS!$A$3:$A$119))),"-")),"-")</f>
        <v>Erro</v>
      </c>
      <c r="P1007" s="13"/>
      <c r="Q1007" s="7"/>
      <c r="R1007" s="13"/>
      <c r="S1007" s="30"/>
      <c r="T1007" s="43"/>
      <c r="W1007" t="str">
        <f t="shared" si="432"/>
        <v>CDST77-FT-0103 (Fuel Gas)Fiscal</v>
      </c>
      <c r="X100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8" spans="1:24" ht="12.5" x14ac:dyDescent="0.25">
      <c r="A1008" s="8"/>
      <c r="B1008" s="8" t="s">
        <v>34</v>
      </c>
      <c r="C1008" s="5" t="s">
        <v>73</v>
      </c>
      <c r="D1008" s="9" t="s">
        <v>72</v>
      </c>
      <c r="E1008" s="36"/>
      <c r="F1008" s="29" cm="1">
        <f t="array" ref="F1008">IF(V1008 &lt;&gt; "", V1008, IFERROR(_xlfn.SINGLE(INDEX($G$1:G1007,SUMPRODUCT(MAX(($W$1:W1007=W1008)*(ROW($W$1:W1007))))))+IF(D1008="Fiscal",30,90),""))</f>
        <v>46064</v>
      </c>
      <c r="G1008" s="13">
        <v>46062</v>
      </c>
      <c r="H1008" s="15">
        <f t="shared" si="429"/>
        <v>46072</v>
      </c>
      <c r="I1008" s="15"/>
      <c r="J1008" s="32"/>
      <c r="K1008" s="15">
        <f t="shared" si="430"/>
        <v>46082</v>
      </c>
      <c r="L1008" s="15"/>
      <c r="M1008" s="15">
        <f t="shared" si="431"/>
        <v>46087</v>
      </c>
      <c r="N1008" s="13"/>
      <c r="O1008" s="2" t="str">
        <f>IFERROR(IF(tblColetas[[#This Row],[Status Coleta]]="Reprovado","Reprovado",IF(ISERROR(SEARCH("Poço",D1008)),IF(N1008="","Erro",IF(Q1008="Reprovado","",WORKDAY(N1008,IF(D1008="Operacional",10,3),FERIADOS!$A$3:$A$119))),"-")),"-")</f>
        <v>Erro</v>
      </c>
      <c r="P1008" s="13"/>
      <c r="Q1008" s="7"/>
      <c r="R1008" s="13"/>
      <c r="S1008" s="30"/>
      <c r="T1008" s="43"/>
      <c r="W1008" t="str">
        <f t="shared" si="432"/>
        <v>CDST74-AX-6911 (Export Gas)Fiscal</v>
      </c>
      <c r="X100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09" spans="1:24" ht="12.5" x14ac:dyDescent="0.25">
      <c r="A1009" s="8"/>
      <c r="B1009" s="8" t="s">
        <v>34</v>
      </c>
      <c r="C1009" s="5" t="s">
        <v>74</v>
      </c>
      <c r="D1009" s="9" t="s">
        <v>72</v>
      </c>
      <c r="E1009" s="36"/>
      <c r="F1009" s="29" cm="1">
        <f t="array" ref="F1009">IF(V1009 &lt;&gt; "", V1009, IFERROR(_xlfn.SINGLE(INDEX($G$1:G1008,SUMPRODUCT(MAX(($W$1:W1008=W1009)*(ROW($W$1:W1008))))))+IF(D1009="Fiscal",30,90),""))</f>
        <v>46065</v>
      </c>
      <c r="G1009" s="13">
        <v>46063</v>
      </c>
      <c r="H1009" s="15">
        <f t="shared" si="429"/>
        <v>46073</v>
      </c>
      <c r="I1009" s="15"/>
      <c r="J1009" s="32"/>
      <c r="K1009" s="15">
        <f t="shared" si="430"/>
        <v>46083</v>
      </c>
      <c r="L1009" s="15"/>
      <c r="M1009" s="15">
        <f t="shared" si="431"/>
        <v>46088</v>
      </c>
      <c r="N1009" s="13"/>
      <c r="O1009" s="2" t="str">
        <f>IFERROR(IF(tblColetas[[#This Row],[Status Coleta]]="Reprovado","Reprovado",IF(ISERROR(SEARCH("Poço",D1009)),IF(N1009="","Erro",IF(Q1009="Reprovado","",WORKDAY(N1009,IF(D1009="Operacional",10,3),FERIADOS!$A$3:$A$119))),"-")),"-")</f>
        <v>Erro</v>
      </c>
      <c r="P1009" s="13"/>
      <c r="Q1009" s="7"/>
      <c r="R1009" s="13"/>
      <c r="S1009" s="30"/>
      <c r="T1009" s="43"/>
      <c r="W1009" t="str">
        <f t="shared" si="432"/>
        <v>CDST76-FT-0014 (HP Flare)Fiscal</v>
      </c>
      <c r="X100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0" spans="1:24" ht="12.5" x14ac:dyDescent="0.25">
      <c r="A1010" s="8"/>
      <c r="B1010" s="8" t="s">
        <v>34</v>
      </c>
      <c r="C1010" s="5" t="s">
        <v>75</v>
      </c>
      <c r="D1010" s="9" t="s">
        <v>72</v>
      </c>
      <c r="E1010" s="36"/>
      <c r="F1010" s="29" cm="1">
        <f t="array" ref="F1010">IF(V1010 &lt;&gt; "", V1010, IFERROR(_xlfn.SINGLE(INDEX($G$1:G1009,SUMPRODUCT(MAX(($W$1:W1009=W1010)*(ROW($W$1:W1009))))))+IF(D1010="Fiscal",30,90),""))</f>
        <v>46065</v>
      </c>
      <c r="G1010" s="13">
        <v>46063</v>
      </c>
      <c r="H1010" s="15">
        <f t="shared" si="429"/>
        <v>46073</v>
      </c>
      <c r="I1010" s="15"/>
      <c r="J1010" s="32"/>
      <c r="K1010" s="15">
        <f t="shared" si="430"/>
        <v>46083</v>
      </c>
      <c r="L1010" s="15"/>
      <c r="M1010" s="15">
        <f t="shared" si="431"/>
        <v>46088</v>
      </c>
      <c r="N1010" s="13"/>
      <c r="O1010" s="2" t="str">
        <f>IFERROR(IF(tblColetas[[#This Row],[Status Coleta]]="Reprovado","Reprovado",IF(ISERROR(SEARCH("Poço",D1010)),IF(N1010="","Erro",IF(Q1010="Reprovado","",WORKDAY(N1010,IF(D1010="Operacional",10,3),FERIADOS!$A$3:$A$119))),"-")),"-")</f>
        <v>Erro</v>
      </c>
      <c r="P1010" s="13"/>
      <c r="Q1010" s="7"/>
      <c r="R1010" s="13"/>
      <c r="S1010" s="30"/>
      <c r="T1010" s="43"/>
      <c r="W1010" t="str">
        <f t="shared" si="432"/>
        <v>CDST76-FT-0034 (LP Flare)Fiscal</v>
      </c>
      <c r="X101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1" spans="1:24" ht="12.5" x14ac:dyDescent="0.25">
      <c r="A1011" s="19"/>
      <c r="B1011" s="19" t="s">
        <v>38</v>
      </c>
      <c r="C1011" s="5" t="s">
        <v>39</v>
      </c>
      <c r="D1011" s="20" t="s">
        <v>26</v>
      </c>
      <c r="E1011" s="35"/>
      <c r="F1011" s="29" cm="1">
        <f t="array" ref="F1011">IF(V1011 &lt;&gt; "", V1011, IFERROR(_xlfn.SINGLE(INDEX($G$1:G1010,SUMPRODUCT(MAX(($W$1:W1010=W1011)*(ROW($W$1:W1010))))))+IF(D1011="Fiscal",30,90),""))</f>
        <v>46124</v>
      </c>
      <c r="G1011" s="21"/>
      <c r="H1011" s="15" t="str">
        <f t="shared" ref="H1011:H1018" si="433">IF(G1011="","Erro", G1011+10)</f>
        <v>Erro</v>
      </c>
      <c r="I1011" s="15"/>
      <c r="J1011" s="32"/>
      <c r="K1011" s="15" t="str">
        <f t="shared" ref="K1011:K1018" si="434">IF(G1011="","Erro",G1011+20)</f>
        <v>Erro</v>
      </c>
      <c r="L1011" s="15"/>
      <c r="M1011" s="15" t="str">
        <f t="shared" ref="M1011:M1018" si="435">IF(G1011="","Erro",G1011+IF(D1011="Operacional",45,25))</f>
        <v>Erro</v>
      </c>
      <c r="N1011" s="13"/>
      <c r="O1011" s="2" t="str">
        <f>IFERROR(IF(tblColetas[[#This Row],[Status Coleta]]="Reprovado","Reprovado",IF(ISERROR(SEARCH("Poço",D1011)),IF(N1011="","Erro",IF(Q1011="Reprovado","",WORKDAY(N1011,IF(D1011="Operacional",10,3),FERIADOS!$A$3:$A$119))),"-")),"-")</f>
        <v>-</v>
      </c>
      <c r="P1011" s="21"/>
      <c r="Q1011" s="7"/>
      <c r="R1011" s="13"/>
      <c r="S1011" s="30"/>
      <c r="T1011" s="43"/>
      <c r="W1011" t="str">
        <f t="shared" ref="W1011:W1018" si="436">B1011&amp;C1011&amp;D1011</f>
        <v>CDPPoço LL-119 (P-02)Poço CG</v>
      </c>
      <c r="X101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2" spans="1:24" ht="12.5" x14ac:dyDescent="0.25">
      <c r="A1012" s="19"/>
      <c r="B1012" s="19" t="s">
        <v>38</v>
      </c>
      <c r="C1012" s="5" t="s">
        <v>39</v>
      </c>
      <c r="D1012" s="20" t="s">
        <v>29</v>
      </c>
      <c r="E1012" s="35"/>
      <c r="F1012" s="29" cm="1">
        <f t="array" ref="F1012">IF(V1012 &lt;&gt; "", V1012, IFERROR(_xlfn.SINGLE(INDEX($G$1:G1011,SUMPRODUCT(MAX(($W$1:W1011=W1012)*(ROW($W$1:W1011))))))+IF(D1012="Fiscal",30,90),""))</f>
        <v>46124</v>
      </c>
      <c r="G1012" s="21"/>
      <c r="H1012" s="15" t="str">
        <f t="shared" si="433"/>
        <v>Erro</v>
      </c>
      <c r="I1012" s="15"/>
      <c r="J1012" s="32"/>
      <c r="K1012" s="15" t="str">
        <f t="shared" si="434"/>
        <v>Erro</v>
      </c>
      <c r="L1012" s="15"/>
      <c r="M1012" s="15" t="str">
        <f t="shared" si="435"/>
        <v>Erro</v>
      </c>
      <c r="N1012" s="13"/>
      <c r="O1012" s="2" t="str">
        <f>IFERROR(IF(tblColetas[[#This Row],[Status Coleta]]="Reprovado","Reprovado",IF(ISERROR(SEARCH("Poço",D1012)),IF(N1012="","Erro",IF(Q1012="Reprovado","",WORKDAY(N1012,IF(D1012="Operacional",10,3),FERIADOS!$A$3:$A$119))),"-")),"-")</f>
        <v>-</v>
      </c>
      <c r="P1012" s="21"/>
      <c r="Q1012" s="7"/>
      <c r="R1012" s="13"/>
      <c r="S1012" s="30"/>
      <c r="T1012" s="43"/>
      <c r="W1012" t="str">
        <f t="shared" si="436"/>
        <v>CDPPoço LL-119 (P-02)Poço PVT</v>
      </c>
      <c r="X101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3" spans="1:24" ht="12.5" x14ac:dyDescent="0.25">
      <c r="A1013" s="8"/>
      <c r="B1013" s="8" t="s">
        <v>145</v>
      </c>
      <c r="C1013" s="5" t="s">
        <v>189</v>
      </c>
      <c r="D1013" s="9" t="s">
        <v>26</v>
      </c>
      <c r="E1013" s="36"/>
      <c r="F1013" s="29" cm="1">
        <f t="array" ref="F1013">IF(V1013 &lt;&gt; "", V1013, IFERROR(_xlfn.SINGLE(INDEX($G$1:G1012,SUMPRODUCT(MAX(($W$1:W1012=W1013)*(ROW($W$1:W1012))))))+IF(D1013="Fiscal",30,90),""))</f>
        <v>46129</v>
      </c>
      <c r="G1013" s="13"/>
      <c r="H1013" s="15" t="str">
        <f t="shared" si="433"/>
        <v>Erro</v>
      </c>
      <c r="I1013" s="15"/>
      <c r="J1013" s="32"/>
      <c r="K1013" s="15" t="str">
        <f t="shared" si="434"/>
        <v>Erro</v>
      </c>
      <c r="L1013" s="15"/>
      <c r="M1013" s="15" t="str">
        <f t="shared" si="435"/>
        <v>Erro</v>
      </c>
      <c r="N1013" s="13"/>
      <c r="O1013" s="2" t="str">
        <f>IFERROR(IF(tblColetas[[#This Row],[Status Coleta]]="Reprovado","Reprovado",IF(ISERROR(SEARCH("Poço",D1013)),IF(N1013="","Erro",IF(Q1013="Reprovado","",WORKDAY(N1013,IF(D1013="Operacional",10,3),FERIADOS!$A$3:$A$119))),"-")),"-")</f>
        <v>-</v>
      </c>
      <c r="P1013" s="13"/>
      <c r="Q1013" s="7"/>
      <c r="R1013" s="13"/>
      <c r="S1013" s="30"/>
      <c r="T1013" s="43"/>
      <c r="W1013" t="str">
        <f t="shared" si="436"/>
        <v>ATDPoço 7-BUZ-70D-RJS (P-1)Poço CG</v>
      </c>
      <c r="X101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4" spans="1:24" ht="12.5" x14ac:dyDescent="0.25">
      <c r="A1014" s="8"/>
      <c r="B1014" s="8" t="s">
        <v>145</v>
      </c>
      <c r="C1014" s="5" t="s">
        <v>189</v>
      </c>
      <c r="D1014" s="9" t="s">
        <v>29</v>
      </c>
      <c r="E1014" s="36"/>
      <c r="F1014" s="29" cm="1">
        <f t="array" ref="F1014">IF(V1014 &lt;&gt; "", V1014, IFERROR(_xlfn.SINGLE(INDEX($G$1:G1013,SUMPRODUCT(MAX(($W$1:W1013=W1014)*(ROW($W$1:W1013))))))+IF(D1014="Fiscal",30,90),""))</f>
        <v>46129</v>
      </c>
      <c r="G1014" s="13"/>
      <c r="H1014" s="15" t="str">
        <f t="shared" si="433"/>
        <v>Erro</v>
      </c>
      <c r="I1014" s="15"/>
      <c r="J1014" s="32"/>
      <c r="K1014" s="15" t="str">
        <f t="shared" si="434"/>
        <v>Erro</v>
      </c>
      <c r="L1014" s="15"/>
      <c r="M1014" s="15" t="str">
        <f t="shared" si="435"/>
        <v>Erro</v>
      </c>
      <c r="N1014" s="13"/>
      <c r="O1014" s="2" t="str">
        <f>IFERROR(IF(tblColetas[[#This Row],[Status Coleta]]="Reprovado","Reprovado",IF(ISERROR(SEARCH("Poço",D1014)),IF(N1014="","Erro",IF(Q1014="Reprovado","",WORKDAY(N1014,IF(D1014="Operacional",10,3),FERIADOS!$A$3:$A$119))),"-")),"-")</f>
        <v>-</v>
      </c>
      <c r="P1014" s="13"/>
      <c r="Q1014" s="7"/>
      <c r="R1014" s="13"/>
      <c r="S1014" s="30"/>
      <c r="T1014" s="43"/>
      <c r="W1014" t="str">
        <f t="shared" si="436"/>
        <v>ATDPoço 7-BUZ-70D-RJS (P-1)Poço PVT</v>
      </c>
      <c r="X101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5" spans="1:24" ht="12.5" x14ac:dyDescent="0.25">
      <c r="A1015" s="8"/>
      <c r="B1015" s="8" t="s">
        <v>31</v>
      </c>
      <c r="C1015" s="5" t="s">
        <v>87</v>
      </c>
      <c r="D1015" s="9" t="s">
        <v>26</v>
      </c>
      <c r="E1015" s="36"/>
      <c r="F1015" s="29" cm="1">
        <f t="array" ref="F1015">IF(V1015 &lt;&gt; "", V1015, IFERROR(_xlfn.SINGLE(INDEX($G$1:G1014,SUMPRODUCT(MAX(($W$1:W1014=W1015)*(ROW($W$1:W1014))))))+IF(D1015="Fiscal",30,90),""))</f>
        <v>46127</v>
      </c>
      <c r="G1015" s="13"/>
      <c r="H1015" s="15" t="str">
        <f t="shared" si="433"/>
        <v>Erro</v>
      </c>
      <c r="I1015" s="15"/>
      <c r="J1015" s="32"/>
      <c r="K1015" s="15" t="str">
        <f t="shared" si="434"/>
        <v>Erro</v>
      </c>
      <c r="L1015" s="15"/>
      <c r="M1015" s="15" t="str">
        <f t="shared" si="435"/>
        <v>Erro</v>
      </c>
      <c r="N1015" s="13"/>
      <c r="O1015" s="2" t="str">
        <f>IFERROR(IF(tblColetas[[#This Row],[Status Coleta]]="Reprovado","Reprovado",IF(ISERROR(SEARCH("Poço",D1015)),IF(N1015="","Erro",IF(Q1015="Reprovado","",WORKDAY(N1015,IF(D1015="Operacional",10,3),FERIADOS!$A$3:$A$119))),"-")),"-")</f>
        <v>-</v>
      </c>
      <c r="P1015" s="13"/>
      <c r="Q1015" s="7"/>
      <c r="R1015" s="13"/>
      <c r="S1015" s="30"/>
      <c r="T1015" s="43"/>
      <c r="W1015" t="str">
        <f t="shared" si="436"/>
        <v>CDIPoço SPH-8 (P-4)Poço CG</v>
      </c>
      <c r="X101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6" spans="1:24" ht="12.5" x14ac:dyDescent="0.25">
      <c r="A1016" s="8"/>
      <c r="B1016" s="8" t="s">
        <v>31</v>
      </c>
      <c r="C1016" s="5" t="s">
        <v>87</v>
      </c>
      <c r="D1016" s="9" t="s">
        <v>29</v>
      </c>
      <c r="E1016" s="36"/>
      <c r="F1016" s="29" cm="1">
        <f t="array" ref="F1016">IF(V1016 &lt;&gt; "", V1016, IFERROR(_xlfn.SINGLE(INDEX($G$1:G1015,SUMPRODUCT(MAX(($W$1:W1015=W1016)*(ROW($W$1:W1015))))))+IF(D1016="Fiscal",30,90),""))</f>
        <v>46127</v>
      </c>
      <c r="G1016" s="13"/>
      <c r="H1016" s="15" t="str">
        <f t="shared" si="433"/>
        <v>Erro</v>
      </c>
      <c r="I1016" s="15"/>
      <c r="J1016" s="32"/>
      <c r="K1016" s="15" t="str">
        <f t="shared" si="434"/>
        <v>Erro</v>
      </c>
      <c r="L1016" s="15"/>
      <c r="M1016" s="15" t="str">
        <f t="shared" si="435"/>
        <v>Erro</v>
      </c>
      <c r="N1016" s="13"/>
      <c r="O1016" s="2" t="str">
        <f>IFERROR(IF(tblColetas[[#This Row],[Status Coleta]]="Reprovado","Reprovado",IF(ISERROR(SEARCH("Poço",D1016)),IF(N1016="","Erro",IF(Q1016="Reprovado","",WORKDAY(N1016,IF(D1016="Operacional",10,3),FERIADOS!$A$3:$A$119))),"-")),"-")</f>
        <v>-</v>
      </c>
      <c r="P1016" s="13"/>
      <c r="Q1016" s="7"/>
      <c r="R1016" s="13"/>
      <c r="S1016" s="30"/>
      <c r="T1016" s="43"/>
      <c r="W1016" t="str">
        <f t="shared" si="436"/>
        <v>CDIPoço SPH-8 (P-4)Poço PVT</v>
      </c>
      <c r="X101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7" spans="1:24" ht="12.5" x14ac:dyDescent="0.25">
      <c r="A1017" s="8"/>
      <c r="B1017" s="8" t="s">
        <v>52</v>
      </c>
      <c r="C1017" s="5" t="s">
        <v>83</v>
      </c>
      <c r="D1017" s="9" t="s">
        <v>26</v>
      </c>
      <c r="E1017" s="36"/>
      <c r="F1017" s="29" cm="1">
        <f t="array" ref="F1017">IF(V1017 &lt;&gt; "", V1017, IFERROR(_xlfn.SINGLE(INDEX($G$1:G1016,SUMPRODUCT(MAX(($W$1:W1016=W1017)*(ROW($W$1:W1016))))))+IF(D1017="Fiscal",30,90),""))</f>
        <v>46129</v>
      </c>
      <c r="G1017" s="13"/>
      <c r="H1017" s="15" t="str">
        <f t="shared" si="433"/>
        <v>Erro</v>
      </c>
      <c r="I1017" s="15"/>
      <c r="J1017" s="32"/>
      <c r="K1017" s="15" t="str">
        <f t="shared" si="434"/>
        <v>Erro</v>
      </c>
      <c r="L1017" s="15"/>
      <c r="M1017" s="15" t="str">
        <f t="shared" si="435"/>
        <v>Erro</v>
      </c>
      <c r="N1017" s="13"/>
      <c r="O1017" s="2" t="str">
        <f>IFERROR(IF(tblColetas[[#This Row],[Status Coleta]]="Reprovado","Reprovado",IF(ISERROR(SEARCH("Poço",D1017)),IF(N1017="","Erro",IF(Q1017="Reprovado","",WORKDAY(N1017,IF(D1017="Operacional",10,3),FERIADOS!$A$3:$A$119))),"-")),"-")</f>
        <v>-</v>
      </c>
      <c r="P1017" s="13"/>
      <c r="Q1017" s="7"/>
      <c r="R1017" s="13"/>
      <c r="S1017" s="30"/>
      <c r="T1017" s="43"/>
      <c r="W1017" t="str">
        <f t="shared" si="436"/>
        <v>SEPPoço MRO-16 P-2Poço CG</v>
      </c>
      <c r="X101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8" spans="1:24" ht="12.5" x14ac:dyDescent="0.25">
      <c r="A1018" s="8"/>
      <c r="B1018" s="8" t="s">
        <v>52</v>
      </c>
      <c r="C1018" s="5" t="s">
        <v>83</v>
      </c>
      <c r="D1018" s="9" t="s">
        <v>29</v>
      </c>
      <c r="E1018" s="36"/>
      <c r="F1018" s="29" cm="1">
        <f t="array" ref="F1018">IF(V1018 &lt;&gt; "", V1018, IFERROR(_xlfn.SINGLE(INDEX($G$1:G1017,SUMPRODUCT(MAX(($W$1:W1017=W1018)*(ROW($W$1:W1017))))))+IF(D1018="Fiscal",30,90),""))</f>
        <v>46129</v>
      </c>
      <c r="G1018" s="13"/>
      <c r="H1018" s="15" t="str">
        <f t="shared" si="433"/>
        <v>Erro</v>
      </c>
      <c r="I1018" s="15"/>
      <c r="J1018" s="32"/>
      <c r="K1018" s="15" t="str">
        <f t="shared" si="434"/>
        <v>Erro</v>
      </c>
      <c r="L1018" s="15"/>
      <c r="M1018" s="15" t="str">
        <f t="shared" si="435"/>
        <v>Erro</v>
      </c>
      <c r="N1018" s="13"/>
      <c r="O1018" s="2" t="str">
        <f>IFERROR(IF(tblColetas[[#This Row],[Status Coleta]]="Reprovado","Reprovado",IF(ISERROR(SEARCH("Poço",D1018)),IF(N1018="","Erro",IF(Q1018="Reprovado","",WORKDAY(N1018,IF(D1018="Operacional",10,3),FERIADOS!$A$3:$A$119))),"-")),"-")</f>
        <v>-</v>
      </c>
      <c r="P1018" s="13"/>
      <c r="Q1018" s="7"/>
      <c r="R1018" s="13"/>
      <c r="S1018" s="30"/>
      <c r="T1018" s="43"/>
      <c r="W1018" t="str">
        <f t="shared" si="436"/>
        <v>SEPPoço MRO-16 P-2Poço PVT</v>
      </c>
      <c r="X101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19" spans="1:24" ht="12.5" x14ac:dyDescent="0.25">
      <c r="A1019" s="19"/>
      <c r="B1019" s="19" t="s">
        <v>38</v>
      </c>
      <c r="C1019" s="5" t="s">
        <v>50</v>
      </c>
      <c r="D1019" s="20" t="s">
        <v>29</v>
      </c>
      <c r="E1019" s="35"/>
      <c r="F1019" s="29" cm="1">
        <f t="array" ref="F1019">IF(V1019 &lt;&gt; "", V1019, IFERROR(_xlfn.SINGLE(INDEX($G$1:G1018,SUMPRODUCT(MAX(($W$1:W1018=W1019)*(ROW($W$1:W1018))))))+IF(D1019="Fiscal",30,90),""))</f>
        <v>46127</v>
      </c>
      <c r="G1019" s="21"/>
      <c r="H1019" s="15" t="str">
        <f t="shared" ref="H1019:H1024" si="437">IF(G1019="","Erro", G1019+10)</f>
        <v>Erro</v>
      </c>
      <c r="I1019" s="15"/>
      <c r="J1019" s="32"/>
      <c r="K1019" s="15" t="str">
        <f t="shared" ref="K1019:K1024" si="438">IF(G1019="","Erro",G1019+20)</f>
        <v>Erro</v>
      </c>
      <c r="L1019" s="15"/>
      <c r="M1019" s="15" t="str">
        <f t="shared" ref="M1019:M1024" si="439">IF(G1019="","Erro",G1019+IF(D1019="Operacional",45,25))</f>
        <v>Erro</v>
      </c>
      <c r="N1019" s="13"/>
      <c r="O1019" s="2" t="str">
        <f>IFERROR(IF(tblColetas[[#This Row],[Status Coleta]]="Reprovado","Reprovado",IF(ISERROR(SEARCH("Poço",D1019)),IF(N1019="","Erro",IF(Q1019="Reprovado","",WORKDAY(N1019,IF(D1019="Operacional",10,3),FERIADOS!$A$3:$A$119))),"-")),"-")</f>
        <v>-</v>
      </c>
      <c r="P1019" s="21"/>
      <c r="Q1019" s="7"/>
      <c r="R1019" s="13"/>
      <c r="S1019" s="30"/>
      <c r="T1019" s="43"/>
      <c r="W1019" t="str">
        <f t="shared" ref="W1019:W1024" si="440">B1019&amp;C1019&amp;D1019</f>
        <v>CDPPoço LL-28 (P-1)Poço PVT</v>
      </c>
      <c r="X101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0" spans="1:24" ht="12.5" x14ac:dyDescent="0.25">
      <c r="A1020" s="19"/>
      <c r="B1020" s="19" t="s">
        <v>38</v>
      </c>
      <c r="C1020" s="5" t="s">
        <v>50</v>
      </c>
      <c r="D1020" s="20" t="s">
        <v>26</v>
      </c>
      <c r="E1020" s="35"/>
      <c r="F1020" s="29" cm="1">
        <f t="array" ref="F1020">IF(V1020 &lt;&gt; "", V1020, IFERROR(_xlfn.SINGLE(INDEX($G$1:G1019,SUMPRODUCT(MAX(($W$1:W1019=W1020)*(ROW($W$1:W1019))))))+IF(D1020="Fiscal",30,90),""))</f>
        <v>46127</v>
      </c>
      <c r="G1020" s="21"/>
      <c r="H1020" s="15" t="str">
        <f t="shared" si="437"/>
        <v>Erro</v>
      </c>
      <c r="I1020" s="15"/>
      <c r="J1020" s="32"/>
      <c r="K1020" s="15" t="str">
        <f t="shared" si="438"/>
        <v>Erro</v>
      </c>
      <c r="L1020" s="15"/>
      <c r="M1020" s="15" t="str">
        <f t="shared" si="439"/>
        <v>Erro</v>
      </c>
      <c r="N1020" s="13"/>
      <c r="O1020" s="2" t="str">
        <f>IFERROR(IF(tblColetas[[#This Row],[Status Coleta]]="Reprovado","Reprovado",IF(ISERROR(SEARCH("Poço",D1020)),IF(N1020="","Erro",IF(Q1020="Reprovado","",WORKDAY(N1020,IF(D1020="Operacional",10,3),FERIADOS!$A$3:$A$119))),"-")),"-")</f>
        <v>-</v>
      </c>
      <c r="P1020" s="21"/>
      <c r="Q1020" s="7"/>
      <c r="R1020" s="13"/>
      <c r="S1020" s="30"/>
      <c r="T1020" s="43"/>
      <c r="W1020" t="str">
        <f t="shared" si="440"/>
        <v>CDPPoço LL-28 (P-1)Poço CG</v>
      </c>
      <c r="X102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1" spans="1:24" ht="12.75" customHeight="1" x14ac:dyDescent="0.25">
      <c r="A1021" s="8"/>
      <c r="B1021" s="8" t="s">
        <v>46</v>
      </c>
      <c r="C1021" s="5" t="s">
        <v>74</v>
      </c>
      <c r="D1021" s="9" t="s">
        <v>72</v>
      </c>
      <c r="E1021" s="36"/>
      <c r="F1021" s="29" cm="1">
        <f t="array" ref="F1021">IF(V1021 &lt;&gt; "", V1021, IFERROR(_xlfn.SINGLE(INDEX($G$1:G1020,SUMPRODUCT(MAX(($W$1:W1020=W1021)*(ROW($W$1:W1020))))))+IF(D1021="Fiscal",30,90),""))</f>
        <v>46064</v>
      </c>
      <c r="G1021" s="13">
        <v>46064</v>
      </c>
      <c r="H1021" s="15">
        <f t="shared" si="437"/>
        <v>46074</v>
      </c>
      <c r="I1021" s="15"/>
      <c r="J1021" s="32"/>
      <c r="K1021" s="15">
        <f t="shared" si="438"/>
        <v>46084</v>
      </c>
      <c r="L1021" s="15"/>
      <c r="M1021" s="15">
        <f t="shared" si="439"/>
        <v>46089</v>
      </c>
      <c r="N1021" s="13"/>
      <c r="O1021" s="2" t="str">
        <f>IFERROR(IF(tblColetas[[#This Row],[Status Coleta]]="Reprovado","Reprovado",IF(ISERROR(SEARCH("Poço",D1021)),IF(N1021="","Erro",IF(Q1021="Reprovado","",WORKDAY(N1021,IF(D1021="Operacional",10,3),FERIADOS!$A$3:$A$119))),"-")),"-")</f>
        <v>Erro</v>
      </c>
      <c r="P1021" s="13"/>
      <c r="Q1021" s="7"/>
      <c r="R1021" s="13"/>
      <c r="S1021" s="30"/>
      <c r="T1021" s="43"/>
      <c r="W1021" t="str">
        <f t="shared" si="440"/>
        <v>CDMT76-FT-0014 (HP Flare)Fiscal</v>
      </c>
      <c r="X102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2" spans="1:24" ht="12.75" customHeight="1" x14ac:dyDescent="0.25">
      <c r="A1022" s="8"/>
      <c r="B1022" s="8" t="s">
        <v>46</v>
      </c>
      <c r="C1022" s="5" t="s">
        <v>75</v>
      </c>
      <c r="D1022" s="9" t="s">
        <v>72</v>
      </c>
      <c r="E1022" s="36"/>
      <c r="F1022" s="29" cm="1">
        <f t="array" ref="F1022">IF(V1022 &lt;&gt; "", V1022, IFERROR(_xlfn.SINGLE(INDEX($G$1:G1021,SUMPRODUCT(MAX(($W$1:W1021=W1022)*(ROW($W$1:W1021))))))+IF(D1022="Fiscal",30,90),""))</f>
        <v>46064</v>
      </c>
      <c r="G1022" s="13">
        <v>46064</v>
      </c>
      <c r="H1022" s="15">
        <f t="shared" si="437"/>
        <v>46074</v>
      </c>
      <c r="I1022" s="15"/>
      <c r="J1022" s="32"/>
      <c r="K1022" s="15">
        <f t="shared" si="438"/>
        <v>46084</v>
      </c>
      <c r="L1022" s="15"/>
      <c r="M1022" s="15">
        <f t="shared" si="439"/>
        <v>46089</v>
      </c>
      <c r="N1022" s="13"/>
      <c r="O1022" s="2" t="str">
        <f>IFERROR(IF(tblColetas[[#This Row],[Status Coleta]]="Reprovado","Reprovado",IF(ISERROR(SEARCH("Poço",D1022)),IF(N1022="","Erro",IF(Q1022="Reprovado","",WORKDAY(N1022,IF(D1022="Operacional",10,3),FERIADOS!$A$3:$A$119))),"-")),"-")</f>
        <v>Erro</v>
      </c>
      <c r="P1022" s="13"/>
      <c r="Q1022" s="7"/>
      <c r="R1022" s="13"/>
      <c r="S1022" s="30"/>
      <c r="T1022" s="43"/>
      <c r="W1022" t="str">
        <f t="shared" si="440"/>
        <v>CDMT76-FT-0034 (LP Flare)Fiscal</v>
      </c>
      <c r="X102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3" spans="1:24" ht="12.75" customHeight="1" x14ac:dyDescent="0.25">
      <c r="A1023" s="8"/>
      <c r="B1023" s="8" t="s">
        <v>46</v>
      </c>
      <c r="C1023" s="5" t="s">
        <v>71</v>
      </c>
      <c r="D1023" s="9" t="s">
        <v>72</v>
      </c>
      <c r="E1023" s="36"/>
      <c r="F1023" s="29" cm="1">
        <f t="array" ref="F1023">IF(V1023 &lt;&gt; "", V1023, IFERROR(_xlfn.SINGLE(INDEX($G$1:G1022,SUMPRODUCT(MAX(($W$1:W1022=W1023)*(ROW($W$1:W1022))))))+IF(D1023="Fiscal",30,90),""))</f>
        <v>46065</v>
      </c>
      <c r="G1023" s="13">
        <v>46064</v>
      </c>
      <c r="H1023" s="15">
        <f t="shared" si="437"/>
        <v>46074</v>
      </c>
      <c r="I1023" s="15"/>
      <c r="J1023" s="32"/>
      <c r="K1023" s="15">
        <f t="shared" si="438"/>
        <v>46084</v>
      </c>
      <c r="L1023" s="15"/>
      <c r="M1023" s="15">
        <f t="shared" si="439"/>
        <v>46089</v>
      </c>
      <c r="N1023" s="13"/>
      <c r="O1023" s="2" t="str">
        <f>IFERROR(IF(tblColetas[[#This Row],[Status Coleta]]="Reprovado","Reprovado",IF(ISERROR(SEARCH("Poço",D1023)),IF(N1023="","Erro",IF(Q1023="Reprovado","",WORKDAY(N1023,IF(D1023="Operacional",10,3),FERIADOS!$A$3:$A$119))),"-")),"-")</f>
        <v>Erro</v>
      </c>
      <c r="P1023" s="13"/>
      <c r="Q1023" s="7"/>
      <c r="R1023" s="13"/>
      <c r="S1023" s="30"/>
      <c r="T1023" s="43"/>
      <c r="W1023" t="str">
        <f t="shared" si="440"/>
        <v>CDMT77-FT-0103 (Fuel Gas)Fiscal</v>
      </c>
      <c r="X102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4" spans="1:24" ht="12.75" customHeight="1" x14ac:dyDescent="0.25">
      <c r="A1024" s="8"/>
      <c r="B1024" s="8" t="s">
        <v>46</v>
      </c>
      <c r="C1024" s="5" t="s">
        <v>125</v>
      </c>
      <c r="D1024" s="9" t="s">
        <v>72</v>
      </c>
      <c r="E1024" s="36"/>
      <c r="F1024" s="29" cm="1">
        <f t="array" ref="F1024">IF(V1024 &lt;&gt; "", V1024, IFERROR(_xlfn.SINGLE(INDEX($G$1:G1023,SUMPRODUCT(MAX(($W$1:W1023=W1024)*(ROW($W$1:W1023))))))+IF(D1024="Fiscal",30,90),""))</f>
        <v>46065</v>
      </c>
      <c r="G1024" s="13">
        <v>46064</v>
      </c>
      <c r="H1024" s="15">
        <f t="shared" si="437"/>
        <v>46074</v>
      </c>
      <c r="I1024" s="15"/>
      <c r="J1024" s="32"/>
      <c r="K1024" s="15">
        <f t="shared" si="438"/>
        <v>46084</v>
      </c>
      <c r="L1024" s="15"/>
      <c r="M1024" s="15">
        <f t="shared" si="439"/>
        <v>46089</v>
      </c>
      <c r="N1024" s="13"/>
      <c r="O1024" s="2" t="str">
        <f>IFERROR(IF(tblColetas[[#This Row],[Status Coleta]]="Reprovado","Reprovado",IF(ISERROR(SEARCH("Poço",D1024)),IF(N1024="","Erro",IF(Q1024="Reprovado","",WORKDAY(N1024,IF(D1024="Operacional",10,3),FERIADOS!$A$3:$A$119))),"-")),"-")</f>
        <v>Erro</v>
      </c>
      <c r="P1024" s="13"/>
      <c r="Q1024" s="7"/>
      <c r="R1024" s="13"/>
      <c r="S1024" s="30"/>
      <c r="T1024" s="43"/>
      <c r="W1024" t="str">
        <f t="shared" si="440"/>
        <v>CDMT74-FT-6901 (Export Gas)Fiscal</v>
      </c>
      <c r="X102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5" spans="1:24" ht="12.75" customHeight="1" x14ac:dyDescent="0.25">
      <c r="A1025" s="19"/>
      <c r="B1025" s="19" t="s">
        <v>145</v>
      </c>
      <c r="C1025" s="5" t="s">
        <v>146</v>
      </c>
      <c r="D1025" s="20" t="s">
        <v>72</v>
      </c>
      <c r="E1025" s="35"/>
      <c r="F1025" s="29" cm="1">
        <f t="array" ref="F1025">IF(V1025 &lt;&gt; "", V1025, IFERROR(_xlfn.SINGLE(INDEX($G$1:G1024,SUMPRODUCT(MAX(($W$1:W1024=W1025)*(ROW($W$1:W1024))))))+IF(D1025="Fiscal",30,90),""))</f>
        <v>46070</v>
      </c>
      <c r="G1025" s="21"/>
      <c r="H1025" s="15" t="str">
        <f t="shared" ref="H1025:H1031" si="441">IF(G1025="","Erro", G1025+10)</f>
        <v>Erro</v>
      </c>
      <c r="I1025" s="15"/>
      <c r="J1025" s="32"/>
      <c r="K1025" s="15" t="str">
        <f t="shared" ref="K1025:K1031" si="442">IF(G1025="","Erro",G1025+20)</f>
        <v>Erro</v>
      </c>
      <c r="L1025" s="15"/>
      <c r="M1025" s="15" t="str">
        <f t="shared" ref="M1025:M1031" si="443">IF(G1025="","Erro",G1025+IF(D1025="Operacional",45,25))</f>
        <v>Erro</v>
      </c>
      <c r="N1025" s="13"/>
      <c r="O1025" s="2" t="str">
        <f>IFERROR(IF(tblColetas[[#This Row],[Status Coleta]]="Reprovado","Reprovado",IF(ISERROR(SEARCH("Poço",D1025)),IF(N1025="","Erro",IF(Q1025="Reprovado","",WORKDAY(N1025,IF(D1025="Operacional",10,3),FERIADOS!$A$3:$A$119))),"-")),"-")</f>
        <v>Erro</v>
      </c>
      <c r="P1025" s="21"/>
      <c r="Q1025" s="7"/>
      <c r="R1025" s="13"/>
      <c r="S1025" s="30"/>
      <c r="T1025" s="43"/>
      <c r="W1025" t="str">
        <f t="shared" ref="W1025:W1031" si="444">B1025&amp;C1025&amp;D1025</f>
        <v>ATD777-AP-1403 (Fuel Gas to Flare Stack)Fiscal</v>
      </c>
      <c r="X102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6" spans="1:24" ht="12.75" customHeight="1" x14ac:dyDescent="0.25">
      <c r="A1026" s="19"/>
      <c r="B1026" s="19" t="s">
        <v>145</v>
      </c>
      <c r="C1026" s="5" t="s">
        <v>147</v>
      </c>
      <c r="D1026" s="20" t="s">
        <v>72</v>
      </c>
      <c r="E1026" s="35"/>
      <c r="F1026" s="29" cm="1">
        <f t="array" ref="F1026">IF(V1026 &lt;&gt; "", V1026, IFERROR(_xlfn.SINGLE(INDEX($G$1:G1025,SUMPRODUCT(MAX(($W$1:W1025=W1026)*(ROW($W$1:W1025))))))+IF(D1026="Fiscal",30,90),""))</f>
        <v>46070</v>
      </c>
      <c r="G1026" s="21"/>
      <c r="H1026" s="15" t="str">
        <f t="shared" si="441"/>
        <v>Erro</v>
      </c>
      <c r="I1026" s="15"/>
      <c r="J1026" s="32"/>
      <c r="K1026" s="15" t="str">
        <f t="shared" si="442"/>
        <v>Erro</v>
      </c>
      <c r="L1026" s="15"/>
      <c r="M1026" s="15" t="str">
        <f t="shared" si="443"/>
        <v>Erro</v>
      </c>
      <c r="N1026" s="13"/>
      <c r="O1026" s="2" t="str">
        <f>IFERROR(IF(tblColetas[[#This Row],[Status Coleta]]="Reprovado","Reprovado",IF(ISERROR(SEARCH("Poço",D1026)),IF(N1026="","Erro",IF(Q1026="Reprovado","",WORKDAY(N1026,IF(D1026="Operacional",10,3),FERIADOS!$A$3:$A$119))),"-")),"-")</f>
        <v>Erro</v>
      </c>
      <c r="P1026" s="21"/>
      <c r="Q1026" s="7"/>
      <c r="R1026" s="13"/>
      <c r="S1026" s="30"/>
      <c r="T1026" s="43"/>
      <c r="W1026" t="str">
        <f t="shared" si="444"/>
        <v>ATD777-AP-1506 (Fuel Gas)Fiscal</v>
      </c>
      <c r="X102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7" spans="1:24" ht="12.75" customHeight="1" x14ac:dyDescent="0.25">
      <c r="A1027" s="19"/>
      <c r="B1027" s="19" t="s">
        <v>145</v>
      </c>
      <c r="C1027" s="5" t="s">
        <v>148</v>
      </c>
      <c r="D1027" s="20" t="s">
        <v>72</v>
      </c>
      <c r="E1027" s="35"/>
      <c r="F1027" s="29" cm="1">
        <f t="array" ref="F1027">IF(V1027 &lt;&gt; "", V1027, IFERROR(_xlfn.SINGLE(INDEX($G$1:G1026,SUMPRODUCT(MAX(($W$1:W1026=W1027)*(ROW($W$1:W1026))))))+IF(D1027="Fiscal",30,90),""))</f>
        <v>46070</v>
      </c>
      <c r="G1027" s="21"/>
      <c r="H1027" s="15" t="str">
        <f t="shared" si="441"/>
        <v>Erro</v>
      </c>
      <c r="I1027" s="15"/>
      <c r="J1027" s="32"/>
      <c r="K1027" s="15" t="str">
        <f t="shared" si="442"/>
        <v>Erro</v>
      </c>
      <c r="L1027" s="15"/>
      <c r="M1027" s="15" t="str">
        <f t="shared" si="443"/>
        <v>Erro</v>
      </c>
      <c r="N1027" s="13"/>
      <c r="O1027" s="2" t="str">
        <f>IFERROR(IF(tblColetas[[#This Row],[Status Coleta]]="Reprovado","Reprovado",IF(ISERROR(SEARCH("Poço",D1027)),IF(N1027="","Erro",IF(Q1027="Reprovado","",WORKDAY(N1027,IF(D1027="Operacional",10,3),FERIADOS!$A$3:$A$119))),"-")),"-")</f>
        <v>Erro</v>
      </c>
      <c r="P1027" s="21"/>
      <c r="Q1027" s="7"/>
      <c r="R1027" s="13"/>
      <c r="S1027" s="30"/>
      <c r="T1027" s="43"/>
      <c r="W1027" t="str">
        <f t="shared" si="444"/>
        <v>ATD776-AP-0018-2 (HP Flare)Fiscal</v>
      </c>
      <c r="X102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8" spans="1:24" ht="12.75" customHeight="1" x14ac:dyDescent="0.25">
      <c r="A1028" s="19"/>
      <c r="B1028" s="19" t="s">
        <v>145</v>
      </c>
      <c r="C1028" s="5" t="s">
        <v>149</v>
      </c>
      <c r="D1028" s="20" t="s">
        <v>72</v>
      </c>
      <c r="E1028" s="35"/>
      <c r="F1028" s="29" cm="1">
        <f t="array" ref="F1028">IF(V1028 &lt;&gt; "", V1028, IFERROR(_xlfn.SINGLE(INDEX($G$1:G1027,SUMPRODUCT(MAX(($W$1:W1027=W1028)*(ROW($W$1:W1027))))))+IF(D1028="Fiscal",30,90),""))</f>
        <v>46070</v>
      </c>
      <c r="G1028" s="21"/>
      <c r="H1028" s="15" t="str">
        <f t="shared" si="441"/>
        <v>Erro</v>
      </c>
      <c r="I1028" s="15"/>
      <c r="J1028" s="32"/>
      <c r="K1028" s="15" t="str">
        <f t="shared" si="442"/>
        <v>Erro</v>
      </c>
      <c r="L1028" s="15"/>
      <c r="M1028" s="15" t="str">
        <f t="shared" si="443"/>
        <v>Erro</v>
      </c>
      <c r="N1028" s="13"/>
      <c r="O1028" s="2" t="str">
        <f>IFERROR(IF(tblColetas[[#This Row],[Status Coleta]]="Reprovado","Reprovado",IF(ISERROR(SEARCH("Poço",D1028)),IF(N1028="","Erro",IF(Q1028="Reprovado","",WORKDAY(N1028,IF(D1028="Operacional",10,3),FERIADOS!$A$3:$A$119))),"-")),"-")</f>
        <v>Erro</v>
      </c>
      <c r="P1028" s="21"/>
      <c r="Q1028" s="7"/>
      <c r="R1028" s="13"/>
      <c r="S1028" s="30"/>
      <c r="T1028" s="43"/>
      <c r="W1028" t="str">
        <f t="shared" si="444"/>
        <v>ATD776-AP-0036-2 (LP Flare)Fiscal</v>
      </c>
      <c r="X102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29" spans="1:24" ht="12.75" customHeight="1" x14ac:dyDescent="0.25">
      <c r="A1029" s="19"/>
      <c r="B1029" s="19" t="s">
        <v>145</v>
      </c>
      <c r="C1029" s="5" t="s">
        <v>151</v>
      </c>
      <c r="D1029" s="20" t="s">
        <v>72</v>
      </c>
      <c r="E1029" s="35"/>
      <c r="F1029" s="29" cm="1">
        <f t="array" ref="F1029">IF(V1029 &lt;&gt; "", V1029, IFERROR(_xlfn.SINGLE(INDEX($G$1:G1028,SUMPRODUCT(MAX(($W$1:W1028=W1029)*(ROW($W$1:W1028))))))+IF(D1029="Fiscal",30,90),""))</f>
        <v>46070</v>
      </c>
      <c r="G1029" s="21"/>
      <c r="H1029" s="15" t="str">
        <f t="shared" si="441"/>
        <v>Erro</v>
      </c>
      <c r="I1029" s="15"/>
      <c r="J1029" s="32"/>
      <c r="K1029" s="15" t="str">
        <f t="shared" si="442"/>
        <v>Erro</v>
      </c>
      <c r="L1029" s="15"/>
      <c r="M1029" s="15" t="str">
        <f t="shared" si="443"/>
        <v>Erro</v>
      </c>
      <c r="N1029" s="13"/>
      <c r="O1029" s="2" t="str">
        <f>IFERROR(IF(tblColetas[[#This Row],[Status Coleta]]="Reprovado","Reprovado",IF(ISERROR(SEARCH("Poço",D1029)),IF(N1029="","Erro",IF(Q1029="Reprovado","",WORKDAY(N1029,IF(D1029="Operacional",10,3),FERIADOS!$A$3:$A$119))),"-")),"-")</f>
        <v>Erro</v>
      </c>
      <c r="P1029" s="21"/>
      <c r="Q1029" s="7"/>
      <c r="R1029" s="13"/>
      <c r="S1029" s="30"/>
      <c r="T1029" s="43"/>
      <c r="W1029" t="str">
        <f t="shared" si="444"/>
        <v>ATD776-AP-7001 (Flare Assist)Fiscal</v>
      </c>
      <c r="X102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0" spans="1:24" ht="12.75" customHeight="1" x14ac:dyDescent="0.25">
      <c r="A1030" s="19"/>
      <c r="B1030" s="19" t="s">
        <v>46</v>
      </c>
      <c r="C1030" s="5" t="s">
        <v>48</v>
      </c>
      <c r="D1030" s="20" t="s">
        <v>26</v>
      </c>
      <c r="E1030" s="35"/>
      <c r="F1030" s="29" cm="1">
        <f t="array" ref="F1030">IF(V1030 &lt;&gt; "", V1030, IFERROR(_xlfn.SINGLE(INDEX($G$1:G1029,SUMPRODUCT(MAX(($W$1:W1029=W1030)*(ROW($W$1:W1029))))))+IF(D1030="Fiscal",30,90),""))</f>
        <v>46124</v>
      </c>
      <c r="G1030" s="21"/>
      <c r="H1030" s="15" t="str">
        <f t="shared" si="441"/>
        <v>Erro</v>
      </c>
      <c r="I1030" s="15"/>
      <c r="J1030" s="32"/>
      <c r="K1030" s="15" t="str">
        <f t="shared" si="442"/>
        <v>Erro</v>
      </c>
      <c r="L1030" s="15"/>
      <c r="M1030" s="15" t="str">
        <f t="shared" si="443"/>
        <v>Erro</v>
      </c>
      <c r="N1030" s="13"/>
      <c r="O1030" s="2" t="str">
        <f>IFERROR(IF(tblColetas[[#This Row],[Status Coleta]]="Reprovado","Reprovado",IF(ISERROR(SEARCH("Poço",D1030)),IF(N1030="","Erro",IF(Q1030="Reprovado","",WORKDAY(N1030,IF(D1030="Operacional",10,3),FERIADOS!$A$3:$A$119))),"-")),"-")</f>
        <v>-</v>
      </c>
      <c r="P1030" s="21"/>
      <c r="Q1030" s="7"/>
      <c r="R1030" s="13"/>
      <c r="S1030" s="30"/>
      <c r="T1030" s="43"/>
      <c r="W1030" t="str">
        <f t="shared" si="444"/>
        <v>CDMPoço LL-66 (P-09)Poço CG</v>
      </c>
      <c r="X103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1" spans="1:24" ht="12.75" customHeight="1" x14ac:dyDescent="0.25">
      <c r="A1031" s="19"/>
      <c r="B1031" s="19" t="s">
        <v>46</v>
      </c>
      <c r="C1031" s="5" t="s">
        <v>48</v>
      </c>
      <c r="D1031" s="20" t="s">
        <v>29</v>
      </c>
      <c r="E1031" s="35"/>
      <c r="F1031" s="29" cm="1">
        <f t="array" ref="F1031">IF(V1031 &lt;&gt; "", V1031, IFERROR(_xlfn.SINGLE(INDEX($G$1:G1030,SUMPRODUCT(MAX(($W$1:W1030=W1031)*(ROW($W$1:W1030))))))+IF(D1031="Fiscal",30,90),""))</f>
        <v>46124</v>
      </c>
      <c r="G1031" s="21"/>
      <c r="H1031" s="15" t="str">
        <f t="shared" si="441"/>
        <v>Erro</v>
      </c>
      <c r="I1031" s="15"/>
      <c r="J1031" s="32"/>
      <c r="K1031" s="15" t="str">
        <f t="shared" si="442"/>
        <v>Erro</v>
      </c>
      <c r="L1031" s="15"/>
      <c r="M1031" s="15" t="str">
        <f t="shared" si="443"/>
        <v>Erro</v>
      </c>
      <c r="N1031" s="13"/>
      <c r="O1031" s="2" t="str">
        <f>IFERROR(IF(tblColetas[[#This Row],[Status Coleta]]="Reprovado","Reprovado",IF(ISERROR(SEARCH("Poço",D1031)),IF(N1031="","Erro",IF(Q1031="Reprovado","",WORKDAY(N1031,IF(D1031="Operacional",10,3),FERIADOS!$A$3:$A$119))),"-")),"-")</f>
        <v>-</v>
      </c>
      <c r="P1031" s="21"/>
      <c r="Q1031" s="7"/>
      <c r="R1031" s="13"/>
      <c r="S1031" s="30"/>
      <c r="T1031" s="43"/>
      <c r="W1031" t="str">
        <f t="shared" si="444"/>
        <v>CDMPoço LL-66 (P-09)Poço PVT</v>
      </c>
      <c r="X103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2" spans="1:24" ht="12.75" customHeight="1" x14ac:dyDescent="0.25">
      <c r="A1032" s="19"/>
      <c r="B1032" s="19" t="s">
        <v>31</v>
      </c>
      <c r="C1032" s="5" t="s">
        <v>122</v>
      </c>
      <c r="D1032" s="20" t="s">
        <v>72</v>
      </c>
      <c r="E1032" s="35"/>
      <c r="F1032" s="29" cm="1">
        <f t="array" ref="F1032">IF(V1032 &lt;&gt; "", V1032, IFERROR(_xlfn.SINGLE(INDEX($G$1:G1031,SUMPRODUCT(MAX(($W$1:W1031=W1032)*(ROW($W$1:W1031))))))+IF(D1032="Fiscal",30,90),""))</f>
        <v>46074</v>
      </c>
      <c r="G1032" s="21"/>
      <c r="H1032" s="15" t="str">
        <f t="shared" ref="H1032:H1039" si="445">IF(G1032="","Erro", G1032+10)</f>
        <v>Erro</v>
      </c>
      <c r="I1032" s="15"/>
      <c r="J1032" s="32"/>
      <c r="K1032" s="15" t="str">
        <f t="shared" ref="K1032:K1039" si="446">IF(G1032="","Erro",G1032+20)</f>
        <v>Erro</v>
      </c>
      <c r="L1032" s="15"/>
      <c r="M1032" s="15" t="str">
        <f t="shared" ref="M1032:M1039" si="447">IF(G1032="","Erro",G1032+IF(D1032="Operacional",45,25))</f>
        <v>Erro</v>
      </c>
      <c r="N1032" s="13"/>
      <c r="O1032" s="2" t="str">
        <f>IFERROR(IF(tblColetas[[#This Row],[Status Coleta]]="Reprovado","Reprovado",IF(ISERROR(SEARCH("Poço",D1032)),IF(N1032="","Erro",IF(Q1032="Reprovado","",WORKDAY(N1032,IF(D1032="Operacional",10,3),FERIADOS!$A$3:$A$119))),"-")),"-")</f>
        <v>Erro</v>
      </c>
      <c r="P1032" s="21"/>
      <c r="Q1032" s="7"/>
      <c r="R1032" s="13"/>
      <c r="S1032" s="30"/>
      <c r="T1032" s="43"/>
      <c r="W1032" t="str">
        <f t="shared" ref="W1032:W1039" si="448">B1032&amp;C1032&amp;D1032</f>
        <v>CDIT77-FT-6911 (Export gas)Fiscal</v>
      </c>
      <c r="X103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3" spans="1:24" ht="12.75" customHeight="1" x14ac:dyDescent="0.25">
      <c r="A1033" s="19"/>
      <c r="B1033" s="19" t="s">
        <v>31</v>
      </c>
      <c r="C1033" s="5" t="s">
        <v>71</v>
      </c>
      <c r="D1033" s="20" t="s">
        <v>72</v>
      </c>
      <c r="E1033" s="35"/>
      <c r="F1033" s="29" cm="1">
        <f t="array" ref="F1033">IF(V1033 &lt;&gt; "", V1033, IFERROR(_xlfn.SINGLE(INDEX($G$1:G1032,SUMPRODUCT(MAX(($W$1:W1032=W1033)*(ROW($W$1:W1032))))))+IF(D1033="Fiscal",30,90),""))</f>
        <v>46074</v>
      </c>
      <c r="G1033" s="21"/>
      <c r="H1033" s="15" t="str">
        <f t="shared" si="445"/>
        <v>Erro</v>
      </c>
      <c r="I1033" s="15"/>
      <c r="J1033" s="32"/>
      <c r="K1033" s="15" t="str">
        <f t="shared" si="446"/>
        <v>Erro</v>
      </c>
      <c r="L1033" s="15"/>
      <c r="M1033" s="15" t="str">
        <f t="shared" si="447"/>
        <v>Erro</v>
      </c>
      <c r="N1033" s="13"/>
      <c r="O1033" s="2" t="str">
        <f>IFERROR(IF(tblColetas[[#This Row],[Status Coleta]]="Reprovado","Reprovado",IF(ISERROR(SEARCH("Poço",D1033)),IF(N1033="","Erro",IF(Q1033="Reprovado","",WORKDAY(N1033,IF(D1033="Operacional",10,3),FERIADOS!$A$3:$A$119))),"-")),"-")</f>
        <v>Erro</v>
      </c>
      <c r="P1033" s="21"/>
      <c r="Q1033" s="7"/>
      <c r="R1033" s="13"/>
      <c r="S1033" s="30"/>
      <c r="T1033" s="43"/>
      <c r="W1033" t="str">
        <f t="shared" si="448"/>
        <v>CDIT77-FT-0103 (Fuel Gas)Fiscal</v>
      </c>
      <c r="X103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4" spans="1:24" ht="12.75" customHeight="1" x14ac:dyDescent="0.25">
      <c r="A1034" s="19"/>
      <c r="B1034" s="19" t="s">
        <v>31</v>
      </c>
      <c r="C1034" s="5" t="s">
        <v>74</v>
      </c>
      <c r="D1034" s="20" t="s">
        <v>72</v>
      </c>
      <c r="E1034" s="35"/>
      <c r="F1034" s="29" cm="1">
        <f t="array" ref="F1034">IF(V1034 &lt;&gt; "", V1034, IFERROR(_xlfn.SINGLE(INDEX($G$1:G1033,SUMPRODUCT(MAX(($W$1:W1033=W1034)*(ROW($W$1:W1033))))))+IF(D1034="Fiscal",30,90),""))</f>
        <v>46075</v>
      </c>
      <c r="G1034" s="21"/>
      <c r="H1034" s="15" t="str">
        <f t="shared" si="445"/>
        <v>Erro</v>
      </c>
      <c r="I1034" s="15"/>
      <c r="J1034" s="32"/>
      <c r="K1034" s="15" t="str">
        <f t="shared" si="446"/>
        <v>Erro</v>
      </c>
      <c r="L1034" s="15"/>
      <c r="M1034" s="15" t="str">
        <f t="shared" si="447"/>
        <v>Erro</v>
      </c>
      <c r="N1034" s="13"/>
      <c r="O1034" s="2" t="str">
        <f>IFERROR(IF(tblColetas[[#This Row],[Status Coleta]]="Reprovado","Reprovado",IF(ISERROR(SEARCH("Poço",D1034)),IF(N1034="","Erro",IF(Q1034="Reprovado","",WORKDAY(N1034,IF(D1034="Operacional",10,3),FERIADOS!$A$3:$A$119))),"-")),"-")</f>
        <v>Erro</v>
      </c>
      <c r="P1034" s="21"/>
      <c r="Q1034" s="7"/>
      <c r="R1034" s="13"/>
      <c r="S1034" s="30"/>
      <c r="T1034" s="43"/>
      <c r="W1034" t="str">
        <f t="shared" si="448"/>
        <v>CDIT76-FT-0014 (HP Flare)Fiscal</v>
      </c>
      <c r="X103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5" spans="1:24" ht="12.75" customHeight="1" x14ac:dyDescent="0.25">
      <c r="A1035" s="19"/>
      <c r="B1035" s="19" t="s">
        <v>31</v>
      </c>
      <c r="C1035" s="5" t="s">
        <v>75</v>
      </c>
      <c r="D1035" s="20" t="s">
        <v>72</v>
      </c>
      <c r="E1035" s="35"/>
      <c r="F1035" s="29" cm="1">
        <f t="array" ref="F1035">IF(V1035 &lt;&gt; "", V1035, IFERROR(_xlfn.SINGLE(INDEX($G$1:G1034,SUMPRODUCT(MAX(($W$1:W1034=W1035)*(ROW($W$1:W1034))))))+IF(D1035="Fiscal",30,90),""))</f>
        <v>46075</v>
      </c>
      <c r="G1035" s="21"/>
      <c r="H1035" s="15" t="str">
        <f t="shared" si="445"/>
        <v>Erro</v>
      </c>
      <c r="I1035" s="15"/>
      <c r="J1035" s="32"/>
      <c r="K1035" s="15" t="str">
        <f t="shared" si="446"/>
        <v>Erro</v>
      </c>
      <c r="L1035" s="15"/>
      <c r="M1035" s="15" t="str">
        <f t="shared" si="447"/>
        <v>Erro</v>
      </c>
      <c r="N1035" s="13"/>
      <c r="O1035" s="2" t="str">
        <f>IFERROR(IF(tblColetas[[#This Row],[Status Coleta]]="Reprovado","Reprovado",IF(ISERROR(SEARCH("Poço",D1035)),IF(N1035="","Erro",IF(Q1035="Reprovado","",WORKDAY(N1035,IF(D1035="Operacional",10,3),FERIADOS!$A$3:$A$119))),"-")),"-")</f>
        <v>Erro</v>
      </c>
      <c r="P1035" s="21"/>
      <c r="Q1035" s="7"/>
      <c r="R1035" s="13"/>
      <c r="S1035" s="30"/>
      <c r="T1035" s="43"/>
      <c r="W1035" t="str">
        <f t="shared" si="448"/>
        <v>CDIT76-FT-0034 (LP Flare)Fiscal</v>
      </c>
      <c r="X103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6" spans="1:24" ht="12.75" customHeight="1" x14ac:dyDescent="0.25">
      <c r="A1036" s="19"/>
      <c r="B1036" s="19" t="s">
        <v>52</v>
      </c>
      <c r="C1036" s="5" t="s">
        <v>112</v>
      </c>
      <c r="D1036" s="20" t="s">
        <v>72</v>
      </c>
      <c r="E1036" s="35"/>
      <c r="F1036" s="29" cm="1">
        <f t="array" ref="F1036">IF(V1036 &lt;&gt; "", V1036, IFERROR(_xlfn.SINGLE(INDEX($G$1:G1035,SUMPRODUCT(MAX(($W$1:W1035=W1036)*(ROW($W$1:W1035))))))+IF(D1036="Fiscal",30,90),""))</f>
        <v>46077</v>
      </c>
      <c r="G1036" s="21"/>
      <c r="H1036" s="15" t="str">
        <f t="shared" si="445"/>
        <v>Erro</v>
      </c>
      <c r="I1036" s="15"/>
      <c r="J1036" s="32"/>
      <c r="K1036" s="15" t="str">
        <f t="shared" si="446"/>
        <v>Erro</v>
      </c>
      <c r="L1036" s="15"/>
      <c r="M1036" s="15" t="str">
        <f t="shared" si="447"/>
        <v>Erro</v>
      </c>
      <c r="N1036" s="13"/>
      <c r="O1036" s="2" t="str">
        <f>IFERROR(IF(tblColetas[[#This Row],[Status Coleta]]="Reprovado","Reprovado",IF(ISERROR(SEARCH("Poço",D1036)),IF(N1036="","Erro",IF(Q1036="Reprovado","",WORKDAY(N1036,IF(D1036="Operacional",10,3),FERIADOS!$A$3:$A$119))),"-")),"-")</f>
        <v>Erro</v>
      </c>
      <c r="P1036" s="21"/>
      <c r="Q1036" s="7"/>
      <c r="R1036" s="13"/>
      <c r="S1036" s="30"/>
      <c r="T1036" s="43"/>
      <c r="W1036" t="str">
        <f t="shared" si="448"/>
        <v>SEP776-AP-0006 (HP Flare)Fiscal</v>
      </c>
      <c r="X103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7" spans="1:24" ht="12.75" customHeight="1" x14ac:dyDescent="0.25">
      <c r="A1037" s="19"/>
      <c r="B1037" s="19" t="s">
        <v>52</v>
      </c>
      <c r="C1037" s="5" t="s">
        <v>113</v>
      </c>
      <c r="D1037" s="20" t="s">
        <v>72</v>
      </c>
      <c r="E1037" s="35"/>
      <c r="F1037" s="29" cm="1">
        <f t="array" ref="F1037">IF(V1037 &lt;&gt; "", V1037, IFERROR(_xlfn.SINGLE(INDEX($G$1:G1036,SUMPRODUCT(MAX(($W$1:W1036=W1037)*(ROW($W$1:W1036))))))+IF(D1037="Fiscal",30,90),""))</f>
        <v>46077</v>
      </c>
      <c r="G1037" s="21"/>
      <c r="H1037" s="15" t="str">
        <f t="shared" si="445"/>
        <v>Erro</v>
      </c>
      <c r="I1037" s="15"/>
      <c r="J1037" s="32"/>
      <c r="K1037" s="15" t="str">
        <f t="shared" si="446"/>
        <v>Erro</v>
      </c>
      <c r="L1037" s="15"/>
      <c r="M1037" s="15" t="str">
        <f t="shared" si="447"/>
        <v>Erro</v>
      </c>
      <c r="N1037" s="13"/>
      <c r="O1037" s="2" t="str">
        <f>IFERROR(IF(tblColetas[[#This Row],[Status Coleta]]="Reprovado","Reprovado",IF(ISERROR(SEARCH("Poço",D1037)),IF(N1037="","Erro",IF(Q1037="Reprovado","",WORKDAY(N1037,IF(D1037="Operacional",10,3),FERIADOS!$A$3:$A$119))),"-")),"-")</f>
        <v>Erro</v>
      </c>
      <c r="P1037" s="21"/>
      <c r="Q1037" s="7"/>
      <c r="R1037" s="13"/>
      <c r="S1037" s="30"/>
      <c r="T1037" s="43"/>
      <c r="W1037" t="str">
        <f t="shared" si="448"/>
        <v>SEP776-AP-0030 (LP Flare)Fiscal</v>
      </c>
      <c r="X103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8" spans="1:24" ht="12.75" customHeight="1" x14ac:dyDescent="0.25">
      <c r="A1038" s="19"/>
      <c r="B1038" s="19" t="s">
        <v>52</v>
      </c>
      <c r="C1038" s="5" t="s">
        <v>114</v>
      </c>
      <c r="D1038" s="20" t="s">
        <v>72</v>
      </c>
      <c r="E1038" s="35"/>
      <c r="F1038" s="29" cm="1">
        <f t="array" ref="F1038">IF(V1038 &lt;&gt; "", V1038, IFERROR(_xlfn.SINGLE(INDEX($G$1:G1037,SUMPRODUCT(MAX(($W$1:W1037=W1038)*(ROW($W$1:W1037))))))+IF(D1038="Fiscal",30,90),""))</f>
        <v>46076</v>
      </c>
      <c r="G1038" s="21"/>
      <c r="H1038" s="15" t="str">
        <f t="shared" si="445"/>
        <v>Erro</v>
      </c>
      <c r="I1038" s="15"/>
      <c r="J1038" s="32"/>
      <c r="K1038" s="15" t="str">
        <f t="shared" si="446"/>
        <v>Erro</v>
      </c>
      <c r="L1038" s="15"/>
      <c r="M1038" s="15" t="str">
        <f t="shared" si="447"/>
        <v>Erro</v>
      </c>
      <c r="N1038" s="13"/>
      <c r="O1038" s="2" t="str">
        <f>IFERROR(IF(tblColetas[[#This Row],[Status Coleta]]="Reprovado","Reprovado",IF(ISERROR(SEARCH("Poço",D1038)),IF(N1038="","Erro",IF(Q1038="Reprovado","",WORKDAY(N1038,IF(D1038="Operacional",10,3),FERIADOS!$A$3:$A$119))),"-")),"-")</f>
        <v>Erro</v>
      </c>
      <c r="P1038" s="21"/>
      <c r="Q1038" s="7"/>
      <c r="R1038" s="13"/>
      <c r="S1038" s="30"/>
      <c r="T1038" s="43"/>
      <c r="W1038" t="str">
        <f t="shared" si="448"/>
        <v>SEP777-AP-1104 (Fuel Gas)Fiscal</v>
      </c>
      <c r="X103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39" spans="1:24" ht="12.75" customHeight="1" x14ac:dyDescent="0.25">
      <c r="A1039" s="19"/>
      <c r="B1039" s="19" t="s">
        <v>52</v>
      </c>
      <c r="C1039" s="5" t="s">
        <v>115</v>
      </c>
      <c r="D1039" s="20" t="s">
        <v>72</v>
      </c>
      <c r="E1039" s="35"/>
      <c r="F1039" s="29" cm="1">
        <f t="array" ref="F1039">IF(V1039 &lt;&gt; "", V1039, IFERROR(_xlfn.SINGLE(INDEX($G$1:G1038,SUMPRODUCT(MAX(($W$1:W1038=W1039)*(ROW($W$1:W1038))))))+IF(D1039="Fiscal",30,90),""))</f>
        <v>46076</v>
      </c>
      <c r="G1039" s="21"/>
      <c r="H1039" s="15" t="str">
        <f t="shared" si="445"/>
        <v>Erro</v>
      </c>
      <c r="I1039" s="15"/>
      <c r="J1039" s="32"/>
      <c r="K1039" s="15" t="str">
        <f t="shared" si="446"/>
        <v>Erro</v>
      </c>
      <c r="L1039" s="15"/>
      <c r="M1039" s="15" t="str">
        <f t="shared" si="447"/>
        <v>Erro</v>
      </c>
      <c r="N1039" s="13"/>
      <c r="O1039" s="2" t="str">
        <f>IFERROR(IF(tblColetas[[#This Row],[Status Coleta]]="Reprovado","Reprovado",IF(ISERROR(SEARCH("Poço",D1039)),IF(N1039="","Erro",IF(Q1039="Reprovado","",WORKDAY(N1039,IF(D1039="Operacional",10,3),FERIADOS!$A$3:$A$119))),"-")),"-")</f>
        <v>Erro</v>
      </c>
      <c r="P1039" s="21"/>
      <c r="Q1039" s="7"/>
      <c r="R1039" s="13"/>
      <c r="S1039" s="30"/>
      <c r="T1039" s="43"/>
      <c r="W1039" t="str">
        <f t="shared" si="448"/>
        <v>SEP771-AP-0221 (Flare Assist)Fiscal</v>
      </c>
      <c r="X103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0" spans="1:24" ht="12.75" customHeight="1" x14ac:dyDescent="0.25">
      <c r="A1040" s="19"/>
      <c r="B1040" s="19" t="s">
        <v>34</v>
      </c>
      <c r="C1040" s="5" t="s">
        <v>91</v>
      </c>
      <c r="D1040" s="20" t="s">
        <v>26</v>
      </c>
      <c r="E1040" s="35"/>
      <c r="F1040" s="29" cm="1">
        <f t="array" ref="F1040">IF(V1040 &lt;&gt; "", V1040, IFERROR(_xlfn.SINGLE(INDEX($G$1:G1039,SUMPRODUCT(MAX(($W$1:W1039=W1040)*(ROW($W$1:W1039))))))+IF(D1040="Fiscal",30,90),""))</f>
        <v>46136</v>
      </c>
      <c r="G1040" s="21"/>
      <c r="H1040" s="15" t="str">
        <f t="shared" ref="H1040:H1045" si="449">IF(G1040="","Erro", G1040+10)</f>
        <v>Erro</v>
      </c>
      <c r="I1040" s="15"/>
      <c r="J1040" s="32"/>
      <c r="K1040" s="15" t="str">
        <f t="shared" ref="K1040:K1045" si="450">IF(G1040="","Erro",G1040+20)</f>
        <v>Erro</v>
      </c>
      <c r="L1040" s="15"/>
      <c r="M1040" s="15" t="str">
        <f t="shared" ref="M1040:M1045" si="451">IF(G1040="","Erro",G1040+IF(D1040="Operacional",45,25))</f>
        <v>Erro</v>
      </c>
      <c r="N1040" s="13"/>
      <c r="O1040" s="2" t="str">
        <f>IFERROR(IF(tblColetas[[#This Row],[Status Coleta]]="Reprovado","Reprovado",IF(ISERROR(SEARCH("Poço",D1040)),IF(N1040="","Erro",IF(Q1040="Reprovado","",WORKDAY(N1040,IF(D1040="Operacional",10,3),FERIADOS!$A$3:$A$119))),"-")),"-")</f>
        <v>-</v>
      </c>
      <c r="P1040" s="21"/>
      <c r="Q1040" s="7"/>
      <c r="R1040" s="13"/>
      <c r="S1040" s="30"/>
      <c r="T1040" s="43"/>
      <c r="W1040" t="str">
        <f t="shared" ref="W1040:W1045" si="452">B1040&amp;C1040&amp;D1040</f>
        <v>CDSPoço LL-80 (P-08)Poço CG</v>
      </c>
      <c r="X104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1" spans="1:24" ht="12.75" customHeight="1" x14ac:dyDescent="0.25">
      <c r="A1041" s="19"/>
      <c r="B1041" s="19" t="s">
        <v>34</v>
      </c>
      <c r="C1041" s="5" t="s">
        <v>91</v>
      </c>
      <c r="D1041" s="20" t="s">
        <v>29</v>
      </c>
      <c r="E1041" s="35"/>
      <c r="F1041" s="29" cm="1">
        <f t="array" ref="F1041">IF(V1041 &lt;&gt; "", V1041, IFERROR(_xlfn.SINGLE(INDEX($G$1:G1040,SUMPRODUCT(MAX(($W$1:W1040=W1041)*(ROW($W$1:W1040))))))+IF(D1041="Fiscal",30,90),""))</f>
        <v>46136</v>
      </c>
      <c r="G1041" s="21"/>
      <c r="H1041" s="15" t="str">
        <f t="shared" si="449"/>
        <v>Erro</v>
      </c>
      <c r="I1041" s="15"/>
      <c r="J1041" s="32"/>
      <c r="K1041" s="15" t="str">
        <f t="shared" si="450"/>
        <v>Erro</v>
      </c>
      <c r="L1041" s="15"/>
      <c r="M1041" s="15" t="str">
        <f t="shared" si="451"/>
        <v>Erro</v>
      </c>
      <c r="N1041" s="13"/>
      <c r="O1041" s="2" t="str">
        <f>IFERROR(IF(tblColetas[[#This Row],[Status Coleta]]="Reprovado","Reprovado",IF(ISERROR(SEARCH("Poço",D1041)),IF(N1041="","Erro",IF(Q1041="Reprovado","",WORKDAY(N1041,IF(D1041="Operacional",10,3),FERIADOS!$A$3:$A$119))),"-")),"-")</f>
        <v>-</v>
      </c>
      <c r="P1041" s="21"/>
      <c r="Q1041" s="7"/>
      <c r="R1041" s="13"/>
      <c r="S1041" s="30"/>
      <c r="T1041" s="43"/>
      <c r="W1041" t="str">
        <f t="shared" si="452"/>
        <v>CDSPoço LL-80 (P-08)Poço PVT</v>
      </c>
      <c r="X104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2" spans="1:24" ht="12.75" customHeight="1" x14ac:dyDescent="0.25">
      <c r="A1042" s="19"/>
      <c r="B1042" s="19" t="s">
        <v>145</v>
      </c>
      <c r="C1042" s="5" t="s">
        <v>221</v>
      </c>
      <c r="D1042" s="20" t="s">
        <v>26</v>
      </c>
      <c r="E1042" s="35"/>
      <c r="F1042" s="29" cm="1">
        <f t="array" ref="F1042">IF(V1042 &lt;&gt; "", V1042, IFERROR(_xlfn.SINGLE(INDEX($G$1:G1041,SUMPRODUCT(MAX(($W$1:W1041=W1042)*(ROW($W$1:W1041))))))+IF(D1042="Fiscal",30,90),""))</f>
        <v>46137</v>
      </c>
      <c r="G1042" s="21"/>
      <c r="H1042" s="15" t="str">
        <f t="shared" si="449"/>
        <v>Erro</v>
      </c>
      <c r="I1042" s="15"/>
      <c r="J1042" s="32"/>
      <c r="K1042" s="15" t="str">
        <f t="shared" si="450"/>
        <v>Erro</v>
      </c>
      <c r="L1042" s="15"/>
      <c r="M1042" s="15" t="str">
        <f t="shared" si="451"/>
        <v>Erro</v>
      </c>
      <c r="N1042" s="13"/>
      <c r="O1042" s="2" t="str">
        <f>IFERROR(IF(tblColetas[[#This Row],[Status Coleta]]="Reprovado","Reprovado",IF(ISERROR(SEARCH("Poço",D1042)),IF(N1042="","Erro",IF(Q1042="Reprovado","",WORKDAY(N1042,IF(D1042="Operacional",10,3),FERIADOS!$A$3:$A$119))),"-")),"-")</f>
        <v>-</v>
      </c>
      <c r="P1042" s="21"/>
      <c r="Q1042" s="7"/>
      <c r="R1042" s="13"/>
      <c r="S1042" s="30"/>
      <c r="T1042" s="43"/>
      <c r="W1042" t="str">
        <f t="shared" si="452"/>
        <v>ATDPoço 9-RJS-716 (P-6)Poço CG</v>
      </c>
      <c r="X104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3" spans="1:24" ht="12.75" customHeight="1" x14ac:dyDescent="0.25">
      <c r="A1043" s="19"/>
      <c r="B1043" s="19" t="s">
        <v>145</v>
      </c>
      <c r="C1043" s="5" t="s">
        <v>221</v>
      </c>
      <c r="D1043" s="20" t="s">
        <v>29</v>
      </c>
      <c r="E1043" s="35"/>
      <c r="F1043" s="29" cm="1">
        <f t="array" ref="F1043">IF(V1043 &lt;&gt; "", V1043, IFERROR(_xlfn.SINGLE(INDEX($G$1:G1042,SUMPRODUCT(MAX(($W$1:W1042=W1043)*(ROW($W$1:W1042))))))+IF(D1043="Fiscal",30,90),""))</f>
        <v>46137</v>
      </c>
      <c r="G1043" s="21"/>
      <c r="H1043" s="15" t="str">
        <f t="shared" si="449"/>
        <v>Erro</v>
      </c>
      <c r="I1043" s="15"/>
      <c r="J1043" s="32"/>
      <c r="K1043" s="15" t="str">
        <f t="shared" si="450"/>
        <v>Erro</v>
      </c>
      <c r="L1043" s="15"/>
      <c r="M1043" s="15" t="str">
        <f t="shared" si="451"/>
        <v>Erro</v>
      </c>
      <c r="N1043" s="13"/>
      <c r="O1043" s="2" t="str">
        <f>IFERROR(IF(tblColetas[[#This Row],[Status Coleta]]="Reprovado","Reprovado",IF(ISERROR(SEARCH("Poço",D1043)),IF(N1043="","Erro",IF(Q1043="Reprovado","",WORKDAY(N1043,IF(D1043="Operacional",10,3),FERIADOS!$A$3:$A$119))),"-")),"-")</f>
        <v>-</v>
      </c>
      <c r="P1043" s="21"/>
      <c r="Q1043" s="7"/>
      <c r="R1043" s="13"/>
      <c r="S1043" s="30"/>
      <c r="T1043" s="43"/>
      <c r="W1043" t="str">
        <f t="shared" si="452"/>
        <v>ATDPoço 9-RJS-716 (P-6)Poço PVT</v>
      </c>
      <c r="X104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4" spans="1:24" ht="12.75" customHeight="1" x14ac:dyDescent="0.25">
      <c r="A1044" s="19"/>
      <c r="B1044" s="19" t="s">
        <v>24</v>
      </c>
      <c r="C1044" s="5" t="s">
        <v>76</v>
      </c>
      <c r="D1044" s="20" t="s">
        <v>72</v>
      </c>
      <c r="E1044" s="35"/>
      <c r="F1044" s="29" cm="1">
        <f t="array" ref="F1044">IF(V1044 &lt;&gt; "", V1044, IFERROR(_xlfn.SINGLE(INDEX($G$1:G1043,SUMPRODUCT(MAX(($W$1:W1043=W1044)*(ROW($W$1:W1043))))))+IF(D1044="Fiscal",30,90),""))</f>
        <v>46076</v>
      </c>
      <c r="G1044" s="21"/>
      <c r="H1044" s="15" t="str">
        <f t="shared" si="449"/>
        <v>Erro</v>
      </c>
      <c r="I1044" s="15"/>
      <c r="J1044" s="32"/>
      <c r="K1044" s="15" t="str">
        <f t="shared" si="450"/>
        <v>Erro</v>
      </c>
      <c r="L1044" s="15"/>
      <c r="M1044" s="15" t="str">
        <f t="shared" si="451"/>
        <v>Erro</v>
      </c>
      <c r="N1044" s="13"/>
      <c r="O1044" s="2" t="str">
        <f>IFERROR(IF(tblColetas[[#This Row],[Status Coleta]]="Reprovado","Reprovado",IF(ISERROR(SEARCH("Poço",D1044)),IF(N1044="","Erro",IF(Q1044="Reprovado","",WORKDAY(N1044,IF(D1044="Operacional",10,3),FERIADOS!$A$3:$A$119))),"-")),"-")</f>
        <v>Erro</v>
      </c>
      <c r="P1044" s="21"/>
      <c r="Q1044" s="7"/>
      <c r="R1044" s="13"/>
      <c r="S1044" s="30"/>
      <c r="T1044" s="43"/>
      <c r="W1044" t="str">
        <f t="shared" si="452"/>
        <v>CDAM74-FT-005 (Export gas)Fiscal</v>
      </c>
      <c r="X104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5" spans="1:24" ht="12.75" customHeight="1" x14ac:dyDescent="0.25">
      <c r="A1045" s="19"/>
      <c r="B1045" s="19" t="s">
        <v>24</v>
      </c>
      <c r="C1045" s="5" t="s">
        <v>78</v>
      </c>
      <c r="D1045" s="20" t="s">
        <v>72</v>
      </c>
      <c r="E1045" s="35"/>
      <c r="F1045" s="29" cm="1">
        <f t="array" ref="F1045">IF(V1045 &lt;&gt; "", V1045, IFERROR(_xlfn.SINGLE(INDEX($G$1:G1044,SUMPRODUCT(MAX(($W$1:W1044=W1045)*(ROW($W$1:W1044))))))+IF(D1045="Fiscal",30,90),""))</f>
        <v>46076</v>
      </c>
      <c r="G1045" s="21"/>
      <c r="H1045" s="15" t="str">
        <f t="shared" si="449"/>
        <v>Erro</v>
      </c>
      <c r="I1045" s="15"/>
      <c r="J1045" s="32"/>
      <c r="K1045" s="15" t="str">
        <f t="shared" si="450"/>
        <v>Erro</v>
      </c>
      <c r="L1045" s="15"/>
      <c r="M1045" s="15" t="str">
        <f t="shared" si="451"/>
        <v>Erro</v>
      </c>
      <c r="N1045" s="13"/>
      <c r="O1045" s="2" t="str">
        <f>IFERROR(IF(tblColetas[[#This Row],[Status Coleta]]="Reprovado","Reprovado",IF(ISERROR(SEARCH("Poço",D1045)),IF(N1045="","Erro",IF(Q1045="Reprovado","",WORKDAY(N1045,IF(D1045="Operacional",10,3),FERIADOS!$A$3:$A$119))),"-")),"-")</f>
        <v>Erro</v>
      </c>
      <c r="P1045" s="21"/>
      <c r="Q1045" s="7"/>
      <c r="R1045" s="13"/>
      <c r="S1045" s="30"/>
      <c r="T1045" s="43"/>
      <c r="W1045" t="str">
        <f t="shared" si="452"/>
        <v>CDAT77-FT-001 (Fuel Gas)Fiscal</v>
      </c>
      <c r="X104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6" spans="1:24" ht="12.75" customHeight="1" x14ac:dyDescent="0.25">
      <c r="A1046" s="19"/>
      <c r="B1046" s="19" t="s">
        <v>31</v>
      </c>
      <c r="C1046" s="5" t="s">
        <v>69</v>
      </c>
      <c r="D1046" s="20" t="s">
        <v>70</v>
      </c>
      <c r="E1046" s="35"/>
      <c r="F1046" s="29" cm="1">
        <f t="array" ref="F1046">IF(V1046 &lt;&gt; "", V1046, IFERROR(_xlfn.SINGLE(INDEX($G$1:G1045,SUMPRODUCT(MAX(($W$1:W1045=W1046)*(ROW($W$1:W1045))))))+IF(D1046="Fiscal",30,90),""))</f>
        <v>46136</v>
      </c>
      <c r="G1046" s="21"/>
      <c r="H1046" s="15" t="str">
        <f t="shared" ref="H1046:H1055" si="453">IF(G1046="","Erro", G1046+10)</f>
        <v>Erro</v>
      </c>
      <c r="I1046" s="15"/>
      <c r="J1046" s="32"/>
      <c r="K1046" s="15" t="str">
        <f t="shared" ref="K1046:K1055" si="454">IF(G1046="","Erro",G1046+20)</f>
        <v>Erro</v>
      </c>
      <c r="L1046" s="15"/>
      <c r="M1046" s="15" t="str">
        <f t="shared" ref="M1046:M1055" si="455">IF(G1046="","Erro",G1046+IF(D1046="Operacional",45,25))</f>
        <v>Erro</v>
      </c>
      <c r="N1046" s="13"/>
      <c r="O1046" s="2" t="str">
        <f>IFERROR(IF(tblColetas[[#This Row],[Status Coleta]]="Reprovado","Reprovado",IF(ISERROR(SEARCH("Poço",D1046)),IF(N1046="","Erro",IF(Q1046="Reprovado","",WORKDAY(N1046,IF(D1046="Operacional",10,3),FERIADOS!$A$3:$A$119))),"-")),"-")</f>
        <v>Erro</v>
      </c>
      <c r="P1046" s="21"/>
      <c r="Q1046" s="7"/>
      <c r="R1046" s="13"/>
      <c r="S1046" s="30"/>
      <c r="T1046" s="43"/>
      <c r="W1046" t="str">
        <f t="shared" ref="W1046:W1055" si="456">B1046&amp;C1046&amp;D1046</f>
        <v>CDIT73-AP-0001 (Gas Lift)Gas Lift</v>
      </c>
      <c r="X104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7" spans="1:24" ht="12.75" customHeight="1" x14ac:dyDescent="0.25">
      <c r="A1047" s="19"/>
      <c r="B1047" s="19" t="s">
        <v>31</v>
      </c>
      <c r="C1047" s="5" t="s">
        <v>105</v>
      </c>
      <c r="D1047" s="20" t="s">
        <v>26</v>
      </c>
      <c r="E1047" s="35"/>
      <c r="F1047" s="29" cm="1">
        <f t="array" ref="F1047">IF(V1047 &lt;&gt; "", V1047, IFERROR(_xlfn.SINGLE(INDEX($G$1:G1046,SUMPRODUCT(MAX(($W$1:W1046=W1047)*(ROW($W$1:W1046))))))+IF(D1047="Fiscal",30,90),""))</f>
        <v>46140</v>
      </c>
      <c r="G1047" s="21"/>
      <c r="H1047" s="15" t="str">
        <f t="shared" si="453"/>
        <v>Erro</v>
      </c>
      <c r="I1047" s="15"/>
      <c r="J1047" s="32"/>
      <c r="K1047" s="15" t="str">
        <f t="shared" si="454"/>
        <v>Erro</v>
      </c>
      <c r="L1047" s="15"/>
      <c r="M1047" s="15" t="str">
        <f t="shared" si="455"/>
        <v>Erro</v>
      </c>
      <c r="N1047" s="13"/>
      <c r="O1047" s="2" t="str">
        <f>IFERROR(IF(tblColetas[[#This Row],[Status Coleta]]="Reprovado","Reprovado",IF(ISERROR(SEARCH("Poço",D1047)),IF(N1047="","Erro",IF(Q1047="Reprovado","",WORKDAY(N1047,IF(D1047="Operacional",10,3),FERIADOS!$A$3:$A$119))),"-")),"-")</f>
        <v>-</v>
      </c>
      <c r="P1047" s="21"/>
      <c r="Q1047" s="7"/>
      <c r="R1047" s="13"/>
      <c r="S1047" s="30"/>
      <c r="T1047" s="43"/>
      <c r="W1047" t="str">
        <f t="shared" si="456"/>
        <v>CDIPoço SPH-16 (P-7)Poço CG</v>
      </c>
      <c r="X104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8" spans="1:24" ht="12.75" customHeight="1" x14ac:dyDescent="0.25">
      <c r="A1048" s="19"/>
      <c r="B1048" s="19" t="s">
        <v>31</v>
      </c>
      <c r="C1048" s="5" t="s">
        <v>105</v>
      </c>
      <c r="D1048" s="20" t="s">
        <v>29</v>
      </c>
      <c r="E1048" s="35"/>
      <c r="F1048" s="29" cm="1">
        <f t="array" ref="F1048">IF(V1048 &lt;&gt; "", V1048, IFERROR(_xlfn.SINGLE(INDEX($G$1:G1047,SUMPRODUCT(MAX(($W$1:W1047=W1048)*(ROW($W$1:W1047))))))+IF(D1048="Fiscal",30,90),""))</f>
        <v>46140</v>
      </c>
      <c r="G1048" s="21"/>
      <c r="H1048" s="15" t="str">
        <f t="shared" si="453"/>
        <v>Erro</v>
      </c>
      <c r="I1048" s="15"/>
      <c r="J1048" s="32"/>
      <c r="K1048" s="15" t="str">
        <f t="shared" si="454"/>
        <v>Erro</v>
      </c>
      <c r="L1048" s="15"/>
      <c r="M1048" s="15" t="str">
        <f t="shared" si="455"/>
        <v>Erro</v>
      </c>
      <c r="N1048" s="13"/>
      <c r="O1048" s="2" t="str">
        <f>IFERROR(IF(tblColetas[[#This Row],[Status Coleta]]="Reprovado","Reprovado",IF(ISERROR(SEARCH("Poço",D1048)),IF(N1048="","Erro",IF(Q1048="Reprovado","",WORKDAY(N1048,IF(D1048="Operacional",10,3),FERIADOS!$A$3:$A$119))),"-")),"-")</f>
        <v>-</v>
      </c>
      <c r="P1048" s="21"/>
      <c r="Q1048" s="7"/>
      <c r="R1048" s="13"/>
      <c r="S1048" s="30"/>
      <c r="T1048" s="43"/>
      <c r="W1048" t="str">
        <f t="shared" si="456"/>
        <v>CDIPoço SPH-16 (P-7)Poço PVT</v>
      </c>
      <c r="X104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49" spans="1:24" ht="12.75" customHeight="1" x14ac:dyDescent="0.25">
      <c r="A1049" s="19"/>
      <c r="B1049" s="19" t="s">
        <v>34</v>
      </c>
      <c r="C1049" s="5" t="s">
        <v>35</v>
      </c>
      <c r="D1049" s="20" t="s">
        <v>26</v>
      </c>
      <c r="E1049" s="35"/>
      <c r="F1049" s="29" cm="1">
        <f t="array" ref="F1049">IF(V1049 &lt;&gt; "", V1049, IFERROR(_xlfn.SINGLE(INDEX($G$1:G1048,SUMPRODUCT(MAX(($W$1:W1048=W1049)*(ROW($W$1:W1048))))))+IF(D1049="Fiscal",30,90),""))</f>
        <v>46142</v>
      </c>
      <c r="G1049" s="21"/>
      <c r="H1049" s="15" t="str">
        <f t="shared" si="453"/>
        <v>Erro</v>
      </c>
      <c r="I1049" s="15"/>
      <c r="J1049" s="32"/>
      <c r="K1049" s="15" t="str">
        <f t="shared" si="454"/>
        <v>Erro</v>
      </c>
      <c r="L1049" s="15"/>
      <c r="M1049" s="15" t="str">
        <f t="shared" si="455"/>
        <v>Erro</v>
      </c>
      <c r="N1049" s="13"/>
      <c r="O1049" s="2" t="str">
        <f>IFERROR(IF(tblColetas[[#This Row],[Status Coleta]]="Reprovado","Reprovado",IF(ISERROR(SEARCH("Poço",D1049)),IF(N1049="","Erro",IF(Q1049="Reprovado","",WORKDAY(N1049,IF(D1049="Operacional",10,3),FERIADOS!$A$3:$A$119))),"-")),"-")</f>
        <v>-</v>
      </c>
      <c r="P1049" s="21"/>
      <c r="Q1049" s="7"/>
      <c r="R1049" s="13"/>
      <c r="S1049" s="30"/>
      <c r="T1049" s="43"/>
      <c r="W1049" t="str">
        <f t="shared" si="456"/>
        <v>CDSPoço LL-07 (P-03)Poço CG</v>
      </c>
      <c r="X104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0" spans="1:24" ht="12.75" customHeight="1" x14ac:dyDescent="0.25">
      <c r="A1050" s="19"/>
      <c r="B1050" s="19" t="s">
        <v>34</v>
      </c>
      <c r="C1050" s="5" t="s">
        <v>35</v>
      </c>
      <c r="D1050" s="20" t="s">
        <v>29</v>
      </c>
      <c r="E1050" s="35"/>
      <c r="F1050" s="29" cm="1">
        <f t="array" ref="F1050">IF(V1050 &lt;&gt; "", V1050, IFERROR(_xlfn.SINGLE(INDEX($G$1:G1049,SUMPRODUCT(MAX(($W$1:W1049=W1050)*(ROW($W$1:W1049))))))+IF(D1050="Fiscal",30,90),""))</f>
        <v>46142</v>
      </c>
      <c r="G1050" s="21"/>
      <c r="H1050" s="15" t="str">
        <f t="shared" si="453"/>
        <v>Erro</v>
      </c>
      <c r="I1050" s="15"/>
      <c r="J1050" s="32"/>
      <c r="K1050" s="15" t="str">
        <f t="shared" si="454"/>
        <v>Erro</v>
      </c>
      <c r="L1050" s="15"/>
      <c r="M1050" s="15" t="str">
        <f t="shared" si="455"/>
        <v>Erro</v>
      </c>
      <c r="N1050" s="13"/>
      <c r="O1050" s="2" t="str">
        <f>IFERROR(IF(tblColetas[[#This Row],[Status Coleta]]="Reprovado","Reprovado",IF(ISERROR(SEARCH("Poço",D1050)),IF(N1050="","Erro",IF(Q1050="Reprovado","",WORKDAY(N1050,IF(D1050="Operacional",10,3),FERIADOS!$A$3:$A$119))),"-")),"-")</f>
        <v>-</v>
      </c>
      <c r="P1050" s="21"/>
      <c r="Q1050" s="7"/>
      <c r="R1050" s="13"/>
      <c r="S1050" s="30"/>
      <c r="T1050" s="43"/>
      <c r="W1050" t="str">
        <f t="shared" si="456"/>
        <v>CDSPoço LL-07 (P-03)Poço PVT</v>
      </c>
      <c r="X105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1" spans="1:24" ht="12.75" customHeight="1" x14ac:dyDescent="0.25">
      <c r="A1051" s="19"/>
      <c r="B1051" s="19" t="s">
        <v>192</v>
      </c>
      <c r="C1051" s="5" t="s">
        <v>112</v>
      </c>
      <c r="D1051" s="20" t="s">
        <v>72</v>
      </c>
      <c r="E1051" s="35"/>
      <c r="F1051" s="29" cm="1">
        <f t="array" ref="F1051">IF(V1051 &lt;&gt; "", V1051, IFERROR(_xlfn.SINGLE(INDEX($G$1:G1050,SUMPRODUCT(MAX(($W$1:W1050=W1051)*(ROW($W$1:W1050))))))+IF(D1051="Fiscal",30,90),""))</f>
        <v>46084</v>
      </c>
      <c r="G1051" s="21"/>
      <c r="H1051" s="15" t="str">
        <f t="shared" si="453"/>
        <v>Erro</v>
      </c>
      <c r="I1051" s="15"/>
      <c r="J1051" s="32"/>
      <c r="K1051" s="15" t="str">
        <f t="shared" si="454"/>
        <v>Erro</v>
      </c>
      <c r="L1051" s="15"/>
      <c r="M1051" s="15" t="str">
        <f t="shared" si="455"/>
        <v>Erro</v>
      </c>
      <c r="N1051" s="13"/>
      <c r="O1051" s="2" t="str">
        <f>IFERROR(IF(tblColetas[[#This Row],[Status Coleta]]="Reprovado","Reprovado",IF(ISERROR(SEARCH("Poço",D1051)),IF(N1051="","Erro",IF(Q1051="Reprovado","",WORKDAY(N1051,IF(D1051="Operacional",10,3),FERIADOS!$A$3:$A$119))),"-")),"-")</f>
        <v>Erro</v>
      </c>
      <c r="P1051" s="21"/>
      <c r="Q1051" s="7"/>
      <c r="R1051" s="13"/>
      <c r="S1051" s="30"/>
      <c r="T1051" s="43"/>
      <c r="W1051" t="str">
        <f t="shared" si="456"/>
        <v>ADG776-AP-0006 (HP Flare)Fiscal</v>
      </c>
      <c r="X105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2" spans="1:24" ht="12.75" customHeight="1" x14ac:dyDescent="0.25">
      <c r="A1052" s="19"/>
      <c r="B1052" s="19" t="s">
        <v>192</v>
      </c>
      <c r="C1052" s="5" t="s">
        <v>193</v>
      </c>
      <c r="D1052" s="20" t="s">
        <v>72</v>
      </c>
      <c r="E1052" s="35"/>
      <c r="F1052" s="29" cm="1">
        <f t="array" ref="F1052">IF(V1052 &lt;&gt; "", V1052, IFERROR(_xlfn.SINGLE(INDEX($G$1:G1051,SUMPRODUCT(MAX(($W$1:W1051=W1052)*(ROW($W$1:W1051))))))+IF(D1052="Fiscal",30,90),""))</f>
        <v>46084</v>
      </c>
      <c r="G1052" s="21"/>
      <c r="H1052" s="15" t="str">
        <f t="shared" si="453"/>
        <v>Erro</v>
      </c>
      <c r="I1052" s="15"/>
      <c r="J1052" s="32"/>
      <c r="K1052" s="15" t="str">
        <f t="shared" si="454"/>
        <v>Erro</v>
      </c>
      <c r="L1052" s="15"/>
      <c r="M1052" s="15" t="str">
        <f t="shared" si="455"/>
        <v>Erro</v>
      </c>
      <c r="N1052" s="13"/>
      <c r="O1052" s="2" t="str">
        <f>IFERROR(IF(tblColetas[[#This Row],[Status Coleta]]="Reprovado","Reprovado",IF(ISERROR(SEARCH("Poço",D1052)),IF(N1052="","Erro",IF(Q1052="Reprovado","",WORKDAY(N1052,IF(D1052="Operacional",10,3),FERIADOS!$A$3:$A$119))),"-")),"-")</f>
        <v>Erro</v>
      </c>
      <c r="P1052" s="21"/>
      <c r="Q1052" s="7"/>
      <c r="R1052" s="13"/>
      <c r="S1052" s="30"/>
      <c r="T1052" s="43"/>
      <c r="W1052" t="str">
        <f t="shared" si="456"/>
        <v>ADG776-AP-0026 (LP Flare)Fiscal</v>
      </c>
      <c r="X105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3" spans="1:24" ht="12.75" customHeight="1" x14ac:dyDescent="0.25">
      <c r="A1053" s="19"/>
      <c r="B1053" s="19" t="s">
        <v>192</v>
      </c>
      <c r="C1053" s="5" t="s">
        <v>194</v>
      </c>
      <c r="D1053" s="20" t="s">
        <v>72</v>
      </c>
      <c r="E1053" s="35"/>
      <c r="F1053" s="29" cm="1">
        <f t="array" ref="F1053">IF(V1053 &lt;&gt; "", V1053, IFERROR(_xlfn.SINGLE(INDEX($G$1:G1052,SUMPRODUCT(MAX(($W$1:W1052=W1053)*(ROW($W$1:W1052))))))+IF(D1053="Fiscal",30,90),""))</f>
        <v>46084</v>
      </c>
      <c r="G1053" s="21"/>
      <c r="H1053" s="15" t="str">
        <f t="shared" si="453"/>
        <v>Erro</v>
      </c>
      <c r="I1053" s="15"/>
      <c r="J1053" s="32"/>
      <c r="K1053" s="15" t="str">
        <f t="shared" si="454"/>
        <v>Erro</v>
      </c>
      <c r="L1053" s="15"/>
      <c r="M1053" s="15" t="str">
        <f t="shared" si="455"/>
        <v>Erro</v>
      </c>
      <c r="N1053" s="13"/>
      <c r="O1053" s="2" t="str">
        <f>IFERROR(IF(tblColetas[[#This Row],[Status Coleta]]="Reprovado","Reprovado",IF(ISERROR(SEARCH("Poço",D1053)),IF(N1053="","Erro",IF(Q1053="Reprovado","",WORKDAY(N1053,IF(D1053="Operacional",10,3),FERIADOS!$A$3:$A$119))),"-")),"-")</f>
        <v>Erro</v>
      </c>
      <c r="P1053" s="21"/>
      <c r="Q1053" s="7"/>
      <c r="R1053" s="13"/>
      <c r="S1053" s="30"/>
      <c r="T1053" s="43"/>
      <c r="W1053" t="str">
        <f t="shared" si="456"/>
        <v>ADG777-AP-1212 (Fuel Gas)Fiscal</v>
      </c>
      <c r="X105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4" spans="1:24" ht="12.75" customHeight="1" x14ac:dyDescent="0.25">
      <c r="A1054" s="19"/>
      <c r="B1054" s="19" t="s">
        <v>192</v>
      </c>
      <c r="C1054" s="5" t="s">
        <v>195</v>
      </c>
      <c r="D1054" s="20" t="s">
        <v>72</v>
      </c>
      <c r="E1054" s="35"/>
      <c r="F1054" s="29" cm="1">
        <f t="array" ref="F1054">IF(V1054 &lt;&gt; "", V1054, IFERROR(_xlfn.SINGLE(INDEX($G$1:G1053,SUMPRODUCT(MAX(($W$1:W1053=W1054)*(ROW($W$1:W1053))))))+IF(D1054="Fiscal",30,90),""))</f>
        <v>46084</v>
      </c>
      <c r="G1054" s="21"/>
      <c r="H1054" s="15" t="str">
        <f t="shared" si="453"/>
        <v>Erro</v>
      </c>
      <c r="I1054" s="15"/>
      <c r="J1054" s="32"/>
      <c r="K1054" s="15" t="str">
        <f t="shared" si="454"/>
        <v>Erro</v>
      </c>
      <c r="L1054" s="15"/>
      <c r="M1054" s="15" t="str">
        <f t="shared" si="455"/>
        <v>Erro</v>
      </c>
      <c r="N1054" s="13"/>
      <c r="O1054" s="2" t="str">
        <f>IFERROR(IF(tblColetas[[#This Row],[Status Coleta]]="Reprovado","Reprovado",IF(ISERROR(SEARCH("Poço",D1054)),IF(N1054="","Erro",IF(Q1054="Reprovado","",WORKDAY(N1054,IF(D1054="Operacional",10,3),FERIADOS!$A$3:$A$119))),"-")),"-")</f>
        <v>Erro</v>
      </c>
      <c r="P1054" s="21"/>
      <c r="Q1054" s="7"/>
      <c r="R1054" s="13"/>
      <c r="S1054" s="30"/>
      <c r="T1054" s="43"/>
      <c r="W1054" t="str">
        <f t="shared" si="456"/>
        <v>ADG771-AP-0225 (Flare Assist)Fiscal</v>
      </c>
      <c r="X105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5" spans="1:24" ht="12.75" customHeight="1" x14ac:dyDescent="0.25">
      <c r="A1055" s="19"/>
      <c r="B1055" s="19" t="s">
        <v>192</v>
      </c>
      <c r="C1055" s="5" t="s">
        <v>220</v>
      </c>
      <c r="D1055" s="20" t="s">
        <v>70</v>
      </c>
      <c r="E1055" s="35"/>
      <c r="F1055" s="29" cm="1">
        <f t="array" ref="F1055">IF(V1055 &lt;&gt; "", V1055, IFERROR(_xlfn.SINGLE(INDEX($G$1:G1054,SUMPRODUCT(MAX(($W$1:W1054=W1055)*(ROW($W$1:W1054))))))+IF(D1055="Fiscal",30,90),""))</f>
        <v>46144</v>
      </c>
      <c r="G1055" s="21"/>
      <c r="H1055" s="15" t="str">
        <f t="shared" si="453"/>
        <v>Erro</v>
      </c>
      <c r="I1055" s="15"/>
      <c r="J1055" s="32"/>
      <c r="K1055" s="15" t="str">
        <f t="shared" si="454"/>
        <v>Erro</v>
      </c>
      <c r="L1055" s="15"/>
      <c r="M1055" s="15" t="str">
        <f t="shared" si="455"/>
        <v>Erro</v>
      </c>
      <c r="N1055" s="13"/>
      <c r="O1055" s="2" t="str">
        <f>IFERROR(IF(tblColetas[[#This Row],[Status Coleta]]="Reprovado","Reprovado",IF(ISERROR(SEARCH("Poço",D1055)),IF(N1055="","Erro",IF(Q1055="Reprovado","",WORKDAY(N1055,IF(D1055="Operacional",10,3),FERIADOS!$A$3:$A$119))),"-")),"-")</f>
        <v>Erro</v>
      </c>
      <c r="P1055" s="21"/>
      <c r="Q1055" s="7"/>
      <c r="R1055" s="13"/>
      <c r="S1055" s="30"/>
      <c r="T1055" s="43"/>
      <c r="W1055" t="str">
        <f t="shared" si="456"/>
        <v>ADG773-AP-0014 (Gas Lift)Gas Lift</v>
      </c>
      <c r="X105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6" spans="1:24" ht="12.75" customHeight="1" x14ac:dyDescent="0.25">
      <c r="A1056" s="19"/>
      <c r="B1056" s="19" t="s">
        <v>38</v>
      </c>
      <c r="C1056" s="5" t="s">
        <v>65</v>
      </c>
      <c r="D1056" s="20" t="s">
        <v>26</v>
      </c>
      <c r="E1056" s="35"/>
      <c r="F1056" s="29" cm="1">
        <f t="array" ref="F1056">IF(V1056 &lt;&gt; "", V1056, IFERROR(_xlfn.SINGLE(INDEX($G$1:G1055,SUMPRODUCT(MAX(($W$1:W1055=W1056)*(ROW($W$1:W1055))))))+IF(D1056="Fiscal",30,90),""))</f>
        <v>46147</v>
      </c>
      <c r="G1056" s="21"/>
      <c r="H1056" s="15" t="str">
        <f t="shared" ref="H1056:H1061" si="457">IF(G1056="","Erro", G1056+10)</f>
        <v>Erro</v>
      </c>
      <c r="I1056" s="15"/>
      <c r="J1056" s="32"/>
      <c r="K1056" s="15" t="str">
        <f t="shared" ref="K1056:K1061" si="458">IF(G1056="","Erro",G1056+20)</f>
        <v>Erro</v>
      </c>
      <c r="L1056" s="15"/>
      <c r="M1056" s="15" t="str">
        <f t="shared" ref="M1056:M1061" si="459">IF(G1056="","Erro",G1056+IF(D1056="Operacional",45,25))</f>
        <v>Erro</v>
      </c>
      <c r="N1056" s="13"/>
      <c r="O1056" s="2" t="str">
        <f>IFERROR(IF(tblColetas[[#This Row],[Status Coleta]]="Reprovado","Reprovado",IF(ISERROR(SEARCH("Poço",D1056)),IF(N1056="","Erro",IF(Q1056="Reprovado","",WORKDAY(N1056,IF(D1056="Operacional",10,3),FERIADOS!$A$3:$A$119))),"-")),"-")</f>
        <v>-</v>
      </c>
      <c r="P1056" s="21"/>
      <c r="Q1056" s="7"/>
      <c r="R1056" s="13"/>
      <c r="S1056" s="30"/>
      <c r="T1056" s="43"/>
      <c r="W1056" t="str">
        <f t="shared" ref="W1056:W1061" si="460">B1056&amp;C1056&amp;D1056</f>
        <v>CDPPoço LL-22 (P-8)Poço CG</v>
      </c>
      <c r="X105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7" spans="1:24" ht="12.75" customHeight="1" x14ac:dyDescent="0.25">
      <c r="A1057" s="19"/>
      <c r="B1057" s="19" t="s">
        <v>38</v>
      </c>
      <c r="C1057" s="5" t="s">
        <v>65</v>
      </c>
      <c r="D1057" s="20" t="s">
        <v>29</v>
      </c>
      <c r="E1057" s="35"/>
      <c r="F1057" s="29" cm="1">
        <f t="array" ref="F1057">IF(V1057 &lt;&gt; "", V1057, IFERROR(_xlfn.SINGLE(INDEX($G$1:G1056,SUMPRODUCT(MAX(($W$1:W1056=W1057)*(ROW($W$1:W1056))))))+IF(D1057="Fiscal",30,90),""))</f>
        <v>46147</v>
      </c>
      <c r="G1057" s="21"/>
      <c r="H1057" s="15" t="str">
        <f t="shared" si="457"/>
        <v>Erro</v>
      </c>
      <c r="I1057" s="15"/>
      <c r="J1057" s="32"/>
      <c r="K1057" s="15" t="str">
        <f t="shared" si="458"/>
        <v>Erro</v>
      </c>
      <c r="L1057" s="15"/>
      <c r="M1057" s="15" t="str">
        <f t="shared" si="459"/>
        <v>Erro</v>
      </c>
      <c r="N1057" s="13"/>
      <c r="O1057" s="2" t="str">
        <f>IFERROR(IF(tblColetas[[#This Row],[Status Coleta]]="Reprovado","Reprovado",IF(ISERROR(SEARCH("Poço",D1057)),IF(N1057="","Erro",IF(Q1057="Reprovado","",WORKDAY(N1057,IF(D1057="Operacional",10,3),FERIADOS!$A$3:$A$119))),"-")),"-")</f>
        <v>-</v>
      </c>
      <c r="P1057" s="21"/>
      <c r="Q1057" s="7"/>
      <c r="R1057" s="13"/>
      <c r="S1057" s="30"/>
      <c r="T1057" s="43"/>
      <c r="W1057" t="str">
        <f t="shared" si="460"/>
        <v>CDPPoço LL-22 (P-8)Poço PVT</v>
      </c>
      <c r="X105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8" spans="1:24" ht="12.75" customHeight="1" x14ac:dyDescent="0.25">
      <c r="A1058" s="19"/>
      <c r="B1058" s="19" t="s">
        <v>38</v>
      </c>
      <c r="C1058" s="5" t="s">
        <v>74</v>
      </c>
      <c r="D1058" s="20" t="s">
        <v>72</v>
      </c>
      <c r="E1058" s="35"/>
      <c r="F1058" s="29" cm="1">
        <f t="array" ref="F1058">IF(V1058 &lt;&gt; "", V1058, IFERROR(_xlfn.SINGLE(INDEX($G$1:G1057,SUMPRODUCT(MAX(($W$1:W1057=W1058)*(ROW($W$1:W1057))))))+IF(D1058="Fiscal",30,90),""))</f>
        <v>46089</v>
      </c>
      <c r="G1058" s="21"/>
      <c r="H1058" s="15" t="str">
        <f t="shared" si="457"/>
        <v>Erro</v>
      </c>
      <c r="I1058" s="15"/>
      <c r="J1058" s="32"/>
      <c r="K1058" s="15" t="str">
        <f t="shared" si="458"/>
        <v>Erro</v>
      </c>
      <c r="L1058" s="15"/>
      <c r="M1058" s="15" t="str">
        <f t="shared" si="459"/>
        <v>Erro</v>
      </c>
      <c r="N1058" s="13"/>
      <c r="O1058" s="2" t="str">
        <f>IFERROR(IF(tblColetas[[#This Row],[Status Coleta]]="Reprovado","Reprovado",IF(ISERROR(SEARCH("Poço",D1058)),IF(N1058="","Erro",IF(Q1058="Reprovado","",WORKDAY(N1058,IF(D1058="Operacional",10,3),FERIADOS!$A$3:$A$119))),"-")),"-")</f>
        <v>Erro</v>
      </c>
      <c r="P1058" s="21"/>
      <c r="Q1058" s="7"/>
      <c r="R1058" s="13"/>
      <c r="S1058" s="30"/>
      <c r="T1058" s="43"/>
      <c r="W1058" t="str">
        <f t="shared" si="460"/>
        <v>CDPT76-FT-0014 (HP Flare)Fiscal</v>
      </c>
      <c r="X105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59" spans="1:24" ht="12.75" customHeight="1" x14ac:dyDescent="0.25">
      <c r="A1059" s="8"/>
      <c r="B1059" s="8" t="s">
        <v>38</v>
      </c>
      <c r="C1059" s="5" t="s">
        <v>75</v>
      </c>
      <c r="D1059" s="9" t="s">
        <v>72</v>
      </c>
      <c r="E1059" s="36"/>
      <c r="F1059" s="29" cm="1">
        <f t="array" ref="F1059">IF(V1059 &lt;&gt; "", V1059, IFERROR(_xlfn.SINGLE(INDEX($G$1:G1058,SUMPRODUCT(MAX(($W$1:W1058=W1059)*(ROW($W$1:W1058))))))+IF(D1059="Fiscal",30,90),""))</f>
        <v>46089</v>
      </c>
      <c r="G1059" s="13"/>
      <c r="H1059" s="15" t="str">
        <f t="shared" si="457"/>
        <v>Erro</v>
      </c>
      <c r="I1059" s="15"/>
      <c r="J1059" s="32"/>
      <c r="K1059" s="15" t="str">
        <f t="shared" si="458"/>
        <v>Erro</v>
      </c>
      <c r="L1059" s="15"/>
      <c r="M1059" s="15" t="str">
        <f t="shared" si="459"/>
        <v>Erro</v>
      </c>
      <c r="N1059" s="13"/>
      <c r="O1059" s="2" t="str">
        <f>IFERROR(IF(tblColetas[[#This Row],[Status Coleta]]="Reprovado","Reprovado",IF(ISERROR(SEARCH("Poço",D1059)),IF(N1059="","Erro",IF(Q1059="Reprovado","",WORKDAY(N1059,IF(D1059="Operacional",10,3),FERIADOS!$A$3:$A$119))),"-")),"-")</f>
        <v>Erro</v>
      </c>
      <c r="P1059" s="13"/>
      <c r="Q1059" s="7"/>
      <c r="R1059" s="13"/>
      <c r="S1059" s="30"/>
      <c r="T1059" s="43"/>
      <c r="W1059" t="str">
        <f t="shared" si="460"/>
        <v>CDPT76-FT-0034 (LP Flare)Fiscal</v>
      </c>
      <c r="X105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0" spans="1:24" ht="12.75" customHeight="1" x14ac:dyDescent="0.25">
      <c r="A1060" s="8"/>
      <c r="B1060" s="8" t="s">
        <v>38</v>
      </c>
      <c r="C1060" s="5" t="s">
        <v>71</v>
      </c>
      <c r="D1060" s="9" t="s">
        <v>72</v>
      </c>
      <c r="E1060" s="36"/>
      <c r="F1060" s="29" cm="1">
        <f t="array" ref="F1060">IF(V1060 &lt;&gt; "", V1060, IFERROR(_xlfn.SINGLE(INDEX($G$1:G1059,SUMPRODUCT(MAX(($W$1:W1059=W1060)*(ROW($W$1:W1059))))))+IF(D1060="Fiscal",30,90),""))</f>
        <v>46089</v>
      </c>
      <c r="G1060" s="13"/>
      <c r="H1060" s="15" t="str">
        <f t="shared" si="457"/>
        <v>Erro</v>
      </c>
      <c r="I1060" s="15"/>
      <c r="J1060" s="32"/>
      <c r="K1060" s="15" t="str">
        <f t="shared" si="458"/>
        <v>Erro</v>
      </c>
      <c r="L1060" s="15"/>
      <c r="M1060" s="15" t="str">
        <f t="shared" si="459"/>
        <v>Erro</v>
      </c>
      <c r="N1060" s="13"/>
      <c r="O1060" s="2" t="str">
        <f>IFERROR(IF(tblColetas[[#This Row],[Status Coleta]]="Reprovado","Reprovado",IF(ISERROR(SEARCH("Poço",D1060)),IF(N1060="","Erro",IF(Q1060="Reprovado","",WORKDAY(N1060,IF(D1060="Operacional",10,3),FERIADOS!$A$3:$A$119))),"-")),"-")</f>
        <v>Erro</v>
      </c>
      <c r="P1060" s="13"/>
      <c r="Q1060" s="7"/>
      <c r="R1060" s="13"/>
      <c r="S1060" s="30"/>
      <c r="T1060" s="43"/>
      <c r="W1060" t="str">
        <f t="shared" si="460"/>
        <v>CDPT77-FT-0103 (Fuel Gas)Fiscal</v>
      </c>
      <c r="X106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1" spans="1:24" ht="12.75" customHeight="1" x14ac:dyDescent="0.25">
      <c r="A1061" s="8"/>
      <c r="B1061" s="8" t="s">
        <v>38</v>
      </c>
      <c r="C1061" s="5" t="s">
        <v>98</v>
      </c>
      <c r="D1061" s="9" t="s">
        <v>72</v>
      </c>
      <c r="E1061" s="36"/>
      <c r="F1061" s="29" cm="1">
        <f t="array" ref="F1061">IF(V1061 &lt;&gt; "", V1061, IFERROR(_xlfn.SINGLE(INDEX($G$1:G1060,SUMPRODUCT(MAX(($W$1:W1060=W1061)*(ROW($W$1:W1060))))))+IF(D1061="Fiscal",30,90),""))</f>
        <v>46089</v>
      </c>
      <c r="G1061" s="13"/>
      <c r="H1061" s="15" t="str">
        <f t="shared" si="457"/>
        <v>Erro</v>
      </c>
      <c r="I1061" s="15"/>
      <c r="J1061" s="32"/>
      <c r="K1061" s="15" t="str">
        <f t="shared" si="458"/>
        <v>Erro</v>
      </c>
      <c r="L1061" s="15"/>
      <c r="M1061" s="15" t="str">
        <f t="shared" si="459"/>
        <v>Erro</v>
      </c>
      <c r="N1061" s="13"/>
      <c r="O1061" s="2" t="str">
        <f>IFERROR(IF(tblColetas[[#This Row],[Status Coleta]]="Reprovado","Reprovado",IF(ISERROR(SEARCH("Poço",D1061)),IF(N1061="","Erro",IF(Q1061="Reprovado","",WORKDAY(N1061,IF(D1061="Operacional",10,3),FERIADOS!$A$3:$A$119))),"-")),"-")</f>
        <v>Erro</v>
      </c>
      <c r="P1061" s="13"/>
      <c r="Q1061" s="7"/>
      <c r="R1061" s="13"/>
      <c r="S1061" s="30"/>
      <c r="T1061" s="43"/>
      <c r="W1061" t="str">
        <f t="shared" si="460"/>
        <v>CDPT74-FT-6701 (Export Gas)Fiscal</v>
      </c>
      <c r="X106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2" spans="1:24" ht="12.75" customHeight="1" x14ac:dyDescent="0.25">
      <c r="A1062" s="19"/>
      <c r="B1062" s="19" t="s">
        <v>24</v>
      </c>
      <c r="C1062" s="5" t="s">
        <v>101</v>
      </c>
      <c r="D1062" s="20" t="s">
        <v>26</v>
      </c>
      <c r="E1062" s="35"/>
      <c r="F1062" s="29" cm="1">
        <f t="array" ref="F1062">IF(V1062 &lt;&gt; "", V1062, IFERROR(_xlfn.SINGLE(INDEX($G$1:G1061,SUMPRODUCT(MAX(($W$1:W1061=W1062)*(ROW($W$1:W1061))))))+IF(D1062="Fiscal",30,90),""))</f>
        <v>46143</v>
      </c>
      <c r="G1062" s="21"/>
      <c r="H1062" s="15" t="str">
        <f t="shared" ref="H1062:H1069" si="461">IF(G1062="","Erro", G1062+10)</f>
        <v>Erro</v>
      </c>
      <c r="I1062" s="15"/>
      <c r="J1062" s="32"/>
      <c r="K1062" s="15" t="str">
        <f t="shared" ref="K1062:K1069" si="462">IF(G1062="","Erro",G1062+20)</f>
        <v>Erro</v>
      </c>
      <c r="L1062" s="15"/>
      <c r="M1062" s="15" t="str">
        <f t="shared" ref="M1062:M1069" si="463">IF(G1062="","Erro",G1062+IF(D1062="Operacional",45,25))</f>
        <v>Erro</v>
      </c>
      <c r="N1062" s="13"/>
      <c r="O1062" s="2" t="str">
        <f>IFERROR(IF(tblColetas[[#This Row],[Status Coleta]]="Reprovado","Reprovado",IF(ISERROR(SEARCH("Poço",D1062)),IF(N1062="","Erro",IF(Q1062="Reprovado","",WORKDAY(N1062,IF(D1062="Operacional",10,3),FERIADOS!$A$3:$A$119))),"-")),"-")</f>
        <v>-</v>
      </c>
      <c r="P1062" s="21"/>
      <c r="Q1062" s="7"/>
      <c r="R1062" s="13"/>
      <c r="S1062" s="30"/>
      <c r="T1062" s="43"/>
      <c r="W1062" t="str">
        <f t="shared" ref="W1062:W1069" si="464">B1062&amp;C1062&amp;D1062</f>
        <v>CDAPoço 7-BAZ-04Poço CG</v>
      </c>
      <c r="X106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3" spans="1:24" ht="12.75" customHeight="1" x14ac:dyDescent="0.25">
      <c r="A1063" s="19"/>
      <c r="B1063" s="19" t="s">
        <v>24</v>
      </c>
      <c r="C1063" s="5" t="s">
        <v>101</v>
      </c>
      <c r="D1063" s="20" t="s">
        <v>29</v>
      </c>
      <c r="E1063" s="35"/>
      <c r="F1063" s="29" cm="1">
        <f t="array" ref="F1063">IF(V1063 &lt;&gt; "", V1063, IFERROR(_xlfn.SINGLE(INDEX($G$1:G1062,SUMPRODUCT(MAX(($W$1:W1062=W1063)*(ROW($W$1:W1062))))))+IF(D1063="Fiscal",30,90),""))</f>
        <v>46143</v>
      </c>
      <c r="G1063" s="21"/>
      <c r="H1063" s="15" t="str">
        <f t="shared" si="461"/>
        <v>Erro</v>
      </c>
      <c r="I1063" s="15"/>
      <c r="J1063" s="32"/>
      <c r="K1063" s="15" t="str">
        <f t="shared" si="462"/>
        <v>Erro</v>
      </c>
      <c r="L1063" s="15"/>
      <c r="M1063" s="15" t="str">
        <f t="shared" si="463"/>
        <v>Erro</v>
      </c>
      <c r="N1063" s="13"/>
      <c r="O1063" s="2" t="str">
        <f>IFERROR(IF(tblColetas[[#This Row],[Status Coleta]]="Reprovado","Reprovado",IF(ISERROR(SEARCH("Poço",D1063)),IF(N1063="","Erro",IF(Q1063="Reprovado","",WORKDAY(N1063,IF(D1063="Operacional",10,3),FERIADOS!$A$3:$A$119))),"-")),"-")</f>
        <v>-</v>
      </c>
      <c r="P1063" s="21"/>
      <c r="Q1063" s="7"/>
      <c r="R1063" s="13"/>
      <c r="S1063" s="30"/>
      <c r="T1063" s="43"/>
      <c r="W1063" t="str">
        <f t="shared" si="464"/>
        <v>CDAPoço 7-BAZ-04Poço PVT</v>
      </c>
      <c r="X106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4" spans="1:24" ht="12.75" customHeight="1" x14ac:dyDescent="0.25">
      <c r="A1064" s="19"/>
      <c r="B1064" s="19" t="s">
        <v>34</v>
      </c>
      <c r="C1064" s="5" t="s">
        <v>71</v>
      </c>
      <c r="D1064" s="20" t="s">
        <v>72</v>
      </c>
      <c r="E1064" s="35"/>
      <c r="F1064" s="29" cm="1">
        <f t="array" ref="F1064">IF(V1064 &lt;&gt; "", V1064, IFERROR(_xlfn.SINGLE(INDEX($G$1:G1063,SUMPRODUCT(MAX(($W$1:W1063=W1064)*(ROW($W$1:W1063))))))+IF(D1064="Fiscal",30,90),""))</f>
        <v>46092</v>
      </c>
      <c r="G1064" s="21"/>
      <c r="H1064" s="15" t="str">
        <f t="shared" si="461"/>
        <v>Erro</v>
      </c>
      <c r="I1064" s="15"/>
      <c r="J1064" s="32"/>
      <c r="K1064" s="15" t="str">
        <f t="shared" si="462"/>
        <v>Erro</v>
      </c>
      <c r="L1064" s="15"/>
      <c r="M1064" s="15" t="str">
        <f t="shared" si="463"/>
        <v>Erro</v>
      </c>
      <c r="N1064" s="13"/>
      <c r="O1064" s="2" t="str">
        <f>IFERROR(IF(tblColetas[[#This Row],[Status Coleta]]="Reprovado","Reprovado",IF(ISERROR(SEARCH("Poço",D1064)),IF(N1064="","Erro",IF(Q1064="Reprovado","",WORKDAY(N1064,IF(D1064="Operacional",10,3),FERIADOS!$A$3:$A$119))),"-")),"-")</f>
        <v>Erro</v>
      </c>
      <c r="P1064" s="21"/>
      <c r="Q1064" s="7"/>
      <c r="R1064" s="13"/>
      <c r="S1064" s="30"/>
      <c r="T1064" s="43"/>
      <c r="W1064" t="str">
        <f t="shared" si="464"/>
        <v>CDST77-FT-0103 (Fuel Gas)Fiscal</v>
      </c>
      <c r="X106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5" spans="1:24" ht="12.75" customHeight="1" x14ac:dyDescent="0.25">
      <c r="A1065" s="19"/>
      <c r="B1065" s="19" t="s">
        <v>34</v>
      </c>
      <c r="C1065" s="5" t="s">
        <v>73</v>
      </c>
      <c r="D1065" s="20" t="s">
        <v>72</v>
      </c>
      <c r="E1065" s="35"/>
      <c r="F1065" s="29" cm="1">
        <f t="array" ref="F1065">IF(V1065 &lt;&gt; "", V1065, IFERROR(_xlfn.SINGLE(INDEX($G$1:G1064,SUMPRODUCT(MAX(($W$1:W1064=W1065)*(ROW($W$1:W1064))))))+IF(D1065="Fiscal",30,90),""))</f>
        <v>46092</v>
      </c>
      <c r="G1065" s="21"/>
      <c r="H1065" s="15" t="str">
        <f t="shared" si="461"/>
        <v>Erro</v>
      </c>
      <c r="I1065" s="15"/>
      <c r="J1065" s="32"/>
      <c r="K1065" s="15" t="str">
        <f t="shared" si="462"/>
        <v>Erro</v>
      </c>
      <c r="L1065" s="15"/>
      <c r="M1065" s="15" t="str">
        <f t="shared" si="463"/>
        <v>Erro</v>
      </c>
      <c r="N1065" s="13"/>
      <c r="O1065" s="2" t="str">
        <f>IFERROR(IF(tblColetas[[#This Row],[Status Coleta]]="Reprovado","Reprovado",IF(ISERROR(SEARCH("Poço",D1065)),IF(N1065="","Erro",IF(Q1065="Reprovado","",WORKDAY(N1065,IF(D1065="Operacional",10,3),FERIADOS!$A$3:$A$119))),"-")),"-")</f>
        <v>Erro</v>
      </c>
      <c r="P1065" s="21"/>
      <c r="Q1065" s="7"/>
      <c r="R1065" s="13"/>
      <c r="S1065" s="30"/>
      <c r="T1065" s="43"/>
      <c r="W1065" t="str">
        <f t="shared" si="464"/>
        <v>CDST74-AX-6911 (Export Gas)Fiscal</v>
      </c>
      <c r="X106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6" spans="1:24" ht="12.75" customHeight="1" x14ac:dyDescent="0.25">
      <c r="A1066" s="19"/>
      <c r="B1066" s="19" t="s">
        <v>46</v>
      </c>
      <c r="C1066" s="5" t="s">
        <v>74</v>
      </c>
      <c r="D1066" s="20" t="s">
        <v>72</v>
      </c>
      <c r="E1066" s="35"/>
      <c r="F1066" s="29" cm="1">
        <f t="array" ref="F1066">IF(V1066 &lt;&gt; "", V1066, IFERROR(_xlfn.SINGLE(INDEX($G$1:G1065,SUMPRODUCT(MAX(($W$1:W1065=W1066)*(ROW($W$1:W1065))))))+IF(D1066="Fiscal",30,90),""))</f>
        <v>46094</v>
      </c>
      <c r="G1066" s="21"/>
      <c r="H1066" s="15" t="str">
        <f t="shared" si="461"/>
        <v>Erro</v>
      </c>
      <c r="I1066" s="15"/>
      <c r="J1066" s="32"/>
      <c r="K1066" s="15" t="str">
        <f t="shared" si="462"/>
        <v>Erro</v>
      </c>
      <c r="L1066" s="15"/>
      <c r="M1066" s="15" t="str">
        <f t="shared" si="463"/>
        <v>Erro</v>
      </c>
      <c r="N1066" s="13"/>
      <c r="O1066" s="2" t="str">
        <f>IFERROR(IF(tblColetas[[#This Row],[Status Coleta]]="Reprovado","Reprovado",IF(ISERROR(SEARCH("Poço",D1066)),IF(N1066="","Erro",IF(Q1066="Reprovado","",WORKDAY(N1066,IF(D1066="Operacional",10,3),FERIADOS!$A$3:$A$119))),"-")),"-")</f>
        <v>Erro</v>
      </c>
      <c r="P1066" s="21"/>
      <c r="Q1066" s="7"/>
      <c r="R1066" s="13"/>
      <c r="S1066" s="30"/>
      <c r="T1066" s="43"/>
      <c r="W1066" t="str">
        <f t="shared" si="464"/>
        <v>CDMT76-FT-0014 (HP Flare)Fiscal</v>
      </c>
      <c r="X106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7" spans="1:24" ht="12.75" customHeight="1" x14ac:dyDescent="0.25">
      <c r="A1067" s="19"/>
      <c r="B1067" s="19" t="s">
        <v>46</v>
      </c>
      <c r="C1067" s="5" t="s">
        <v>75</v>
      </c>
      <c r="D1067" s="20" t="s">
        <v>72</v>
      </c>
      <c r="E1067" s="35"/>
      <c r="F1067" s="29" cm="1">
        <f t="array" ref="F1067">IF(V1067 &lt;&gt; "", V1067, IFERROR(_xlfn.SINGLE(INDEX($G$1:G1066,SUMPRODUCT(MAX(($W$1:W1066=W1067)*(ROW($W$1:W1066))))))+IF(D1067="Fiscal",30,90),""))</f>
        <v>46094</v>
      </c>
      <c r="G1067" s="21"/>
      <c r="H1067" s="15" t="str">
        <f t="shared" si="461"/>
        <v>Erro</v>
      </c>
      <c r="I1067" s="15"/>
      <c r="J1067" s="32"/>
      <c r="K1067" s="15" t="str">
        <f t="shared" si="462"/>
        <v>Erro</v>
      </c>
      <c r="L1067" s="15"/>
      <c r="M1067" s="15" t="str">
        <f t="shared" si="463"/>
        <v>Erro</v>
      </c>
      <c r="N1067" s="13"/>
      <c r="O1067" s="2" t="str">
        <f>IFERROR(IF(tblColetas[[#This Row],[Status Coleta]]="Reprovado","Reprovado",IF(ISERROR(SEARCH("Poço",D1067)),IF(N1067="","Erro",IF(Q1067="Reprovado","",WORKDAY(N1067,IF(D1067="Operacional",10,3),FERIADOS!$A$3:$A$119))),"-")),"-")</f>
        <v>Erro</v>
      </c>
      <c r="P1067" s="21"/>
      <c r="Q1067" s="7"/>
      <c r="R1067" s="13"/>
      <c r="S1067" s="30"/>
      <c r="T1067" s="43"/>
      <c r="W1067" t="str">
        <f t="shared" si="464"/>
        <v>CDMT76-FT-0034 (LP Flare)Fiscal</v>
      </c>
      <c r="X106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8" spans="1:24" ht="12.75" customHeight="1" x14ac:dyDescent="0.25">
      <c r="A1068" s="19"/>
      <c r="B1068" s="19" t="s">
        <v>46</v>
      </c>
      <c r="C1068" s="5" t="s">
        <v>71</v>
      </c>
      <c r="D1068" s="20" t="s">
        <v>72</v>
      </c>
      <c r="E1068" s="35"/>
      <c r="F1068" s="29" cm="1">
        <f t="array" ref="F1068">IF(V1068 &lt;&gt; "", V1068, IFERROR(_xlfn.SINGLE(INDEX($G$1:G1067,SUMPRODUCT(MAX(($W$1:W1067=W1068)*(ROW($W$1:W1067))))))+IF(D1068="Fiscal",30,90),""))</f>
        <v>46094</v>
      </c>
      <c r="G1068" s="21"/>
      <c r="H1068" s="15" t="str">
        <f t="shared" si="461"/>
        <v>Erro</v>
      </c>
      <c r="I1068" s="15"/>
      <c r="J1068" s="32"/>
      <c r="K1068" s="15" t="str">
        <f t="shared" si="462"/>
        <v>Erro</v>
      </c>
      <c r="L1068" s="15"/>
      <c r="M1068" s="15" t="str">
        <f t="shared" si="463"/>
        <v>Erro</v>
      </c>
      <c r="N1068" s="13"/>
      <c r="O1068" s="2" t="str">
        <f>IFERROR(IF(tblColetas[[#This Row],[Status Coleta]]="Reprovado","Reprovado",IF(ISERROR(SEARCH("Poço",D1068)),IF(N1068="","Erro",IF(Q1068="Reprovado","",WORKDAY(N1068,IF(D1068="Operacional",10,3),FERIADOS!$A$3:$A$119))),"-")),"-")</f>
        <v>Erro</v>
      </c>
      <c r="P1068" s="21"/>
      <c r="Q1068" s="7"/>
      <c r="R1068" s="13"/>
      <c r="S1068" s="30"/>
      <c r="T1068" s="43"/>
      <c r="W1068" t="str">
        <f t="shared" si="464"/>
        <v>CDMT77-FT-0103 (Fuel Gas)Fiscal</v>
      </c>
      <c r="X1068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69" spans="1:24" ht="12.75" customHeight="1" x14ac:dyDescent="0.25">
      <c r="A1069" s="19"/>
      <c r="B1069" s="19" t="s">
        <v>46</v>
      </c>
      <c r="C1069" s="5" t="s">
        <v>125</v>
      </c>
      <c r="D1069" s="20" t="s">
        <v>72</v>
      </c>
      <c r="E1069" s="35"/>
      <c r="F1069" s="29" cm="1">
        <f t="array" ref="F1069">IF(V1069 &lt;&gt; "", V1069, IFERROR(_xlfn.SINGLE(INDEX($G$1:G1068,SUMPRODUCT(MAX(($W$1:W1068=W1069)*(ROW($W$1:W1068))))))+IF(D1069="Fiscal",30,90),""))</f>
        <v>46094</v>
      </c>
      <c r="G1069" s="21"/>
      <c r="H1069" s="15" t="str">
        <f t="shared" si="461"/>
        <v>Erro</v>
      </c>
      <c r="I1069" s="15"/>
      <c r="J1069" s="32"/>
      <c r="K1069" s="15" t="str">
        <f t="shared" si="462"/>
        <v>Erro</v>
      </c>
      <c r="L1069" s="15"/>
      <c r="M1069" s="15" t="str">
        <f t="shared" si="463"/>
        <v>Erro</v>
      </c>
      <c r="N1069" s="13"/>
      <c r="O1069" s="2" t="str">
        <f>IFERROR(IF(tblColetas[[#This Row],[Status Coleta]]="Reprovado","Reprovado",IF(ISERROR(SEARCH("Poço",D1069)),IF(N1069="","Erro",IF(Q1069="Reprovado","",WORKDAY(N1069,IF(D1069="Operacional",10,3),FERIADOS!$A$3:$A$119))),"-")),"-")</f>
        <v>Erro</v>
      </c>
      <c r="P1069" s="21"/>
      <c r="Q1069" s="7"/>
      <c r="R1069" s="13"/>
      <c r="S1069" s="30"/>
      <c r="T1069" s="43"/>
      <c r="W1069" t="str">
        <f t="shared" si="464"/>
        <v>CDMT74-FT-6901 (Export Gas)Fiscal</v>
      </c>
      <c r="X1069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0" spans="1:24" ht="12.75" customHeight="1" x14ac:dyDescent="0.25">
      <c r="A1070" s="19"/>
      <c r="B1070" s="19" t="s">
        <v>34</v>
      </c>
      <c r="C1070" s="5" t="s">
        <v>226</v>
      </c>
      <c r="D1070" s="20" t="s">
        <v>26</v>
      </c>
      <c r="E1070" s="35"/>
      <c r="F1070" s="29" cm="1">
        <f t="array" ref="F1070">IF(V1070 &lt;&gt; "", V1070, IFERROR(_xlfn.SINGLE(INDEX($G$1:G1069,SUMPRODUCT(MAX(($W$1:W1069=W1070)*(ROW($W$1:W1069))))))+IF(D1070="Fiscal",30,90),""))</f>
        <v>46153</v>
      </c>
      <c r="G1070" s="21"/>
      <c r="H1070" s="15" t="str">
        <f t="shared" ref="H1070:H1077" si="465">IF(G1070="","Erro", G1070+10)</f>
        <v>Erro</v>
      </c>
      <c r="I1070" s="15"/>
      <c r="J1070" s="32"/>
      <c r="K1070" s="15" t="str">
        <f t="shared" ref="K1070:K1077" si="466">IF(G1070="","Erro",G1070+20)</f>
        <v>Erro</v>
      </c>
      <c r="L1070" s="15"/>
      <c r="M1070" s="15" t="str">
        <f t="shared" ref="M1070:M1077" si="467">IF(G1070="","Erro",G1070+IF(D1070="Operacional",45,25))</f>
        <v>Erro</v>
      </c>
      <c r="N1070" s="13"/>
      <c r="O1070" s="2" t="str">
        <f>IFERROR(IF(tblColetas[[#This Row],[Status Coleta]]="Reprovado","Reprovado",IF(ISERROR(SEARCH("Poço",D1070)),IF(N1070="","Erro",IF(Q1070="Reprovado","",WORKDAY(N1070,IF(D1070="Operacional",10,3),FERIADOS!$A$3:$A$119))),"-")),"-")</f>
        <v>-</v>
      </c>
      <c r="P1070" s="21"/>
      <c r="Q1070" s="7"/>
      <c r="R1070" s="13"/>
      <c r="S1070" s="30"/>
      <c r="T1070" s="43"/>
      <c r="W1070" t="str">
        <f t="shared" ref="W1070:W1077" si="468">B1070&amp;C1070&amp;D1070</f>
        <v>CDSPoço RJS-677 (P-04)Poço CG</v>
      </c>
      <c r="X1070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1" spans="1:24" ht="12.75" customHeight="1" x14ac:dyDescent="0.25">
      <c r="A1071" s="19"/>
      <c r="B1071" s="19" t="s">
        <v>34</v>
      </c>
      <c r="C1071" s="5" t="s">
        <v>226</v>
      </c>
      <c r="D1071" s="20" t="s">
        <v>29</v>
      </c>
      <c r="E1071" s="35"/>
      <c r="F1071" s="29" cm="1">
        <f t="array" ref="F1071">IF(V1071 &lt;&gt; "", V1071, IFERROR(_xlfn.SINGLE(INDEX($G$1:G1070,SUMPRODUCT(MAX(($W$1:W1070=W1071)*(ROW($W$1:W1070))))))+IF(D1071="Fiscal",30,90),""))</f>
        <v>46153</v>
      </c>
      <c r="G1071" s="21"/>
      <c r="H1071" s="15" t="str">
        <f t="shared" si="465"/>
        <v>Erro</v>
      </c>
      <c r="I1071" s="15"/>
      <c r="J1071" s="32"/>
      <c r="K1071" s="15" t="str">
        <f t="shared" si="466"/>
        <v>Erro</v>
      </c>
      <c r="L1071" s="15"/>
      <c r="M1071" s="15" t="str">
        <f t="shared" si="467"/>
        <v>Erro</v>
      </c>
      <c r="N1071" s="13"/>
      <c r="O1071" s="2" t="str">
        <f>IFERROR(IF(tblColetas[[#This Row],[Status Coleta]]="Reprovado","Reprovado",IF(ISERROR(SEARCH("Poço",D1071)),IF(N1071="","Erro",IF(Q1071="Reprovado","",WORKDAY(N1071,IF(D1071="Operacional",10,3),FERIADOS!$A$3:$A$119))),"-")),"-")</f>
        <v>-</v>
      </c>
      <c r="P1071" s="21"/>
      <c r="Q1071" s="7"/>
      <c r="R1071" s="13"/>
      <c r="S1071" s="30"/>
      <c r="T1071" s="43"/>
      <c r="W1071" t="str">
        <f t="shared" si="468"/>
        <v>CDSPoço RJS-677 (P-04)Poço PVT</v>
      </c>
      <c r="X1071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2" spans="1:24" ht="12.75" customHeight="1" x14ac:dyDescent="0.25">
      <c r="A1072" s="19"/>
      <c r="B1072" s="19" t="s">
        <v>46</v>
      </c>
      <c r="C1072" s="5" t="s">
        <v>230</v>
      </c>
      <c r="D1072" s="20" t="s">
        <v>26</v>
      </c>
      <c r="E1072" s="35"/>
      <c r="F1072" s="29" cm="1">
        <f t="array" ref="F1072">IF(V1072 &lt;&gt; "", V1072, IFERROR(_xlfn.SINGLE(INDEX($G$1:G1071,SUMPRODUCT(MAX(($W$1:W1071=W1072)*(ROW($W$1:W1071))))))+IF(D1072="Fiscal",30,90),""))</f>
        <v>46154</v>
      </c>
      <c r="G1072" s="21"/>
      <c r="H1072" s="15" t="str">
        <f t="shared" si="465"/>
        <v>Erro</v>
      </c>
      <c r="I1072" s="15"/>
      <c r="J1072" s="32"/>
      <c r="K1072" s="15" t="str">
        <f t="shared" si="466"/>
        <v>Erro</v>
      </c>
      <c r="L1072" s="15"/>
      <c r="M1072" s="15" t="str">
        <f t="shared" si="467"/>
        <v>Erro</v>
      </c>
      <c r="N1072" s="13"/>
      <c r="O1072" s="2" t="str">
        <f>IFERROR(IF(tblColetas[[#This Row],[Status Coleta]]="Reprovado","Reprovado",IF(ISERROR(SEARCH("Poço",D1072)),IF(N1072="","Erro",IF(Q1072="Reprovado","",WORKDAY(N1072,IF(D1072="Operacional",10,3),FERIADOS!$A$3:$A$119))),"-")),"-")</f>
        <v>-</v>
      </c>
      <c r="P1072" s="21"/>
      <c r="Q1072" s="7"/>
      <c r="R1072" s="13"/>
      <c r="S1072" s="30"/>
      <c r="T1072" s="43"/>
      <c r="W1072" t="str">
        <f t="shared" si="468"/>
        <v>CDMPoço TUP-132 (P-08)Poço CG</v>
      </c>
      <c r="X1072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3" spans="1:24" ht="12.75" customHeight="1" x14ac:dyDescent="0.25">
      <c r="A1073" s="19"/>
      <c r="B1073" s="19" t="s">
        <v>46</v>
      </c>
      <c r="C1073" s="5" t="s">
        <v>230</v>
      </c>
      <c r="D1073" s="20" t="s">
        <v>29</v>
      </c>
      <c r="E1073" s="35"/>
      <c r="F1073" s="29" cm="1">
        <f t="array" ref="F1073">IF(V1073 &lt;&gt; "", V1073, IFERROR(_xlfn.SINGLE(INDEX($G$1:G1072,SUMPRODUCT(MAX(($W$1:W1072=W1073)*(ROW($W$1:W1072))))))+IF(D1073="Fiscal",30,90),""))</f>
        <v>46154</v>
      </c>
      <c r="G1073" s="21"/>
      <c r="H1073" s="15" t="str">
        <f t="shared" si="465"/>
        <v>Erro</v>
      </c>
      <c r="I1073" s="15"/>
      <c r="J1073" s="32"/>
      <c r="K1073" s="15" t="str">
        <f t="shared" si="466"/>
        <v>Erro</v>
      </c>
      <c r="L1073" s="15"/>
      <c r="M1073" s="15" t="str">
        <f t="shared" si="467"/>
        <v>Erro</v>
      </c>
      <c r="N1073" s="13"/>
      <c r="O1073" s="2" t="str">
        <f>IFERROR(IF(tblColetas[[#This Row],[Status Coleta]]="Reprovado","Reprovado",IF(ISERROR(SEARCH("Poço",D1073)),IF(N1073="","Erro",IF(Q1073="Reprovado","",WORKDAY(N1073,IF(D1073="Operacional",10,3),FERIADOS!$A$3:$A$119))),"-")),"-")</f>
        <v>-</v>
      </c>
      <c r="P1073" s="21"/>
      <c r="Q1073" s="7"/>
      <c r="R1073" s="13"/>
      <c r="S1073" s="30"/>
      <c r="T1073" s="43"/>
      <c r="W1073" t="str">
        <f t="shared" si="468"/>
        <v>CDMPoço TUP-132 (P-08)Poço PVT</v>
      </c>
      <c r="X1073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4" spans="1:24" ht="12.75" customHeight="1" x14ac:dyDescent="0.25">
      <c r="A1074" s="8"/>
      <c r="B1074" s="8" t="s">
        <v>34</v>
      </c>
      <c r="C1074" s="5" t="s">
        <v>109</v>
      </c>
      <c r="D1074" s="9" t="s">
        <v>26</v>
      </c>
      <c r="E1074" s="36"/>
      <c r="F1074" s="29" cm="1">
        <f t="array" ref="F1074">IF(V1074 &lt;&gt; "", V1074, IFERROR(_xlfn.SINGLE(INDEX($G$1:G1073,SUMPRODUCT(MAX(($W$1:W1073=W1074)*(ROW($W$1:W1073))))))+IF(D1074="Fiscal",30,90),""))</f>
        <v>46154</v>
      </c>
      <c r="G1074" s="13"/>
      <c r="H1074" s="15" t="str">
        <f t="shared" si="465"/>
        <v>Erro</v>
      </c>
      <c r="I1074" s="15"/>
      <c r="J1074" s="32"/>
      <c r="K1074" s="15" t="str">
        <f t="shared" si="466"/>
        <v>Erro</v>
      </c>
      <c r="L1074" s="15"/>
      <c r="M1074" s="15" t="str">
        <f t="shared" si="467"/>
        <v>Erro</v>
      </c>
      <c r="N1074" s="13"/>
      <c r="O1074" s="2" t="str">
        <f>IFERROR(IF(tblColetas[[#This Row],[Status Coleta]]="Reprovado","Reprovado",IF(ISERROR(SEARCH("Poço",D1074)),IF(N1074="","Erro",IF(Q1074="Reprovado","",WORKDAY(N1074,IF(D1074="Operacional",10,3),FERIADOS!$A$3:$A$119))),"-")),"-")</f>
        <v>-</v>
      </c>
      <c r="P1074" s="13"/>
      <c r="Q1074" s="7"/>
      <c r="R1074" s="13"/>
      <c r="S1074" s="30"/>
      <c r="T1074" s="43"/>
      <c r="W1074" t="str">
        <f t="shared" si="468"/>
        <v>CDSPoço LL-106 (P-16)Poço CG</v>
      </c>
      <c r="X1074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5" spans="1:24" ht="12.75" customHeight="1" x14ac:dyDescent="0.25">
      <c r="A1075" s="8"/>
      <c r="B1075" s="8" t="s">
        <v>34</v>
      </c>
      <c r="C1075" s="5" t="s">
        <v>109</v>
      </c>
      <c r="D1075" s="9" t="s">
        <v>29</v>
      </c>
      <c r="E1075" s="36"/>
      <c r="F1075" s="29" cm="1">
        <f t="array" ref="F1075">IF(V1075 &lt;&gt; "", V1075, IFERROR(_xlfn.SINGLE(INDEX($G$1:G1074,SUMPRODUCT(MAX(($W$1:W1074=W1075)*(ROW($W$1:W1074))))))+IF(D1075="Fiscal",30,90),""))</f>
        <v>46154</v>
      </c>
      <c r="G1075" s="13"/>
      <c r="H1075" s="15" t="str">
        <f t="shared" si="465"/>
        <v>Erro</v>
      </c>
      <c r="I1075" s="15"/>
      <c r="J1075" s="32"/>
      <c r="K1075" s="15" t="str">
        <f t="shared" si="466"/>
        <v>Erro</v>
      </c>
      <c r="L1075" s="15"/>
      <c r="M1075" s="15" t="str">
        <f t="shared" si="467"/>
        <v>Erro</v>
      </c>
      <c r="N1075" s="13"/>
      <c r="O1075" s="2" t="str">
        <f>IFERROR(IF(tblColetas[[#This Row],[Status Coleta]]="Reprovado","Reprovado",IF(ISERROR(SEARCH("Poço",D1075)),IF(N1075="","Erro",IF(Q1075="Reprovado","",WORKDAY(N1075,IF(D1075="Operacional",10,3),FERIADOS!$A$3:$A$119))),"-")),"-")</f>
        <v>-</v>
      </c>
      <c r="P1075" s="13"/>
      <c r="Q1075" s="7"/>
      <c r="R1075" s="13"/>
      <c r="S1075" s="30"/>
      <c r="T1075" s="43"/>
      <c r="W1075" t="str">
        <f t="shared" si="468"/>
        <v>CDSPoço LL-106 (P-16)Poço PVT</v>
      </c>
      <c r="X1075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6" spans="1:24" ht="12.75" customHeight="1" x14ac:dyDescent="0.25">
      <c r="A1076" s="8"/>
      <c r="B1076" s="8" t="s">
        <v>34</v>
      </c>
      <c r="C1076" s="5" t="s">
        <v>74</v>
      </c>
      <c r="D1076" s="9" t="s">
        <v>72</v>
      </c>
      <c r="E1076" s="36"/>
      <c r="F1076" s="29" cm="1">
        <f t="array" ref="F1076">IF(V1076 &lt;&gt; "", V1076, IFERROR(_xlfn.SINGLE(INDEX($G$1:G1075,SUMPRODUCT(MAX(($W$1:W1075=W1076)*(ROW($W$1:W1075))))))+IF(D1076="Fiscal",30,90),""))</f>
        <v>46093</v>
      </c>
      <c r="G1076" s="13"/>
      <c r="H1076" s="15" t="str">
        <f t="shared" si="465"/>
        <v>Erro</v>
      </c>
      <c r="I1076" s="15"/>
      <c r="J1076" s="32"/>
      <c r="K1076" s="15" t="str">
        <f t="shared" si="466"/>
        <v>Erro</v>
      </c>
      <c r="L1076" s="15"/>
      <c r="M1076" s="15" t="str">
        <f t="shared" si="467"/>
        <v>Erro</v>
      </c>
      <c r="N1076" s="13"/>
      <c r="O1076" s="2" t="str">
        <f>IFERROR(IF(tblColetas[[#This Row],[Status Coleta]]="Reprovado","Reprovado",IF(ISERROR(SEARCH("Poço",D1076)),IF(N1076="","Erro",IF(Q1076="Reprovado","",WORKDAY(N1076,IF(D1076="Operacional",10,3),FERIADOS!$A$3:$A$119))),"-")),"-")</f>
        <v>Erro</v>
      </c>
      <c r="P1076" s="13"/>
      <c r="Q1076" s="7"/>
      <c r="R1076" s="13"/>
      <c r="S1076" s="30"/>
      <c r="T1076" s="43"/>
      <c r="W1076" t="str">
        <f t="shared" si="468"/>
        <v>CDST76-FT-0014 (HP Flare)Fiscal</v>
      </c>
      <c r="X1076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  <row r="1077" spans="1:24" ht="12.75" customHeight="1" x14ac:dyDescent="0.25">
      <c r="A1077" s="8"/>
      <c r="B1077" s="8" t="s">
        <v>34</v>
      </c>
      <c r="C1077" s="5" t="s">
        <v>75</v>
      </c>
      <c r="D1077" s="9" t="s">
        <v>72</v>
      </c>
      <c r="E1077" s="36"/>
      <c r="F1077" s="29" cm="1">
        <f t="array" ref="F1077">IF(V1077 &lt;&gt; "", V1077, IFERROR(_xlfn.SINGLE(INDEX($G$1:G1076,SUMPRODUCT(MAX(($W$1:W1076=W1077)*(ROW($W$1:W1076))))))+IF(D1077="Fiscal",30,90),""))</f>
        <v>46093</v>
      </c>
      <c r="G1077" s="13"/>
      <c r="H1077" s="15" t="str">
        <f t="shared" si="465"/>
        <v>Erro</v>
      </c>
      <c r="I1077" s="15"/>
      <c r="J1077" s="32"/>
      <c r="K1077" s="15" t="str">
        <f t="shared" si="466"/>
        <v>Erro</v>
      </c>
      <c r="L1077" s="15"/>
      <c r="M1077" s="15" t="str">
        <f t="shared" si="467"/>
        <v>Erro</v>
      </c>
      <c r="N1077" s="13"/>
      <c r="O1077" s="2" t="str">
        <f>IFERROR(IF(tblColetas[[#This Row],[Status Coleta]]="Reprovado","Reprovado",IF(ISERROR(SEARCH("Poço",D1077)),IF(N1077="","Erro",IF(Q1077="Reprovado","",WORKDAY(N1077,IF(D1077="Operacional",10,3),FERIADOS!$A$3:$A$119))),"-")),"-")</f>
        <v>Erro</v>
      </c>
      <c r="P1077" s="13"/>
      <c r="Q1077" s="7"/>
      <c r="R1077" s="13"/>
      <c r="S1077" s="30"/>
      <c r="T1077" s="43"/>
      <c r="W1077" t="str">
        <f t="shared" si="468"/>
        <v>CDST76-FT-0034 (LP Flare)Fiscal</v>
      </c>
      <c r="X1077" t="str">
        <f ca="1">IF(OR(AND(tblColetas[[#This Row],[Coleta - Prevista]]=TODAY(),tblColetas[[#This Row],[Coleta - Realizado]]=""),AND(tblColetas[[#This Row],[Laudo - Previsto]]=TODAY(),tblColetas[[#This Row],[Laudo - Realizado]]=""),AND(tblColetas[[#This Row],[CV - Previsto]]=TODAY(),tblColetas[[#This Row],[CV - Realizado]]="")),"yes","no")</f>
        <v>no</v>
      </c>
    </row>
  </sheetData>
  <sheetProtection selectLockedCells="1"/>
  <dataConsolidate/>
  <phoneticPr fontId="4" type="noConversion"/>
  <conditionalFormatting sqref="P2:P1077 N2:N1077">
    <cfRule type="expression" dxfId="87" priority="122" stopIfTrue="1">
      <formula>N2&gt;M2</formula>
    </cfRule>
  </conditionalFormatting>
  <conditionalFormatting sqref="G2:G1077 R2:R1077 N2:P1077">
    <cfRule type="expression" dxfId="86" priority="119" stopIfTrue="1">
      <formula>G2=""</formula>
    </cfRule>
  </conditionalFormatting>
  <conditionalFormatting sqref="G2:G1077">
    <cfRule type="expression" dxfId="85" priority="13">
      <formula>AND(G2&gt;F2,F2&lt;&gt;"")</formula>
    </cfRule>
    <cfRule type="expression" dxfId="84" priority="34" stopIfTrue="1">
      <formula>AND(F2&lt;=TODAY()+7,G2="")</formula>
    </cfRule>
  </conditionalFormatting>
  <conditionalFormatting sqref="N2:N1077">
    <cfRule type="expression" dxfId="83" priority="32" stopIfTrue="1">
      <formula>AND(M2&lt;=TODAY()+3,N2="")</formula>
    </cfRule>
  </conditionalFormatting>
  <conditionalFormatting sqref="A2:E1077">
    <cfRule type="expression" dxfId="82" priority="112" stopIfTrue="1">
      <formula>1</formula>
    </cfRule>
  </conditionalFormatting>
  <conditionalFormatting sqref="P2:P1077">
    <cfRule type="expression" dxfId="81" priority="33">
      <formula>AND(O2&lt;=TODAY()+3,P2="",O2&lt;&gt;"")</formula>
    </cfRule>
  </conditionalFormatting>
  <conditionalFormatting sqref="F2:F1077">
    <cfRule type="expression" dxfId="80" priority="111" stopIfTrue="1">
      <formula>AND($F2="",ISERROR(SEARCH("Poço",D2)))</formula>
    </cfRule>
  </conditionalFormatting>
  <conditionalFormatting sqref="I2:J1077">
    <cfRule type="expression" dxfId="79" priority="12">
      <formula>AND($D2 = "Fiscal", $B2 &lt;&gt; "CDA")</formula>
    </cfRule>
  </conditionalFormatting>
  <conditionalFormatting sqref="L2:L1077">
    <cfRule type="expression" dxfId="78" priority="1">
      <formula>AND($D2 = "Fiscal", $B2 &lt;&gt; "CDA")</formula>
    </cfRule>
    <cfRule type="expression" dxfId="77" priority="9">
      <formula>AND(L2&gt;K2,L2&lt;&gt;"")</formula>
    </cfRule>
    <cfRule type="expression" dxfId="76" priority="11">
      <formula>AND($K2&lt;TODAY(),$L2="")</formula>
    </cfRule>
  </conditionalFormatting>
  <conditionalFormatting sqref="I2:I1077">
    <cfRule type="expression" dxfId="75" priority="10">
      <formula>AND(I2&gt;H2,I2&lt;&gt;"")</formula>
    </cfRule>
  </conditionalFormatting>
  <conditionalFormatting sqref="H2:I1077">
    <cfRule type="expression" dxfId="74" priority="6">
      <formula>AND($D2 = "Fiscal", $B2 &lt;&gt; "CDA")</formula>
    </cfRule>
  </conditionalFormatting>
  <dataValidations count="4">
    <dataValidation type="list" allowBlank="1" showInputMessage="1" showErrorMessage="1" sqref="Q2:Q1077" xr:uid="{00000000-0002-0000-0000-000000000000}">
      <formula1>"Aprovado,Reprovado,Cilindro Vazio,Pendente"</formula1>
    </dataValidation>
    <dataValidation type="list" allowBlank="1" showInputMessage="1" showErrorMessage="1" sqref="A2:B1077" xr:uid="{00000000-0002-0000-0000-000001000000}">
      <formula1>list_FPSOs</formula1>
    </dataValidation>
    <dataValidation type="list" allowBlank="1" showInputMessage="1" showErrorMessage="1" sqref="C2:C1077" xr:uid="{00000000-0002-0000-0000-000002000000}">
      <formula1>list_Pontos</formula1>
    </dataValidation>
    <dataValidation type="list" allowBlank="1" showInputMessage="1" showErrorMessage="1" sqref="D2:D1077" xr:uid="{00000000-0002-0000-0000-000003000000}">
      <formula1>"Fiscal,Poço CG,Poço PVT,Gas Lift"</formula1>
    </dataValidation>
  </dataValidation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66" r:id="rId4" name="btnPendente3">
              <controlPr defaultSize="0" print="0" autoFill="0" autoPict="0" macro="[0]!btnPendentes">
                <anchor moveWithCells="1" sizeWithCells="1">
                  <from>
                    <xdr:col>15</xdr:col>
                    <xdr:colOff>133350</xdr:colOff>
                    <xdr:row>0</xdr:row>
                    <xdr:rowOff>76200</xdr:rowOff>
                  </from>
                  <to>
                    <xdr:col>15</xdr:col>
                    <xdr:colOff>876300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67" r:id="rId5" name="btnAtraso3">
              <controlPr defaultSize="0" print="0" autoFill="0" autoPict="0" macro="[0]!btnAtrasos">
                <anchor moveWithCells="1" sizeWithCells="1">
                  <from>
                    <xdr:col>15</xdr:col>
                    <xdr:colOff>914400</xdr:colOff>
                    <xdr:row>0</xdr:row>
                    <xdr:rowOff>76200</xdr:rowOff>
                  </from>
                  <to>
                    <xdr:col>15</xdr:col>
                    <xdr:colOff>1543050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87" r:id="rId6" name="btnPendente4">
              <controlPr defaultSize="0" print="0" autoFill="0" autoPict="0" macro="[0]!btnPendenteValid">
                <anchor moveWithCells="1" sizeWithCells="1">
                  <from>
                    <xdr:col>16</xdr:col>
                    <xdr:colOff>247650</xdr:colOff>
                    <xdr:row>0</xdr:row>
                    <xdr:rowOff>76200</xdr:rowOff>
                  </from>
                  <to>
                    <xdr:col>16</xdr:col>
                    <xdr:colOff>990600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64" r:id="rId7" name="btnPendente2">
              <controlPr defaultSize="0" print="0" autoFill="0" autoPict="0" macro="[0]!btnPendentes">
                <anchor moveWithCells="1" sizeWithCells="1">
                  <from>
                    <xdr:col>13</xdr:col>
                    <xdr:colOff>247650</xdr:colOff>
                    <xdr:row>0</xdr:row>
                    <xdr:rowOff>76200</xdr:rowOff>
                  </from>
                  <to>
                    <xdr:col>13</xdr:col>
                    <xdr:colOff>990600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65" r:id="rId8" name="btnAtraso2">
              <controlPr defaultSize="0" print="0" autoFill="0" autoPict="0" macro="[0]!btnAtrasos">
                <anchor moveWithCells="1" sizeWithCells="1">
                  <from>
                    <xdr:col>13</xdr:col>
                    <xdr:colOff>1028700</xdr:colOff>
                    <xdr:row>0</xdr:row>
                    <xdr:rowOff>76200</xdr:rowOff>
                  </from>
                  <to>
                    <xdr:col>13</xdr:col>
                    <xdr:colOff>1657350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38" r:id="rId9" name="CDA">
              <controlPr defaultSize="0" print="0" autoFill="0" autoPict="0" macro="[0]!btnFPSO_Select">
                <anchor moveWithCells="1" sizeWithCells="1"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1</xdr:col>
                    <xdr:colOff>622300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39" r:id="rId10" name="CDP">
              <controlPr defaultSize="0" print="0" autoFill="0" autoPict="0" macro="[0]!btnFPSO_Select">
                <anchor moveWithCells="1" sizeWithCells="1">
                  <from>
                    <xdr:col>1</xdr:col>
                    <xdr:colOff>660400</xdr:colOff>
                    <xdr:row>0</xdr:row>
                    <xdr:rowOff>69850</xdr:rowOff>
                  </from>
                  <to>
                    <xdr:col>2</xdr:col>
                    <xdr:colOff>381000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40" r:id="rId11" name="CDI">
              <controlPr defaultSize="0" print="0" autoFill="0" autoPict="0" macro="[0]!btnFPSO_Select">
                <anchor moveWithCells="1" sizeWithCells="1">
                  <from>
                    <xdr:col>2</xdr:col>
                    <xdr:colOff>419100</xdr:colOff>
                    <xdr:row>0</xdr:row>
                    <xdr:rowOff>69850</xdr:rowOff>
                  </from>
                  <to>
                    <xdr:col>2</xdr:col>
                    <xdr:colOff>965200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41" r:id="rId12" name="CDM">
              <controlPr defaultSize="0" print="0" autoFill="0" autoPict="0" macro="[0]!btnFPSO_Select">
                <anchor moveWithCells="1" sizeWithCells="1">
                  <from>
                    <xdr:col>2</xdr:col>
                    <xdr:colOff>1009650</xdr:colOff>
                    <xdr:row>0</xdr:row>
                    <xdr:rowOff>69850</xdr:rowOff>
                  </from>
                  <to>
                    <xdr:col>3</xdr:col>
                    <xdr:colOff>12700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42" r:id="rId13" name="CDS">
              <controlPr defaultSize="0" print="0" autoFill="0" autoPict="0" macro="[0]!btnFPSO_Select">
                <anchor moveWithCells="1" sizeWithCells="1">
                  <from>
                    <xdr:col>3</xdr:col>
                    <xdr:colOff>57150</xdr:colOff>
                    <xdr:row>0</xdr:row>
                    <xdr:rowOff>69850</xdr:rowOff>
                  </from>
                  <to>
                    <xdr:col>3</xdr:col>
                    <xdr:colOff>603250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45" r:id="rId14" name="Limpar">
              <controlPr defaultSize="0" print="0" autoFill="0" autoPict="0" macro="[0]!btnFPSO_Select">
                <anchor moveWithCells="1" sizeWithCells="1">
                  <from>
                    <xdr:col>4</xdr:col>
                    <xdr:colOff>76200</xdr:colOff>
                    <xdr:row>0</xdr:row>
                    <xdr:rowOff>69850</xdr:rowOff>
                  </from>
                  <to>
                    <xdr:col>4</xdr:col>
                    <xdr:colOff>704850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54" r:id="rId15" name="btnPendente1">
              <controlPr defaultSize="0" print="0" autoFill="0" autoPict="0" macro="[0]!btnPendente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6</xdr:col>
                    <xdr:colOff>781050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63" r:id="rId16" name="btnAtraso1">
              <controlPr defaultSize="0" print="0" autoFill="0" autoPict="0" macro="[0]!btnAtrasos">
                <anchor moveWithCells="1" sizeWithCells="1">
                  <from>
                    <xdr:col>6</xdr:col>
                    <xdr:colOff>819150</xdr:colOff>
                    <xdr:row>0</xdr:row>
                    <xdr:rowOff>76200</xdr:rowOff>
                  </from>
                  <to>
                    <xdr:col>6</xdr:col>
                    <xdr:colOff>1447800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89" r:id="rId17" name="SEP">
              <controlPr defaultSize="0" print="0" autoFill="0" autoPict="0" macro="[0]!btnFPSO_Select">
                <anchor moveWithCells="1" sizeWithCells="1">
                  <from>
                    <xdr:col>3</xdr:col>
                    <xdr:colOff>641350</xdr:colOff>
                    <xdr:row>0</xdr:row>
                    <xdr:rowOff>76200</xdr:rowOff>
                  </from>
                  <to>
                    <xdr:col>3</xdr:col>
                    <xdr:colOff>1181100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91" r:id="rId18" name="Button 67">
              <controlPr defaultSize="0" print="0" autoFill="0" autoPict="0" macro="[0]!btnFPSO_Select">
                <anchor moveWithCells="1" sizeWithCells="1">
                  <from>
                    <xdr:col>3</xdr:col>
                    <xdr:colOff>1809750</xdr:colOff>
                    <xdr:row>0</xdr:row>
                    <xdr:rowOff>76200</xdr:rowOff>
                  </from>
                  <to>
                    <xdr:col>3</xdr:col>
                    <xdr:colOff>2355850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92" r:id="rId19" name="Button 68">
              <controlPr defaultSize="0" print="0" autoFill="0" autoPict="0" macro="[0]!btnFPSO_Select">
                <anchor moveWithCells="1" sizeWithCells="1">
                  <from>
                    <xdr:col>3</xdr:col>
                    <xdr:colOff>1219200</xdr:colOff>
                    <xdr:row>0</xdr:row>
                    <xdr:rowOff>76200</xdr:rowOff>
                  </from>
                  <to>
                    <xdr:col>3</xdr:col>
                    <xdr:colOff>1765300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204"/>
  <sheetViews>
    <sheetView showGridLines="0" zoomScaleNormal="100" workbookViewId="0">
      <pane xSplit="5" ySplit="1" topLeftCell="F143" activePane="bottomRight" state="frozen"/>
      <selection pane="topRight" activeCell="F1" sqref="F1"/>
      <selection pane="bottomLeft" activeCell="B2" sqref="B2"/>
      <selection pane="bottomRight" activeCell="C197" sqref="C197"/>
    </sheetView>
  </sheetViews>
  <sheetFormatPr defaultColWidth="18.7265625" defaultRowHeight="12.75" customHeight="1" x14ac:dyDescent="0.25"/>
  <cols>
    <col min="1" max="1" width="0.7265625" customWidth="1"/>
    <col min="2" max="2" width="23" bestFit="1" customWidth="1"/>
    <col min="3" max="3" width="28.54296875" bestFit="1" customWidth="1"/>
    <col min="4" max="4" width="28.1796875" customWidth="1"/>
    <col min="5" max="5" width="23.1796875" customWidth="1"/>
    <col min="6" max="6" width="22.26953125" customWidth="1"/>
    <col min="7" max="7" width="22.1796875" customWidth="1"/>
    <col min="8" max="8" width="27" bestFit="1" customWidth="1"/>
    <col min="9" max="14" width="22.453125" customWidth="1"/>
    <col min="15" max="15" width="24.54296875" customWidth="1"/>
    <col min="16" max="16" width="17.1796875" customWidth="1"/>
    <col min="17" max="17" width="23.54296875" customWidth="1"/>
    <col min="18" max="18" width="20.1796875" bestFit="1" customWidth="1"/>
    <col min="19" max="19" width="129.81640625" bestFit="1" customWidth="1"/>
    <col min="20" max="20" width="129.1796875" bestFit="1" customWidth="1"/>
    <col min="21" max="22" width="30.54296875" customWidth="1"/>
    <col min="23" max="23" width="10.453125" customWidth="1"/>
    <col min="24" max="24" width="16" customWidth="1"/>
  </cols>
  <sheetData>
    <row r="1" spans="1:24" ht="45" customHeight="1" x14ac:dyDescent="0.25">
      <c r="A1" s="46" t="s">
        <v>0</v>
      </c>
      <c r="B1" s="48" t="s">
        <v>1</v>
      </c>
      <c r="C1" s="26" t="s">
        <v>2</v>
      </c>
      <c r="D1" s="26" t="s">
        <v>3</v>
      </c>
      <c r="E1" s="26" t="s">
        <v>264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41" t="s">
        <v>265</v>
      </c>
      <c r="S1" s="41" t="s">
        <v>18</v>
      </c>
      <c r="T1" s="26" t="s">
        <v>19</v>
      </c>
      <c r="U1" s="45" t="s">
        <v>20</v>
      </c>
      <c r="V1" s="46" t="s">
        <v>21</v>
      </c>
      <c r="W1" s="26" t="s">
        <v>22</v>
      </c>
      <c r="X1" s="45" t="s">
        <v>23</v>
      </c>
    </row>
    <row r="2" spans="1:24" ht="12.5" x14ac:dyDescent="0.25">
      <c r="A2" s="10"/>
      <c r="B2" s="19" t="s">
        <v>52</v>
      </c>
      <c r="C2" s="5" t="s">
        <v>266</v>
      </c>
      <c r="D2" s="20" t="s">
        <v>267</v>
      </c>
      <c r="E2" s="36"/>
      <c r="F2" s="25" t="str" cm="1">
        <f t="array" ref="F2">IF(V2 &lt;&gt; "", V2,
  IF(NOT(ISERROR(SEARCH("Poço", D2))),
    IF(G2 = "", "", G2),
    IFERROR(_xlfn.SINGLE(INDEX($G$1:G1, SUMPRODUCT(MAX(($W$1:W1 = W2) * ROW($W$1:W1))))) +
      IF(
      D2 = "Fiscal", 30,
        IF(D2 = "Óleo - Densidade", IF(OR(B2 = "SEP", B2 = "ATD", B2 = "ADG"), 90, 365),
          IF(D2 = "Óleo - Enxofre", 365, 180)
        )
      ),
      ""
    )
  )
)</f>
        <v/>
      </c>
      <c r="G2" s="21">
        <v>45664</v>
      </c>
      <c r="H2" s="15">
        <f t="shared" ref="H2:H16" si="0">IF(G2="","Erro",IF(D2="Óleo - Densidade", "NA", G2+10))</f>
        <v>45674</v>
      </c>
      <c r="I2" s="15"/>
      <c r="J2" s="15"/>
      <c r="K2" s="15">
        <f t="shared" ref="K2:K16" si="1">IF(G2="","Erro",IF(D2="Óleo - Densidade", "NA", G2+20))</f>
        <v>45684</v>
      </c>
      <c r="L2" s="15"/>
      <c r="M2" s="15">
        <f t="shared" ref="M2:M16" si="2">IF(G2="","Erro",G2+IF(D2="Fiscal",25,IF(D2="Óleo - Densidade", 1, IF(D2="Óleo - Enxofre", 25, 45))))</f>
        <v>45709</v>
      </c>
      <c r="N2" s="13">
        <v>45688</v>
      </c>
      <c r="O2" s="2">
        <f>IF(ISERROR(SEARCH("Poço",D2)),IF(N2="","Erro",IF(Q2="Reprovado","Reprovado",IF(D2="Operacional", WORKDAY(N2,10,FERIADOS!$A$3:$A$119),IF(D2="Óleo - Enxofre", "NA", G2+3)))),"")</f>
        <v>45702</v>
      </c>
      <c r="P2" s="21">
        <v>45692</v>
      </c>
      <c r="Q2" s="7" t="s">
        <v>37</v>
      </c>
      <c r="R2" s="13"/>
      <c r="S2" s="30"/>
      <c r="T2" s="34"/>
      <c r="W2" t="str">
        <f t="shared" ref="W2:W16" si="3">B2&amp;C2</f>
        <v>SEP771-AP-0102 (HP Separator)</v>
      </c>
      <c r="X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" spans="1:24" ht="12.5" x14ac:dyDescent="0.25">
      <c r="A3" s="10"/>
      <c r="B3" s="19" t="s">
        <v>52</v>
      </c>
      <c r="C3" s="5" t="s">
        <v>268</v>
      </c>
      <c r="D3" s="20" t="s">
        <v>267</v>
      </c>
      <c r="E3" s="36"/>
      <c r="F3" s="25" t="str" cm="1">
        <f t="array" ref="F3">IF(V3 &lt;&gt; "", V3,
  IF(NOT(ISERROR(SEARCH("Poço", D3))),
    IF(G3 = "", "", G3),
    IFERROR(_xlfn.SINGLE(INDEX($G$1:G2, SUMPRODUCT(MAX(($W$1:W2 = W3) * ROW($W$1:W2))))) +
      IF(
      D3 = "Fiscal", 30,
        IF(D3 = "Óleo - Densidade", IF(OR(B3 = "SEP", B3 = "ATD", B3 = "ADG"), 90, 365),
          IF(D3 = "Óleo - Enxofre", 365, 180)
        )
      ),
      ""
    )
  )
)</f>
        <v/>
      </c>
      <c r="G3" s="21">
        <v>45664</v>
      </c>
      <c r="H3" s="15">
        <f t="shared" si="0"/>
        <v>45674</v>
      </c>
      <c r="I3" s="15"/>
      <c r="J3" s="15"/>
      <c r="K3" s="15">
        <f t="shared" si="1"/>
        <v>45684</v>
      </c>
      <c r="L3" s="15"/>
      <c r="M3" s="15">
        <f t="shared" si="2"/>
        <v>45709</v>
      </c>
      <c r="N3" s="13">
        <v>45688</v>
      </c>
      <c r="O3" s="2">
        <f>IF(ISERROR(SEARCH("Poço",D3)),IF(N3="","Erro",IF(Q3="Reprovado","Reprovado",IF(D3="Operacional", WORKDAY(N3,10,FERIADOS!$A$3:$A$119),IF(D3="Óleo - Enxofre", "NA", G3+3)))),"")</f>
        <v>45702</v>
      </c>
      <c r="P3" s="21">
        <v>45692</v>
      </c>
      <c r="Q3" s="7" t="s">
        <v>37</v>
      </c>
      <c r="R3" s="13"/>
      <c r="S3" s="30"/>
      <c r="T3" s="34"/>
      <c r="W3" t="str">
        <f t="shared" si="3"/>
        <v>SEP771-AP-0123 (FWKO Drum)</v>
      </c>
      <c r="X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" spans="1:24" ht="12.5" x14ac:dyDescent="0.25">
      <c r="A4" s="10"/>
      <c r="B4" s="19" t="s">
        <v>52</v>
      </c>
      <c r="C4" s="5" t="s">
        <v>269</v>
      </c>
      <c r="D4" s="20" t="s">
        <v>267</v>
      </c>
      <c r="E4" s="36"/>
      <c r="F4" s="25" t="str" cm="1">
        <f t="array" ref="F4">IF(V4 &lt;&gt; "", V4,
  IF(NOT(ISERROR(SEARCH("Poço", D4))),
    IF(G4 = "", "", G4),
    IFERROR(_xlfn.SINGLE(INDEX($G$1:G3, SUMPRODUCT(MAX(($W$1:W3 = W4) * ROW($W$1:W3))))) +
      IF(
      D4 = "Fiscal", 30,
        IF(D4 = "Óleo - Densidade", IF(OR(B4 = "SEP", B4 = "ATD", B4 = "ADG"), 90, 365),
          IF(D4 = "Óleo - Enxofre", 365, 180)
        )
      ),
      ""
    )
  )
)</f>
        <v/>
      </c>
      <c r="G4" s="21">
        <v>45664</v>
      </c>
      <c r="H4" s="15">
        <f t="shared" si="0"/>
        <v>45674</v>
      </c>
      <c r="I4" s="15"/>
      <c r="J4" s="15"/>
      <c r="K4" s="15">
        <f t="shared" si="1"/>
        <v>45684</v>
      </c>
      <c r="L4" s="15"/>
      <c r="M4" s="15">
        <f t="shared" si="2"/>
        <v>45709</v>
      </c>
      <c r="N4" s="13">
        <v>45688</v>
      </c>
      <c r="O4" s="2">
        <f>IF(ISERROR(SEARCH("Poço",D4)),IF(N4="","Erro",IF(Q4="Reprovado","Reprovado",IF(D4="Operacional", WORKDAY(N4,10,FERIADOS!$A$3:$A$119),IF(D4="Óleo - Enxofre", "NA", G4+3)))),"")</f>
        <v>45702</v>
      </c>
      <c r="P4" s="21">
        <v>45692</v>
      </c>
      <c r="Q4" s="7" t="s">
        <v>37</v>
      </c>
      <c r="R4" s="13"/>
      <c r="S4" s="30"/>
      <c r="T4" s="34"/>
      <c r="W4" t="str">
        <f t="shared" si="3"/>
        <v>SEP771-AP-0202 (IP Flash Vessel)</v>
      </c>
      <c r="X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" spans="1:24" ht="12.5" x14ac:dyDescent="0.25">
      <c r="A5" s="10"/>
      <c r="B5" s="19" t="s">
        <v>52</v>
      </c>
      <c r="C5" s="5" t="s">
        <v>270</v>
      </c>
      <c r="D5" s="20" t="s">
        <v>267</v>
      </c>
      <c r="E5" s="36"/>
      <c r="F5" s="25" t="str" cm="1">
        <f t="array" ref="F5">IF(V5 &lt;&gt; "", V5,
  IF(NOT(ISERROR(SEARCH("Poço", D5))),
    IF(G5 = "", "", G5),
    IFERROR(_xlfn.SINGLE(INDEX($G$1:G4, SUMPRODUCT(MAX(($W$1:W4 = W5) * ROW($W$1:W4))))) +
      IF(
      D5 = "Fiscal", 30,
        IF(D5 = "Óleo - Densidade", IF(OR(B5 = "SEP", B5 = "ATD", B5 = "ADG"), 90, 365),
          IF(D5 = "Óleo - Enxofre", 365, 180)
        )
      ),
      ""
    )
  )
)</f>
        <v/>
      </c>
      <c r="G5" s="21">
        <v>45664</v>
      </c>
      <c r="H5" s="15">
        <f t="shared" si="0"/>
        <v>45674</v>
      </c>
      <c r="I5" s="15"/>
      <c r="J5" s="15"/>
      <c r="K5" s="15">
        <f t="shared" si="1"/>
        <v>45684</v>
      </c>
      <c r="L5" s="15"/>
      <c r="M5" s="15">
        <f t="shared" si="2"/>
        <v>45709</v>
      </c>
      <c r="N5" s="13">
        <v>45688</v>
      </c>
      <c r="O5" s="2">
        <f>IF(ISERROR(SEARCH("Poço",D5)),IF(N5="","Erro",IF(Q5="Reprovado","Reprovado",IF(D5="Operacional", WORKDAY(N5,10,FERIADOS!$A$3:$A$119),IF(D5="Óleo - Enxofre", "NA", G5+3)))),"")</f>
        <v>45702</v>
      </c>
      <c r="P5" s="21">
        <v>45692</v>
      </c>
      <c r="Q5" s="7" t="s">
        <v>37</v>
      </c>
      <c r="R5" s="13"/>
      <c r="S5" s="30"/>
      <c r="T5" s="34"/>
      <c r="W5" t="str">
        <f t="shared" si="3"/>
        <v>SEP771-AP-0213 (LP Degasser)</v>
      </c>
      <c r="X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" spans="1:24" ht="12.5" x14ac:dyDescent="0.25">
      <c r="A6" s="10"/>
      <c r="B6" s="8" t="s">
        <v>38</v>
      </c>
      <c r="C6" s="5" t="s">
        <v>271</v>
      </c>
      <c r="D6" s="9" t="s">
        <v>267</v>
      </c>
      <c r="E6" s="36"/>
      <c r="F6" s="25" t="str" cm="1">
        <f t="array" ref="F6">IF(V6 &lt;&gt; "", V6,
  IF(NOT(ISERROR(SEARCH("Poço", D6))),
    IF(G6 = "", "", G6),
    IFERROR(_xlfn.SINGLE(INDEX($G$1:G5, SUMPRODUCT(MAX(($W$1:W5 = W6) * ROW($W$1:W5))))) +
      IF(
      D6 = "Fiscal", 30,
        IF(D6 = "Óleo - Densidade", IF(OR(B6 = "SEP", B6 = "ATD", B6 = "ADG"), 90, 365),
          IF(D6 = "Óleo - Enxofre", 365, 180)
        )
      ),
      ""
    )
  )
)</f>
        <v/>
      </c>
      <c r="G6" s="13">
        <v>45671</v>
      </c>
      <c r="H6" s="15">
        <f t="shared" si="0"/>
        <v>45681</v>
      </c>
      <c r="I6" s="15"/>
      <c r="J6" s="15"/>
      <c r="K6" s="15">
        <f t="shared" si="1"/>
        <v>45691</v>
      </c>
      <c r="L6" s="15"/>
      <c r="M6" s="15">
        <f t="shared" si="2"/>
        <v>45716</v>
      </c>
      <c r="N6" s="13">
        <v>45695</v>
      </c>
      <c r="O6" s="2">
        <f>IF(ISERROR(SEARCH("Poço",D6)),IF(N6="","Erro",IF(Q6="Reprovado","Reprovado",IF(D6="Operacional", WORKDAY(N6,10,FERIADOS!$A$3:$A$119),IF(D6="Óleo - Enxofre", "NA", G6+3)))),"")</f>
        <v>45709</v>
      </c>
      <c r="P6" s="13">
        <v>45699</v>
      </c>
      <c r="Q6" s="7" t="s">
        <v>37</v>
      </c>
      <c r="R6" s="13"/>
      <c r="S6" s="30"/>
      <c r="T6" s="34"/>
      <c r="W6" t="str">
        <f t="shared" si="3"/>
        <v>CDPT71-AP-0173 (LP Degasser)</v>
      </c>
      <c r="X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" spans="1:24" ht="12.5" x14ac:dyDescent="0.25">
      <c r="A7" s="10"/>
      <c r="B7" s="8" t="s">
        <v>38</v>
      </c>
      <c r="C7" s="5" t="s">
        <v>272</v>
      </c>
      <c r="D7" s="9" t="s">
        <v>267</v>
      </c>
      <c r="E7" s="36"/>
      <c r="F7" s="25" t="str" cm="1">
        <f t="array" ref="F7">IF(V7 &lt;&gt; "", V7,
  IF(NOT(ISERROR(SEARCH("Poço", D7))),
    IF(G7 = "", "", G7),
    IFERROR(_xlfn.SINGLE(INDEX($G$1:G6, SUMPRODUCT(MAX(($W$1:W6 = W7) * ROW($W$1:W6))))) +
      IF(
      D7 = "Fiscal", 30,
        IF(D7 = "Óleo - Densidade", IF(OR(B7 = "SEP", B7 = "ATD", B7 = "ADG"), 90, 365),
          IF(D7 = "Óleo - Enxofre", 365, 180)
        )
      ),
      ""
    )
  )
)</f>
        <v/>
      </c>
      <c r="G7" s="13">
        <v>45671</v>
      </c>
      <c r="H7" s="15">
        <f t="shared" si="0"/>
        <v>45681</v>
      </c>
      <c r="I7" s="15"/>
      <c r="J7" s="15"/>
      <c r="K7" s="15">
        <f t="shared" si="1"/>
        <v>45691</v>
      </c>
      <c r="L7" s="15"/>
      <c r="M7" s="15">
        <f t="shared" si="2"/>
        <v>45716</v>
      </c>
      <c r="N7" s="13">
        <v>45695</v>
      </c>
      <c r="O7" s="2">
        <f>IF(ISERROR(SEARCH("Poço",D7)),IF(N7="","Erro",IF(Q7="Reprovado","Reprovado",IF(D7="Operacional", WORKDAY(N7,10,FERIADOS!$A$3:$A$119),IF(D7="Óleo - Enxofre", "NA", G7+3)))),"")</f>
        <v>45709</v>
      </c>
      <c r="P7" s="13">
        <v>45699</v>
      </c>
      <c r="Q7" s="7" t="s">
        <v>37</v>
      </c>
      <c r="R7" s="13"/>
      <c r="S7" s="30"/>
      <c r="T7" s="34"/>
      <c r="W7" t="str">
        <f t="shared" si="3"/>
        <v>CDPT71-AP-0176 (HP Separator)</v>
      </c>
      <c r="X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" spans="1:24" ht="12.5" x14ac:dyDescent="0.25">
      <c r="A8" s="10"/>
      <c r="B8" s="8" t="s">
        <v>38</v>
      </c>
      <c r="C8" s="5" t="s">
        <v>273</v>
      </c>
      <c r="D8" s="9" t="s">
        <v>267</v>
      </c>
      <c r="E8" s="36"/>
      <c r="F8" s="25" t="str" cm="1">
        <f t="array" ref="F8">IF(V8 &lt;&gt; "", V8,
  IF(NOT(ISERROR(SEARCH("Poço", D8))),
    IF(G8 = "", "", G8),
    IFERROR(_xlfn.SINGLE(INDEX($G$1:G7, SUMPRODUCT(MAX(($W$1:W7 = W8) * ROW($W$1:W7))))) +
      IF(
      D8 = "Fiscal", 30,
        IF(D8 = "Óleo - Densidade", IF(OR(B8 = "SEP", B8 = "ATD", B8 = "ADG"), 90, 365),
          IF(D8 = "Óleo - Enxofre", 365, 180)
        )
      ),
      ""
    )
  )
)</f>
        <v/>
      </c>
      <c r="G8" s="13">
        <v>45671</v>
      </c>
      <c r="H8" s="15">
        <f t="shared" si="0"/>
        <v>45681</v>
      </c>
      <c r="I8" s="15"/>
      <c r="J8" s="15"/>
      <c r="K8" s="15">
        <f t="shared" si="1"/>
        <v>45691</v>
      </c>
      <c r="L8" s="15"/>
      <c r="M8" s="15">
        <f t="shared" si="2"/>
        <v>45716</v>
      </c>
      <c r="N8" s="13">
        <v>45695</v>
      </c>
      <c r="O8" s="2">
        <f>IF(ISERROR(SEARCH("Poço",D8)),IF(N8="","Erro",IF(Q8="Reprovado","Reprovado",IF(D8="Operacional", WORKDAY(N8,10,FERIADOS!$A$3:$A$119),IF(D8="Óleo - Enxofre", "NA", G8+3)))),"")</f>
        <v>45709</v>
      </c>
      <c r="P8" s="13">
        <v>45699</v>
      </c>
      <c r="Q8" s="7" t="s">
        <v>37</v>
      </c>
      <c r="R8" s="13"/>
      <c r="S8" s="30"/>
      <c r="T8" s="34"/>
      <c r="W8" t="str">
        <f t="shared" si="3"/>
        <v>CDPT71-AP-0163 (IP Flash Vessel)</v>
      </c>
      <c r="X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" spans="1:24" ht="12.5" x14ac:dyDescent="0.25">
      <c r="A9" s="10"/>
      <c r="B9" s="19" t="s">
        <v>38</v>
      </c>
      <c r="C9" s="5" t="s">
        <v>274</v>
      </c>
      <c r="D9" s="20" t="s">
        <v>267</v>
      </c>
      <c r="E9" s="36"/>
      <c r="F9" s="25" t="str" cm="1">
        <f t="array" ref="F9">IF(V9 &lt;&gt; "", V9,
  IF(NOT(ISERROR(SEARCH("Poço", D9))),
    IF(G9 = "", "", G9),
    IFERROR(_xlfn.SINGLE(INDEX($G$1:G8, SUMPRODUCT(MAX(($W$1:W8 = W9) * ROW($W$1:W8))))) +
      IF(
      D9 = "Fiscal", 30,
        IF(D9 = "Óleo - Densidade", IF(OR(B9 = "SEP", B9 = "ATD", B9 = "ADG"), 90, 365),
          IF(D9 = "Óleo - Enxofre", 365, 180)
        )
      ),
      ""
    )
  )
)</f>
        <v/>
      </c>
      <c r="G9" s="21">
        <v>45728</v>
      </c>
      <c r="H9" s="15">
        <f t="shared" si="0"/>
        <v>45738</v>
      </c>
      <c r="I9" s="15"/>
      <c r="J9" s="15"/>
      <c r="K9" s="15">
        <f t="shared" si="1"/>
        <v>45748</v>
      </c>
      <c r="L9" s="15"/>
      <c r="M9" s="15">
        <f t="shared" si="2"/>
        <v>45773</v>
      </c>
      <c r="N9" s="13">
        <v>45773</v>
      </c>
      <c r="O9" s="2" t="str">
        <f>IF(ISERROR(SEARCH("Poço",D9)),IF(N9="","Erro",IF(Q9="Reprovado","Reprovado",IF(D9="Operacional", WORKDAY(N9,10,FERIADOS!$A$3:$A$119),IF(D9="Óleo - Enxofre", "NA", G9+3)))),"")</f>
        <v>Reprovado</v>
      </c>
      <c r="P9" s="21"/>
      <c r="Q9" s="7" t="s">
        <v>81</v>
      </c>
      <c r="R9" s="13"/>
      <c r="S9" s="33" t="s">
        <v>131</v>
      </c>
      <c r="T9" s="34"/>
      <c r="W9" t="str">
        <f t="shared" si="3"/>
        <v>CDPT75-AP-3109 (CO2 to Flare)</v>
      </c>
      <c r="X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" spans="1:24" ht="12.5" x14ac:dyDescent="0.25">
      <c r="A10" s="10"/>
      <c r="B10" s="19" t="s">
        <v>38</v>
      </c>
      <c r="C10" s="5" t="s">
        <v>275</v>
      </c>
      <c r="D10" s="20" t="s">
        <v>267</v>
      </c>
      <c r="E10" s="36"/>
      <c r="F10" s="25" t="str" cm="1">
        <f t="array" ref="F10">IF(V10 &lt;&gt; "", V10,
  IF(NOT(ISERROR(SEARCH("Poço", D10))),
    IF(G10 = "", "", G10),
    IFERROR(_xlfn.SINGLE(INDEX($G$1:G9, SUMPRODUCT(MAX(($W$1:W9 = W10) * ROW($W$1:W9))))) +
      IF(
      D10 = "Fiscal", 30,
        IF(D10 = "Óleo - Densidade", IF(OR(B10 = "SEP", B10 = "ATD", B10 = "ADG"), 90, 365),
          IF(D10 = "Óleo - Enxofre", 365, 180)
        )
      ),
      ""
    )
  )
)</f>
        <v/>
      </c>
      <c r="G10" s="21">
        <v>45734</v>
      </c>
      <c r="H10" s="15">
        <f t="shared" si="0"/>
        <v>45744</v>
      </c>
      <c r="I10" s="15"/>
      <c r="J10" s="15"/>
      <c r="K10" s="15">
        <f t="shared" si="1"/>
        <v>45754</v>
      </c>
      <c r="L10" s="15"/>
      <c r="M10" s="15">
        <f t="shared" si="2"/>
        <v>45779</v>
      </c>
      <c r="N10" s="13">
        <v>45749</v>
      </c>
      <c r="O10" s="2">
        <f>IF(ISERROR(SEARCH("Poço",D10)),IF(N10="","Erro",IF(Q10="Reprovado","Reprovado",IF(D10="Operacional", WORKDAY(N10,10,FERIADOS!$A$3:$A$119),IF(D10="Óleo - Enxofre", "NA", G10+3)))),"")</f>
        <v>45763</v>
      </c>
      <c r="P10" s="21">
        <v>45754</v>
      </c>
      <c r="Q10" s="7" t="s">
        <v>37</v>
      </c>
      <c r="R10" s="13"/>
      <c r="S10" s="30"/>
      <c r="T10" s="34"/>
      <c r="W10" t="str">
        <f t="shared" si="3"/>
        <v>CDPT75-AP-1109 (Injection Gas)</v>
      </c>
      <c r="X1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" spans="1:24" ht="12.5" x14ac:dyDescent="0.25">
      <c r="A11" s="10"/>
      <c r="B11" s="19" t="s">
        <v>24</v>
      </c>
      <c r="C11" s="5" t="s">
        <v>276</v>
      </c>
      <c r="D11" s="20" t="s">
        <v>267</v>
      </c>
      <c r="E11" s="36"/>
      <c r="F11" s="25" t="str" cm="1">
        <f t="array" ref="F11">IF(V11 &lt;&gt; "", V11,
  IF(NOT(ISERROR(SEARCH("Poço", D11))),
    IF(G11 = "", "", G11),
    IFERROR(_xlfn.SINGLE(INDEX($G$1:G10, SUMPRODUCT(MAX(($W$1:W10 = W11) * ROW($W$1:W10))))) +
      IF(
      D11 = "Fiscal", 30,
        IF(D11 = "Óleo - Densidade", IF(OR(B11 = "SEP", B11 = "ATD", B11 = "ADG"), 90, 365),
          IF(D11 = "Óleo - Enxofre", 365, 180)
        )
      ),
      ""
    )
  )
)</f>
        <v/>
      </c>
      <c r="G11" s="21">
        <v>45730</v>
      </c>
      <c r="H11" s="15">
        <f t="shared" si="0"/>
        <v>45740</v>
      </c>
      <c r="I11" s="15">
        <v>45730</v>
      </c>
      <c r="J11" s="32" t="s">
        <v>103</v>
      </c>
      <c r="K11" s="15">
        <f t="shared" si="1"/>
        <v>45750</v>
      </c>
      <c r="L11" s="15">
        <v>45742</v>
      </c>
      <c r="M11" s="15">
        <f t="shared" si="2"/>
        <v>45775</v>
      </c>
      <c r="N11" s="13">
        <v>45775</v>
      </c>
      <c r="O11" s="2">
        <f>IF(ISERROR(SEARCH("Poço",D11)),IF(N11="","Erro",IF(Q11="Reprovado","Reprovado",IF(D11="Operacional", WORKDAY(N11,10,FERIADOS!$A$3:$A$119),IF(D11="Óleo - Enxofre", "NA", G11+3)))),"")</f>
        <v>45790</v>
      </c>
      <c r="P11" s="21">
        <v>45790</v>
      </c>
      <c r="Q11" s="7" t="s">
        <v>37</v>
      </c>
      <c r="R11" s="13"/>
      <c r="S11" s="30"/>
      <c r="T11" s="34"/>
      <c r="W11" t="str">
        <f t="shared" si="3"/>
        <v>CDAT71-SP-372 HP-A (CG)</v>
      </c>
      <c r="X1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" spans="1:24" ht="12.5" x14ac:dyDescent="0.25">
      <c r="A12" s="10"/>
      <c r="B12" s="19" t="s">
        <v>24</v>
      </c>
      <c r="C12" s="5" t="s">
        <v>277</v>
      </c>
      <c r="D12" s="20" t="s">
        <v>267</v>
      </c>
      <c r="E12" s="36"/>
      <c r="F12" s="25" t="str" cm="1">
        <f t="array" ref="F12">IF(V12 &lt;&gt; "", V12,
  IF(NOT(ISERROR(SEARCH("Poço", D12))),
    IF(G12 = "", "", G12),
    IFERROR(_xlfn.SINGLE(INDEX($G$1:G11, SUMPRODUCT(MAX(($W$1:W11 = W12) * ROW($W$1:W11))))) +
      IF(
      D12 = "Fiscal", 30,
        IF(D12 = "Óleo - Densidade", IF(OR(B12 = "SEP", B12 = "ATD", B12 = "ADG"), 90, 365),
          IF(D12 = "Óleo - Enxofre", 365, 180)
        )
      ),
      ""
    )
  )
)</f>
        <v/>
      </c>
      <c r="G12" s="21">
        <v>45730</v>
      </c>
      <c r="H12" s="15">
        <f t="shared" si="0"/>
        <v>45740</v>
      </c>
      <c r="I12" s="15">
        <v>45730</v>
      </c>
      <c r="J12" s="32" t="s">
        <v>103</v>
      </c>
      <c r="K12" s="15">
        <f t="shared" si="1"/>
        <v>45750</v>
      </c>
      <c r="L12" s="15">
        <v>45742</v>
      </c>
      <c r="M12" s="15">
        <f t="shared" si="2"/>
        <v>45775</v>
      </c>
      <c r="N12" s="13">
        <v>45775</v>
      </c>
      <c r="O12" s="2">
        <f>IF(ISERROR(SEARCH("Poço",D12)),IF(N12="","Erro",IF(Q12="Reprovado","Reprovado",IF(D12="Operacional", WORKDAY(N12,10,FERIADOS!$A$3:$A$119),IF(D12="Óleo - Enxofre", "NA", G12+3)))),"")</f>
        <v>45790</v>
      </c>
      <c r="P12" s="21">
        <v>45790</v>
      </c>
      <c r="Q12" s="7" t="s">
        <v>37</v>
      </c>
      <c r="R12" s="13"/>
      <c r="S12" s="30"/>
      <c r="T12" s="34"/>
      <c r="W12" t="str">
        <f t="shared" si="3"/>
        <v>CDAT62-SP-159 HP-A (PVT)</v>
      </c>
      <c r="X1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" spans="1:24" ht="12.5" x14ac:dyDescent="0.25">
      <c r="A13" s="10"/>
      <c r="B13" s="19" t="s">
        <v>24</v>
      </c>
      <c r="C13" s="5" t="s">
        <v>278</v>
      </c>
      <c r="D13" s="20" t="s">
        <v>267</v>
      </c>
      <c r="E13" s="36"/>
      <c r="F13" s="25" t="str" cm="1">
        <f t="array" ref="F13">IF(V13 &lt;&gt; "", V13,
  IF(NOT(ISERROR(SEARCH("Poço", D13))),
    IF(G13 = "", "", G13),
    IFERROR(_xlfn.SINGLE(INDEX($G$1:G12, SUMPRODUCT(MAX(($W$1:W12 = W13) * ROW($W$1:W12))))) +
      IF(
      D13 = "Fiscal", 30,
        IF(D13 = "Óleo - Densidade", IF(OR(B13 = "SEP", B13 = "ATD", B13 = "ADG"), 90, 365),
          IF(D13 = "Óleo - Enxofre", 365, 180)
        )
      ),
      ""
    )
  )
)</f>
        <v/>
      </c>
      <c r="G13" s="21">
        <v>45730</v>
      </c>
      <c r="H13" s="15">
        <f t="shared" si="0"/>
        <v>45740</v>
      </c>
      <c r="I13" s="15">
        <v>45730</v>
      </c>
      <c r="J13" s="32" t="s">
        <v>103</v>
      </c>
      <c r="K13" s="15">
        <f t="shared" si="1"/>
        <v>45750</v>
      </c>
      <c r="L13" s="15">
        <v>45742</v>
      </c>
      <c r="M13" s="15">
        <f t="shared" si="2"/>
        <v>45775</v>
      </c>
      <c r="N13" s="13">
        <v>45775</v>
      </c>
      <c r="O13" s="2">
        <f>IF(ISERROR(SEARCH("Poço",D13)),IF(N13="","Erro",IF(Q13="Reprovado","Reprovado",IF(D13="Operacional", WORKDAY(N13,10,FERIADOS!$A$3:$A$119),IF(D13="Óleo - Enxofre", "NA", G13+3)))),"")</f>
        <v>45790</v>
      </c>
      <c r="P13" s="21">
        <v>45790</v>
      </c>
      <c r="Q13" s="7" t="s">
        <v>37</v>
      </c>
      <c r="R13" s="13"/>
      <c r="S13" s="30"/>
      <c r="T13" s="34"/>
      <c r="W13" t="str">
        <f t="shared" si="3"/>
        <v>CDAT71-SP-376 HP-B (CG)</v>
      </c>
      <c r="X1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" spans="1:24" ht="12.5" x14ac:dyDescent="0.25">
      <c r="A14" s="10"/>
      <c r="B14" s="19" t="s">
        <v>24</v>
      </c>
      <c r="C14" s="5" t="s">
        <v>279</v>
      </c>
      <c r="D14" s="20" t="s">
        <v>267</v>
      </c>
      <c r="E14" s="36"/>
      <c r="F14" s="25" t="str" cm="1">
        <f t="array" ref="F14">IF(V14 &lt;&gt; "", V14,
  IF(NOT(ISERROR(SEARCH("Poço", D14))),
    IF(G14 = "", "", G14),
    IFERROR(_xlfn.SINGLE(INDEX($G$1:G13, SUMPRODUCT(MAX(($W$1:W13 = W14) * ROW($W$1:W13))))) +
      IF(
      D14 = "Fiscal", 30,
        IF(D14 = "Óleo - Densidade", IF(OR(B14 = "SEP", B14 = "ATD", B14 = "ADG"), 90, 365),
          IF(D14 = "Óleo - Enxofre", 365, 180)
        )
      ),
      ""
    )
  )
)</f>
        <v/>
      </c>
      <c r="G14" s="21">
        <v>45730</v>
      </c>
      <c r="H14" s="15">
        <f t="shared" si="0"/>
        <v>45740</v>
      </c>
      <c r="I14" s="15">
        <v>45730</v>
      </c>
      <c r="J14" s="32" t="s">
        <v>103</v>
      </c>
      <c r="K14" s="15">
        <f t="shared" si="1"/>
        <v>45750</v>
      </c>
      <c r="L14" s="15">
        <v>45742</v>
      </c>
      <c r="M14" s="15">
        <f t="shared" si="2"/>
        <v>45775</v>
      </c>
      <c r="N14" s="13">
        <v>45775</v>
      </c>
      <c r="O14" s="2">
        <f>IF(ISERROR(SEARCH("Poço",D14)),IF(N14="","Erro",IF(Q14="Reprovado","Reprovado",IF(D14="Operacional", WORKDAY(N14,10,FERIADOS!$A$3:$A$119),IF(D14="Óleo - Enxofre", "NA", G14+3)))),"")</f>
        <v>45790</v>
      </c>
      <c r="P14" s="21">
        <v>45790</v>
      </c>
      <c r="Q14" s="7" t="s">
        <v>37</v>
      </c>
      <c r="R14" s="13"/>
      <c r="S14" s="30"/>
      <c r="T14" s="34"/>
      <c r="W14" t="str">
        <f t="shared" si="3"/>
        <v>CDAT62-SP-149 HP-B (PVT)</v>
      </c>
      <c r="X1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" spans="1:24" ht="12.5" x14ac:dyDescent="0.25">
      <c r="A15" s="10"/>
      <c r="B15" s="19" t="s">
        <v>24</v>
      </c>
      <c r="C15" s="5" t="s">
        <v>280</v>
      </c>
      <c r="D15" s="20" t="s">
        <v>267</v>
      </c>
      <c r="E15" s="36"/>
      <c r="F15" s="25" t="str" cm="1">
        <f t="array" ref="F15">IF(V15 &lt;&gt; "", V15,
  IF(NOT(ISERROR(SEARCH("Poço", D15))),
    IF(G15 = "", "", G15),
    IFERROR(_xlfn.SINGLE(INDEX($G$1:G14, SUMPRODUCT(MAX(($W$1:W14 = W15) * ROW($W$1:W14))))) +
      IF(
      D15 = "Fiscal", 30,
        IF(D15 = "Óleo - Densidade", IF(OR(B15 = "SEP", B15 = "ATD", B15 = "ADG"), 90, 365),
          IF(D15 = "Óleo - Enxofre", 365, 180)
        )
      ),
      ""
    )
  )
)</f>
        <v/>
      </c>
      <c r="G15" s="21">
        <v>45730</v>
      </c>
      <c r="H15" s="15">
        <f t="shared" si="0"/>
        <v>45740</v>
      </c>
      <c r="I15" s="15">
        <v>45730</v>
      </c>
      <c r="J15" s="32" t="s">
        <v>103</v>
      </c>
      <c r="K15" s="15">
        <f t="shared" si="1"/>
        <v>45750</v>
      </c>
      <c r="L15" s="15">
        <v>45742</v>
      </c>
      <c r="M15" s="15">
        <f t="shared" si="2"/>
        <v>45775</v>
      </c>
      <c r="N15" s="13">
        <v>45775</v>
      </c>
      <c r="O15" s="2">
        <f>IF(ISERROR(SEARCH("Poço",D15)),IF(N15="","Erro",IF(Q15="Reprovado","Reprovado",IF(D15="Operacional", WORKDAY(N15,10,FERIADOS!$A$3:$A$119),IF(D15="Óleo - Enxofre", "NA", G15+3)))),"")</f>
        <v>45790</v>
      </c>
      <c r="P15" s="21">
        <v>45790</v>
      </c>
      <c r="Q15" s="7" t="s">
        <v>37</v>
      </c>
      <c r="R15" s="13"/>
      <c r="S15" s="30"/>
      <c r="T15" s="34"/>
      <c r="W15" t="str">
        <f t="shared" si="3"/>
        <v>CDAPST-223 2º SEP</v>
      </c>
      <c r="X1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" spans="1:24" ht="12.5" x14ac:dyDescent="0.25">
      <c r="A16" s="10"/>
      <c r="B16" s="19" t="s">
        <v>52</v>
      </c>
      <c r="C16" s="5" t="s">
        <v>281</v>
      </c>
      <c r="D16" s="20" t="s">
        <v>267</v>
      </c>
      <c r="E16" s="36"/>
      <c r="F16" s="25" t="str" cm="1">
        <f t="array" ref="F16">IF(V16 &lt;&gt; "", V16,
  IF(NOT(ISERROR(SEARCH("Poço", D16))),
    IF(G16 = "", "", G16),
    IFERROR(_xlfn.SINGLE(INDEX($G$1:G15, SUMPRODUCT(MAX(($W$1:W15 = W16) * ROW($W$1:W15))))) +
      IF(
      D16 = "Fiscal", 30,
        IF(D16 = "Óleo - Densidade", IF(OR(B16 = "SEP", B16 = "ATD", B16 = "ADG"), 90, 365),
          IF(D16 = "Óleo - Enxofre", 365, 180)
        )
      ),
      ""
    )
  )
)</f>
        <v/>
      </c>
      <c r="G16" s="21">
        <v>45720</v>
      </c>
      <c r="H16" s="15">
        <f t="shared" si="0"/>
        <v>45730</v>
      </c>
      <c r="I16" s="15"/>
      <c r="J16" s="15"/>
      <c r="K16" s="15">
        <f t="shared" si="1"/>
        <v>45740</v>
      </c>
      <c r="L16" s="15"/>
      <c r="M16" s="15">
        <f t="shared" si="2"/>
        <v>45765</v>
      </c>
      <c r="N16" s="13">
        <v>45744</v>
      </c>
      <c r="O16" s="2">
        <f>IF(ISERROR(SEARCH("Poço",D16)),IF(N16="","Erro",IF(Q16="Reprovado","Reprovado",IF(D16="Operacional", WORKDAY(N16,10,FERIADOS!$A$3:$A$119),IF(D16="Óleo - Enxofre", "NA", G16+3)))),"")</f>
        <v>45758</v>
      </c>
      <c r="P16" s="21">
        <v>45749</v>
      </c>
      <c r="Q16" s="7" t="s">
        <v>37</v>
      </c>
      <c r="R16" s="13"/>
      <c r="S16" s="30"/>
      <c r="T16" s="34"/>
      <c r="W16" t="str">
        <f t="shared" si="3"/>
        <v>SEP775-AP-6008 (Gas de Injeção)</v>
      </c>
      <c r="X1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" spans="1:24" ht="12.5" x14ac:dyDescent="0.25">
      <c r="A17" s="10"/>
      <c r="B17" s="8" t="s">
        <v>24</v>
      </c>
      <c r="C17" s="5" t="s">
        <v>282</v>
      </c>
      <c r="D17" s="9" t="s">
        <v>267</v>
      </c>
      <c r="E17" s="36"/>
      <c r="F17" s="25" t="str" cm="1">
        <f t="array" ref="F17">IF(V17 &lt;&gt; "", V17,
  IF(NOT(ISERROR(SEARCH("Poço", D17))),
    IF(G17 = "", "", G17),
    IFERROR(_xlfn.SINGLE(INDEX($G$1:G16, SUMPRODUCT(MAX(($W$1:W16 = W17) * ROW($W$1:W16))))) +
      IF(
      D17 = "Fiscal", 30,
        IF(D17 = "Óleo - Densidade", IF(OR(B17 = "SEP", B17 = "ATD", B17 = "ADG"), 90, 365),
          IF(D17 = "Óleo - Enxofre", 365, 180)
        )
      ),
      ""
    )
  )
)</f>
        <v/>
      </c>
      <c r="G17" s="13">
        <v>45737</v>
      </c>
      <c r="H17" s="15">
        <f t="shared" ref="H17:H40" si="4">IF(G17="","Erro",IF(D17="Óleo - Densidade", "NA", G17+10))</f>
        <v>45747</v>
      </c>
      <c r="I17" s="15">
        <v>45741</v>
      </c>
      <c r="J17" s="32" t="s">
        <v>283</v>
      </c>
      <c r="K17" s="15">
        <f t="shared" ref="K17:K40" si="5">IF(G17="","Erro",IF(D17="Óleo - Densidade", "NA", G17+20))</f>
        <v>45757</v>
      </c>
      <c r="L17" s="15">
        <v>45755</v>
      </c>
      <c r="M17" s="15">
        <f t="shared" ref="M17:M40" si="6">IF(G17="","Erro",G17+IF(D17="Fiscal",25,IF(D17="Óleo - Densidade", 1, IF(D17="Óleo - Enxofre", 25, 45))))</f>
        <v>45782</v>
      </c>
      <c r="N17" s="13">
        <v>45762</v>
      </c>
      <c r="O17" s="2" t="str">
        <f>IF(ISERROR(SEARCH("Poço",D17)),IF(N17="","Erro",IF(Q17="Reprovado","Reprovado",IF(D17="Operacional", WORKDAY(N17,10,FERIADOS!$A$3:$A$119),IF(D17="Óleo - Enxofre", "NA", G17+3)))),"")</f>
        <v>Reprovado</v>
      </c>
      <c r="P17" s="13"/>
      <c r="Q17" s="7" t="s">
        <v>81</v>
      </c>
      <c r="R17" s="13"/>
      <c r="S17" s="30"/>
      <c r="T17" s="34"/>
      <c r="W17" t="str">
        <f t="shared" ref="W17:W67" si="7">B17&amp;C17</f>
        <v>CDAF64-AT-002A - Offloading</v>
      </c>
      <c r="X1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" spans="1:24" ht="12.5" x14ac:dyDescent="0.25">
      <c r="A18" s="10"/>
      <c r="B18" s="19" t="s">
        <v>34</v>
      </c>
      <c r="C18" s="5" t="s">
        <v>284</v>
      </c>
      <c r="D18" s="20" t="s">
        <v>267</v>
      </c>
      <c r="E18" s="36"/>
      <c r="F18" s="25" t="str" cm="1">
        <f t="array" ref="F18">IF(V18 &lt;&gt; "", V18,
  IF(NOT(ISERROR(SEARCH("Poço", D18))),
    IF(G18 = "", "", G18),
    IFERROR(_xlfn.SINGLE(INDEX($G$1:G17, SUMPRODUCT(MAX(($W$1:W17 = W18) * ROW($W$1:W17))))) +
      IF(
      D18 = "Fiscal", 30,
        IF(D18 = "Óleo - Densidade", IF(OR(B18 = "SEP", B18 = "ATD", B18 = "ADG"), 90, 365),
          IF(D18 = "Óleo - Enxofre", 365, 180)
        )
      ),
      ""
    )
  )
)</f>
        <v/>
      </c>
      <c r="G18" s="21">
        <v>45688</v>
      </c>
      <c r="H18" s="15">
        <f t="shared" si="4"/>
        <v>45698</v>
      </c>
      <c r="I18" s="15"/>
      <c r="J18" s="15"/>
      <c r="K18" s="15">
        <f t="shared" si="5"/>
        <v>45708</v>
      </c>
      <c r="L18" s="15"/>
      <c r="M18" s="15">
        <f t="shared" si="6"/>
        <v>45733</v>
      </c>
      <c r="N18" s="13">
        <v>45713</v>
      </c>
      <c r="O18" s="2">
        <f>IF(ISERROR(SEARCH("Poço",D18)),IF(N18="","Erro",IF(Q18="Reprovado","Reprovado",IF(D18="Operacional", WORKDAY(N18,10,FERIADOS!$A$3:$A$119),IF(D18="Óleo - Enxofre", "NA", G18+3)))),"")</f>
        <v>45728</v>
      </c>
      <c r="P18" s="21">
        <v>45714</v>
      </c>
      <c r="Q18" s="7" t="s">
        <v>37</v>
      </c>
      <c r="R18" s="13"/>
      <c r="S18" s="30"/>
      <c r="T18" s="34"/>
      <c r="W18" t="str">
        <f t="shared" si="7"/>
        <v>CDST75-AX-1139 (Injection Gas)</v>
      </c>
      <c r="X1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" spans="1:24" ht="12.5" x14ac:dyDescent="0.25">
      <c r="A19" s="10"/>
      <c r="B19" s="19" t="s">
        <v>46</v>
      </c>
      <c r="C19" s="5" t="s">
        <v>285</v>
      </c>
      <c r="D19" s="20" t="s">
        <v>267</v>
      </c>
      <c r="E19" s="36"/>
      <c r="F19" s="25" t="str" cm="1">
        <f t="array" ref="F19">IF(V19 &lt;&gt; "", V19,
  IF(NOT(ISERROR(SEARCH("Poço", D19))),
    IF(G19 = "", "", G19),
    IFERROR(_xlfn.SINGLE(INDEX($G$1:G18, SUMPRODUCT(MAX(($W$1:W18 = W19) * ROW($W$1:W18))))) +
      IF(
      D19 = "Fiscal", 30,
        IF(D19 = "Óleo - Densidade", IF(OR(B19 = "SEP", B19 = "ATD", B19 = "ADG"), 90, 365),
          IF(D19 = "Óleo - Enxofre", 365, 180)
        )
      ),
      ""
    )
  )
)</f>
        <v/>
      </c>
      <c r="G19" s="21">
        <v>45752</v>
      </c>
      <c r="H19" s="15">
        <f t="shared" si="4"/>
        <v>45762</v>
      </c>
      <c r="I19" s="15"/>
      <c r="J19" s="15"/>
      <c r="K19" s="15">
        <f t="shared" si="5"/>
        <v>45772</v>
      </c>
      <c r="L19" s="15"/>
      <c r="M19" s="15">
        <f t="shared" si="6"/>
        <v>45797</v>
      </c>
      <c r="N19" s="13">
        <v>45777</v>
      </c>
      <c r="O19" s="2">
        <f>IF(ISERROR(SEARCH("Poço",D19)),IF(N19="","Erro",IF(Q19="Reprovado","Reprovado",IF(D19="Operacional", WORKDAY(N19,10,FERIADOS!$A$3:$A$119),IF(D19="Óleo - Enxofre", "NA", G19+3)))),"")</f>
        <v>45792</v>
      </c>
      <c r="P19" s="21">
        <v>45783</v>
      </c>
      <c r="Q19" s="7" t="s">
        <v>37</v>
      </c>
      <c r="R19" s="13"/>
      <c r="S19" s="30"/>
      <c r="T19" s="34"/>
      <c r="W19" t="str">
        <f t="shared" si="7"/>
        <v>CDMT71-AX-0102 (HP Separator)</v>
      </c>
      <c r="X1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" spans="1:24" ht="12.5" x14ac:dyDescent="0.25">
      <c r="A20" s="10"/>
      <c r="B20" s="19" t="s">
        <v>46</v>
      </c>
      <c r="C20" s="5" t="s">
        <v>286</v>
      </c>
      <c r="D20" s="20" t="s">
        <v>267</v>
      </c>
      <c r="E20" s="36"/>
      <c r="F20" s="25" t="str" cm="1">
        <f t="array" ref="F20">IF(V20 &lt;&gt; "", V20,
  IF(NOT(ISERROR(SEARCH("Poço", D20))),
    IF(G20 = "", "", G20),
    IFERROR(_xlfn.SINGLE(INDEX($G$1:G19, SUMPRODUCT(MAX(($W$1:W19 = W20) * ROW($W$1:W19))))) +
      IF(
      D20 = "Fiscal", 30,
        IF(D20 = "Óleo - Densidade", IF(OR(B20 = "SEP", B20 = "ATD", B20 = "ADG"), 90, 365),
          IF(D20 = "Óleo - Enxofre", 365, 180)
        )
      ),
      ""
    )
  )
)</f>
        <v/>
      </c>
      <c r="G20" s="21">
        <v>45752</v>
      </c>
      <c r="H20" s="15">
        <f t="shared" si="4"/>
        <v>45762</v>
      </c>
      <c r="I20" s="15"/>
      <c r="J20" s="15"/>
      <c r="K20" s="15">
        <f t="shared" si="5"/>
        <v>45772</v>
      </c>
      <c r="L20" s="15"/>
      <c r="M20" s="15">
        <f t="shared" si="6"/>
        <v>45797</v>
      </c>
      <c r="N20" s="13">
        <v>45777</v>
      </c>
      <c r="O20" s="2">
        <f>IF(ISERROR(SEARCH("Poço",D20)),IF(N20="","Erro",IF(Q20="Reprovado","Reprovado",IF(D20="Operacional", WORKDAY(N20,10,FERIADOS!$A$3:$A$119),IF(D20="Óleo - Enxofre", "NA", G20+3)))),"")</f>
        <v>45792</v>
      </c>
      <c r="P20" s="21">
        <v>45783</v>
      </c>
      <c r="Q20" s="7" t="s">
        <v>37</v>
      </c>
      <c r="R20" s="13"/>
      <c r="S20" s="30"/>
      <c r="T20" s="34"/>
      <c r="W20" t="str">
        <f t="shared" si="7"/>
        <v>CDMT71-AX-0202 (IP Flash Vessel)</v>
      </c>
      <c r="X2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1" spans="1:24" ht="12.5" x14ac:dyDescent="0.25">
      <c r="A21" s="10"/>
      <c r="B21" s="19" t="s">
        <v>46</v>
      </c>
      <c r="C21" s="5" t="s">
        <v>287</v>
      </c>
      <c r="D21" s="20" t="s">
        <v>267</v>
      </c>
      <c r="E21" s="36"/>
      <c r="F21" s="25" t="str" cm="1">
        <f t="array" ref="F21">IF(V21 &lt;&gt; "", V21,
  IF(NOT(ISERROR(SEARCH("Poço", D21))),
    IF(G21 = "", "", G21),
    IFERROR(_xlfn.SINGLE(INDEX($G$1:G20, SUMPRODUCT(MAX(($W$1:W20 = W21) * ROW($W$1:W20))))) +
      IF(
      D21 = "Fiscal", 30,
        IF(D21 = "Óleo - Densidade", IF(OR(B21 = "SEP", B21 = "ATD", B21 = "ADG"), 90, 365),
          IF(D21 = "Óleo - Enxofre", 365, 180)
        )
      ),
      ""
    )
  )
)</f>
        <v/>
      </c>
      <c r="G21" s="21">
        <v>45752</v>
      </c>
      <c r="H21" s="15">
        <f t="shared" si="4"/>
        <v>45762</v>
      </c>
      <c r="I21" s="15"/>
      <c r="J21" s="15"/>
      <c r="K21" s="15">
        <f t="shared" si="5"/>
        <v>45772</v>
      </c>
      <c r="L21" s="15"/>
      <c r="M21" s="15">
        <f t="shared" si="6"/>
        <v>45797</v>
      </c>
      <c r="N21" s="13">
        <v>45777</v>
      </c>
      <c r="O21" s="2">
        <f>IF(ISERROR(SEARCH("Poço",D21)),IF(N21="","Erro",IF(Q21="Reprovado","Reprovado",IF(D21="Operacional", WORKDAY(N21,10,FERIADOS!$A$3:$A$119),IF(D21="Óleo - Enxofre", "NA", G21+3)))),"")</f>
        <v>45792</v>
      </c>
      <c r="P21" s="21">
        <v>45783</v>
      </c>
      <c r="Q21" s="7" t="s">
        <v>37</v>
      </c>
      <c r="R21" s="13"/>
      <c r="S21" s="30"/>
      <c r="T21" s="34"/>
      <c r="W21" t="str">
        <f t="shared" si="7"/>
        <v>CDMT71-AX-0204 (LP Degasser)</v>
      </c>
      <c r="X2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2" spans="1:24" ht="12.5" x14ac:dyDescent="0.25">
      <c r="A22" s="10"/>
      <c r="B22" s="19" t="s">
        <v>52</v>
      </c>
      <c r="C22" s="5" t="s">
        <v>288</v>
      </c>
      <c r="D22" s="20" t="s">
        <v>267</v>
      </c>
      <c r="E22" s="36"/>
      <c r="F22" s="25" t="str" cm="1">
        <f t="array" ref="F22">IF(V22 &lt;&gt; "", V22,
  IF(NOT(ISERROR(SEARCH("Poço", D22))),
    IF(G22 = "", "", G22),
    IFERROR(_xlfn.SINGLE(INDEX($G$1:G21, SUMPRODUCT(MAX(($W$1:W21 = W22) * ROW($W$1:W21))))) +
      IF(
      D22 = "Fiscal", 30,
        IF(D22 = "Óleo - Densidade", IF(OR(B22 = "SEP", B22 = "ATD", B22 = "ADG"), 90, 365),
          IF(D22 = "Óleo - Enxofre", 365, 180)
        )
      ),
      ""
    )
  )
)</f>
        <v/>
      </c>
      <c r="G22" s="21">
        <v>45748</v>
      </c>
      <c r="H22" s="15">
        <f t="shared" si="4"/>
        <v>45758</v>
      </c>
      <c r="I22" s="15"/>
      <c r="J22" s="15"/>
      <c r="K22" s="15">
        <f t="shared" si="5"/>
        <v>45768</v>
      </c>
      <c r="L22" s="15"/>
      <c r="M22" s="15">
        <f t="shared" si="6"/>
        <v>45793</v>
      </c>
      <c r="N22" s="13">
        <v>45772</v>
      </c>
      <c r="O22" s="2">
        <f>IF(ISERROR(SEARCH("Poço",D22)),IF(N22="","Erro",IF(Q22="Reprovado","Reprovado",IF(D22="Operacional", WORKDAY(N22,10,FERIADOS!$A$3:$A$119),IF(D22="Óleo - Enxofre", "NA", G22+3)))),"")</f>
        <v>45789</v>
      </c>
      <c r="P22" s="21">
        <v>45776</v>
      </c>
      <c r="Q22" s="7" t="s">
        <v>37</v>
      </c>
      <c r="R22" s="13"/>
      <c r="S22" s="30"/>
      <c r="T22" s="34"/>
      <c r="W22" t="str">
        <f t="shared" si="7"/>
        <v>SEP772-AP-1710 (Gas Dehydration)</v>
      </c>
      <c r="X2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3" spans="1:24" ht="12.5" x14ac:dyDescent="0.25">
      <c r="A23" s="10"/>
      <c r="B23" s="19" t="s">
        <v>52</v>
      </c>
      <c r="C23" s="5" t="s">
        <v>289</v>
      </c>
      <c r="D23" s="20" t="s">
        <v>267</v>
      </c>
      <c r="E23" s="36"/>
      <c r="F23" s="25" t="str" cm="1">
        <f t="array" ref="F23">IF(V23 &lt;&gt; "", V23,
  IF(NOT(ISERROR(SEARCH("Poço", D23))),
    IF(G23 = "", "", G23),
    IFERROR(_xlfn.SINGLE(INDEX($G$1:G22, SUMPRODUCT(MAX(($W$1:W22 = W23) * ROW($W$1:W22))))) +
      IF(
      D23 = "Fiscal", 30,
        IF(D23 = "Óleo - Densidade", IF(OR(B23 = "SEP", B23 = "ATD", B23 = "ADG"), 90, 365),
          IF(D23 = "Óleo - Enxofre", 365, 180)
        )
      ),
      ""
    )
  )
)</f>
        <v/>
      </c>
      <c r="G23" s="21">
        <v>45776</v>
      </c>
      <c r="H23" s="15">
        <f t="shared" si="4"/>
        <v>45786</v>
      </c>
      <c r="I23" s="15"/>
      <c r="J23" s="15"/>
      <c r="K23" s="15">
        <f t="shared" si="5"/>
        <v>45796</v>
      </c>
      <c r="L23" s="15"/>
      <c r="M23" s="15">
        <f t="shared" si="6"/>
        <v>45821</v>
      </c>
      <c r="N23" s="13">
        <v>45800</v>
      </c>
      <c r="O23" s="2">
        <f>IF(ISERROR(SEARCH("Poço",D23)),IF(N23="","Erro",IF(Q23="Reprovado","Reprovado",IF(D23="Operacional", WORKDAY(N23,10,FERIADOS!$A$3:$A$119),IF(D23="Óleo - Enxofre", "NA", G23+3)))),"")</f>
        <v>45814</v>
      </c>
      <c r="P23" s="21">
        <v>45805</v>
      </c>
      <c r="Q23" s="7" t="s">
        <v>37</v>
      </c>
      <c r="R23" s="13"/>
      <c r="S23" s="30"/>
      <c r="T23" s="34"/>
      <c r="W23" t="str">
        <f t="shared" si="7"/>
        <v>SEP777-AP-1211 (Flare Pilot)</v>
      </c>
      <c r="X2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4" spans="1:24" ht="12.5" x14ac:dyDescent="0.25">
      <c r="A24" s="10"/>
      <c r="B24" s="19" t="s">
        <v>31</v>
      </c>
      <c r="C24" s="5" t="s">
        <v>285</v>
      </c>
      <c r="D24" s="20" t="s">
        <v>267</v>
      </c>
      <c r="E24" s="36"/>
      <c r="F24" s="25" t="str" cm="1">
        <f t="array" ref="F24">IF(V24 &lt;&gt; "", V24,
  IF(NOT(ISERROR(SEARCH("Poço", D24))),
    IF(G24 = "", "", G24),
    IFERROR(_xlfn.SINGLE(INDEX($G$1:G23, SUMPRODUCT(MAX(($W$1:W23 = W24) * ROW($W$1:W23))))) +
      IF(
      D24 = "Fiscal", 30,
        IF(D24 = "Óleo - Densidade", IF(OR(B24 = "SEP", B24 = "ATD", B24 = "ADG"), 90, 365),
          IF(D24 = "Óleo - Enxofre", 365, 180)
        )
      ),
      ""
    )
  )
)</f>
        <v/>
      </c>
      <c r="G24" s="21">
        <v>45709</v>
      </c>
      <c r="H24" s="15">
        <f t="shared" si="4"/>
        <v>45719</v>
      </c>
      <c r="I24" s="15"/>
      <c r="J24" s="15"/>
      <c r="K24" s="15">
        <f t="shared" si="5"/>
        <v>45729</v>
      </c>
      <c r="L24" s="15"/>
      <c r="M24" s="15">
        <f t="shared" si="6"/>
        <v>45754</v>
      </c>
      <c r="N24" s="13">
        <v>45733</v>
      </c>
      <c r="O24" s="2">
        <f>IF(ISERROR(SEARCH("Poço",D24)),IF(N24="","Erro",IF(Q24="Reprovado","Reprovado",IF(D24="Operacional", WORKDAY(N24,10,FERIADOS!$A$3:$A$119),IF(D24="Óleo - Enxofre", "NA", G24+3)))),"")</f>
        <v>45747</v>
      </c>
      <c r="P24" s="21">
        <v>45736</v>
      </c>
      <c r="Q24" s="7" t="s">
        <v>37</v>
      </c>
      <c r="R24" s="13"/>
      <c r="S24" s="30"/>
      <c r="T24" s="34"/>
      <c r="W24" t="str">
        <f t="shared" si="7"/>
        <v>CDIT71-AX-0102 (HP Separator)</v>
      </c>
      <c r="X2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5" spans="1:24" ht="12.5" x14ac:dyDescent="0.25">
      <c r="A25" s="10"/>
      <c r="B25" s="19" t="s">
        <v>31</v>
      </c>
      <c r="C25" s="5" t="s">
        <v>290</v>
      </c>
      <c r="D25" s="20" t="s">
        <v>267</v>
      </c>
      <c r="E25" s="36"/>
      <c r="F25" s="25" t="str" cm="1">
        <f t="array" ref="F25">IF(V25 &lt;&gt; "", V25,
  IF(NOT(ISERROR(SEARCH("Poço", D25))),
    IF(G25 = "", "", G25),
    IFERROR(_xlfn.SINGLE(INDEX($G$1:G24, SUMPRODUCT(MAX(($W$1:W24 = W25) * ROW($W$1:W24))))) +
      IF(
      D25 = "Fiscal", 30,
        IF(D25 = "Óleo - Densidade", IF(OR(B25 = "SEP", B25 = "ATD", B25 = "ADG"), 90, 365),
          IF(D25 = "Óleo - Enxofre", 365, 180)
        )
      ),
      ""
    )
  )
)</f>
        <v/>
      </c>
      <c r="G25" s="21">
        <v>45709</v>
      </c>
      <c r="H25" s="15">
        <f t="shared" si="4"/>
        <v>45719</v>
      </c>
      <c r="I25" s="15"/>
      <c r="J25" s="15"/>
      <c r="K25" s="15">
        <f t="shared" si="5"/>
        <v>45729</v>
      </c>
      <c r="L25" s="15"/>
      <c r="M25" s="15">
        <f t="shared" si="6"/>
        <v>45754</v>
      </c>
      <c r="N25" s="13">
        <v>45733</v>
      </c>
      <c r="O25" s="2">
        <f>IF(ISERROR(SEARCH("Poço",D25)),IF(N25="","Erro",IF(Q25="Reprovado","Reprovado",IF(D25="Operacional", WORKDAY(N25,10,FERIADOS!$A$3:$A$119),IF(D25="Óleo - Enxofre", "NA", G25+3)))),"")</f>
        <v>45747</v>
      </c>
      <c r="P25" s="21">
        <v>45736</v>
      </c>
      <c r="Q25" s="7" t="s">
        <v>37</v>
      </c>
      <c r="R25" s="13"/>
      <c r="S25" s="30"/>
      <c r="T25" s="34"/>
      <c r="W25" t="str">
        <f t="shared" si="7"/>
        <v>CDIT71-AX-0402 (LP Degasser)</v>
      </c>
      <c r="X2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6" spans="1:24" ht="12.5" x14ac:dyDescent="0.25">
      <c r="A26" s="10"/>
      <c r="B26" s="19" t="s">
        <v>31</v>
      </c>
      <c r="C26" s="5" t="s">
        <v>291</v>
      </c>
      <c r="D26" s="20" t="s">
        <v>267</v>
      </c>
      <c r="E26" s="36"/>
      <c r="F26" s="25" t="str" cm="1">
        <f t="array" ref="F26">IF(V26 &lt;&gt; "", V26,
  IF(NOT(ISERROR(SEARCH("Poço", D26))),
    IF(G26 = "", "", G26),
    IFERROR(_xlfn.SINGLE(INDEX($G$1:G25, SUMPRODUCT(MAX(($W$1:W25 = W26) * ROW($W$1:W25))))) +
      IF(
      D26 = "Fiscal", 30,
        IF(D26 = "Óleo - Densidade", IF(OR(B26 = "SEP", B26 = "ATD", B26 = "ADG"), 90, 365),
          IF(D26 = "Óleo - Enxofre", 365, 180)
        )
      ),
      ""
    )
  )
)</f>
        <v/>
      </c>
      <c r="G26" s="21">
        <v>45709</v>
      </c>
      <c r="H26" s="15">
        <f t="shared" si="4"/>
        <v>45719</v>
      </c>
      <c r="I26" s="15"/>
      <c r="J26" s="15"/>
      <c r="K26" s="15">
        <f t="shared" si="5"/>
        <v>45729</v>
      </c>
      <c r="L26" s="15"/>
      <c r="M26" s="15">
        <f t="shared" si="6"/>
        <v>45754</v>
      </c>
      <c r="N26" s="13">
        <v>45733</v>
      </c>
      <c r="O26" s="2">
        <f>IF(ISERROR(SEARCH("Poço",D26)),IF(N26="","Erro",IF(Q26="Reprovado","Reprovado",IF(D26="Operacional", WORKDAY(N26,10,FERIADOS!$A$3:$A$119),IF(D26="Óleo - Enxofre", "NA", G26+3)))),"")</f>
        <v>45747</v>
      </c>
      <c r="P26" s="21">
        <v>45736</v>
      </c>
      <c r="Q26" s="7" t="s">
        <v>37</v>
      </c>
      <c r="R26" s="13"/>
      <c r="S26" s="30"/>
      <c r="T26" s="34"/>
      <c r="W26" t="str">
        <f t="shared" si="7"/>
        <v>CDIT75-AP-1139 (Injection Gas)</v>
      </c>
      <c r="X2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7" spans="1:24" ht="12.5" x14ac:dyDescent="0.25">
      <c r="A27" s="10"/>
      <c r="B27" s="19" t="s">
        <v>34</v>
      </c>
      <c r="C27" s="5" t="s">
        <v>285</v>
      </c>
      <c r="D27" s="20" t="s">
        <v>267</v>
      </c>
      <c r="E27" s="36"/>
      <c r="F27" s="25" t="str" cm="1">
        <f t="array" ref="F27">IF(V27 &lt;&gt; "", V27,
  IF(NOT(ISERROR(SEARCH("Poço", D27))),
    IF(G27 = "", "", G27),
    IFERROR(_xlfn.SINGLE(INDEX($G$1:G26, SUMPRODUCT(MAX(($W$1:W26 = W27) * ROW($W$1:W26))))) +
      IF(
      D27 = "Fiscal", 30,
        IF(D27 = "Óleo - Densidade", IF(OR(B27 = "SEP", B27 = "ATD", B27 = "ADG"), 90, 365),
          IF(D27 = "Óleo - Enxofre", 365, 180)
        )
      ),
      ""
    )
  )
)</f>
        <v/>
      </c>
      <c r="G27" s="21">
        <v>45794</v>
      </c>
      <c r="H27" s="15">
        <f t="shared" si="4"/>
        <v>45804</v>
      </c>
      <c r="I27" s="15"/>
      <c r="J27" s="15"/>
      <c r="K27" s="15">
        <f t="shared" si="5"/>
        <v>45814</v>
      </c>
      <c r="L27" s="15"/>
      <c r="M27" s="15">
        <f t="shared" si="6"/>
        <v>45839</v>
      </c>
      <c r="N27" s="13">
        <v>45819</v>
      </c>
      <c r="O27" s="2">
        <f>IF(ISERROR(SEARCH("Poço",D27)),IF(N27="","Erro",IF(Q27="Reprovado","Reprovado",IF(D27="Operacional", WORKDAY(N27,10,FERIADOS!$A$3:$A$119),IF(D27="Óleo - Enxofre", "NA", G27+3)))),"")</f>
        <v>45834</v>
      </c>
      <c r="P27" s="21">
        <v>45828</v>
      </c>
      <c r="Q27" s="7" t="s">
        <v>37</v>
      </c>
      <c r="R27" s="13"/>
      <c r="S27" s="30"/>
      <c r="T27" s="34"/>
      <c r="W27" t="str">
        <f t="shared" si="7"/>
        <v>CDST71-AX-0102 (HP Separator)</v>
      </c>
      <c r="X2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8" spans="1:24" ht="12.5" x14ac:dyDescent="0.25">
      <c r="A28" s="10"/>
      <c r="B28" s="19" t="s">
        <v>34</v>
      </c>
      <c r="C28" s="5" t="s">
        <v>286</v>
      </c>
      <c r="D28" s="20" t="s">
        <v>267</v>
      </c>
      <c r="E28" s="36"/>
      <c r="F28" s="25" t="str" cm="1">
        <f t="array" ref="F28">IF(V28 &lt;&gt; "", V28,
  IF(NOT(ISERROR(SEARCH("Poço", D28))),
    IF(G28 = "", "", G28),
    IFERROR(_xlfn.SINGLE(INDEX($G$1:G27, SUMPRODUCT(MAX(($W$1:W27 = W28) * ROW($W$1:W27))))) +
      IF(
      D28 = "Fiscal", 30,
        IF(D28 = "Óleo - Densidade", IF(OR(B28 = "SEP", B28 = "ATD", B28 = "ADG"), 90, 365),
          IF(D28 = "Óleo - Enxofre", 365, 180)
        )
      ),
      ""
    )
  )
)</f>
        <v/>
      </c>
      <c r="G28" s="21">
        <v>45795</v>
      </c>
      <c r="H28" s="15">
        <f t="shared" si="4"/>
        <v>45805</v>
      </c>
      <c r="I28" s="15"/>
      <c r="J28" s="15"/>
      <c r="K28" s="15">
        <f t="shared" si="5"/>
        <v>45815</v>
      </c>
      <c r="L28" s="15"/>
      <c r="M28" s="15">
        <f t="shared" si="6"/>
        <v>45840</v>
      </c>
      <c r="N28" s="13">
        <v>45819</v>
      </c>
      <c r="O28" s="2">
        <f>IF(ISERROR(SEARCH("Poço",D28)),IF(N28="","Erro",IF(Q28="Reprovado","Reprovado",IF(D28="Operacional", WORKDAY(N28,10,FERIADOS!$A$3:$A$119),IF(D28="Óleo - Enxofre", "NA", G28+3)))),"")</f>
        <v>45834</v>
      </c>
      <c r="P28" s="21">
        <v>45828</v>
      </c>
      <c r="Q28" s="7" t="s">
        <v>37</v>
      </c>
      <c r="R28" s="13"/>
      <c r="S28" s="30"/>
      <c r="T28" s="34"/>
      <c r="W28" t="str">
        <f t="shared" si="7"/>
        <v>CDST71-AX-0202 (IP Flash Vessel)</v>
      </c>
      <c r="X2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9" spans="1:24" ht="12.5" x14ac:dyDescent="0.25">
      <c r="A29" s="10"/>
      <c r="B29" s="19" t="s">
        <v>34</v>
      </c>
      <c r="C29" s="5" t="s">
        <v>290</v>
      </c>
      <c r="D29" s="20" t="s">
        <v>267</v>
      </c>
      <c r="E29" s="36"/>
      <c r="F29" s="25" t="str" cm="1">
        <f t="array" ref="F29">IF(V29 &lt;&gt; "", V29,
  IF(NOT(ISERROR(SEARCH("Poço", D29))),
    IF(G29 = "", "", G29),
    IFERROR(_xlfn.SINGLE(INDEX($G$1:G28, SUMPRODUCT(MAX(($W$1:W28 = W29) * ROW($W$1:W28))))) +
      IF(
      D29 = "Fiscal", 30,
        IF(D29 = "Óleo - Densidade", IF(OR(B29 = "SEP", B29 = "ATD", B29 = "ADG"), 90, 365),
          IF(D29 = "Óleo - Enxofre", 365, 180)
        )
      ),
      ""
    )
  )
)</f>
        <v/>
      </c>
      <c r="G29" s="21">
        <v>45660</v>
      </c>
      <c r="H29" s="15">
        <f t="shared" si="4"/>
        <v>45670</v>
      </c>
      <c r="I29" s="15"/>
      <c r="J29" s="15"/>
      <c r="K29" s="15">
        <f t="shared" si="5"/>
        <v>45680</v>
      </c>
      <c r="L29" s="15"/>
      <c r="M29" s="15">
        <f t="shared" si="6"/>
        <v>45705</v>
      </c>
      <c r="N29" s="13">
        <v>45685</v>
      </c>
      <c r="O29" s="2" t="str">
        <f>IF(ISERROR(SEARCH("Poço",D29)),IF(N29="","Erro",IF(Q29="Reprovado","Reprovado",IF(D29="Operacional", WORKDAY(N29,10,FERIADOS!$A$3:$A$119),IF(D29="Óleo - Enxofre", "NA", G29+3)))),"")</f>
        <v>Reprovado</v>
      </c>
      <c r="P29" s="21"/>
      <c r="Q29" s="7" t="s">
        <v>81</v>
      </c>
      <c r="R29" s="13"/>
      <c r="S29" s="33" t="s">
        <v>292</v>
      </c>
      <c r="T29" s="34"/>
      <c r="W29" t="str">
        <f t="shared" si="7"/>
        <v>CDST71-AX-0402 (LP Degasser)</v>
      </c>
      <c r="X2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0" spans="1:24" ht="12.5" x14ac:dyDescent="0.25">
      <c r="A30" s="10"/>
      <c r="B30" s="19" t="s">
        <v>34</v>
      </c>
      <c r="C30" s="5" t="s">
        <v>290</v>
      </c>
      <c r="D30" s="20" t="s">
        <v>267</v>
      </c>
      <c r="E30" s="36"/>
      <c r="F30" s="25" cm="1">
        <f t="array" ref="F30">IF(V30 &lt;&gt; "", V30,
  IF(NOT(ISERROR(SEARCH("Poço", D30))),
    IF(G30 = "", "", G30),
    IFERROR(_xlfn.SINGLE(INDEX($G$1:G29, SUMPRODUCT(MAX(($W$1:W29 = W30) * ROW($W$1:W29))))) +
      IF(
      D30 = "Fiscal", 30,
        IF(D30 = "Óleo - Densidade", IF(OR(B30 = "SEP", B30 = "ATD", B30 = "ADG"), 90, 365),
          IF(D30 = "Óleo - Enxofre", 365, 180)
        )
      ),
      ""
    )
  )
)</f>
        <v>45840</v>
      </c>
      <c r="G30" s="21">
        <v>45821</v>
      </c>
      <c r="H30" s="15">
        <f t="shared" si="4"/>
        <v>45831</v>
      </c>
      <c r="I30" s="15"/>
      <c r="J30" s="15"/>
      <c r="K30" s="15">
        <f t="shared" si="5"/>
        <v>45841</v>
      </c>
      <c r="L30" s="15"/>
      <c r="M30" s="15">
        <f t="shared" si="6"/>
        <v>45866</v>
      </c>
      <c r="N30" s="13">
        <v>45846</v>
      </c>
      <c r="O30" s="2" t="str">
        <f>IF(ISERROR(SEARCH("Poço",D30)),IF(N30="","Erro",IF(Q30="Reprovado","Reprovado",IF(D30="Operacional", WORKDAY(N30,10,FERIADOS!$A$3:$A$119),IF(D30="Óleo - Enxofre", "NA", G30+3)))),"")</f>
        <v>Reprovado</v>
      </c>
      <c r="P30" s="21"/>
      <c r="Q30" s="7" t="s">
        <v>81</v>
      </c>
      <c r="R30" s="13"/>
      <c r="S30" s="33" t="s">
        <v>293</v>
      </c>
      <c r="T30" s="34"/>
      <c r="W30" t="str">
        <f t="shared" si="7"/>
        <v>CDST71-AX-0402 (LP Degasser)</v>
      </c>
      <c r="X3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1" spans="1:24" ht="12.5" x14ac:dyDescent="0.25">
      <c r="A31" s="10"/>
      <c r="B31" s="8" t="s">
        <v>46</v>
      </c>
      <c r="C31" s="5" t="s">
        <v>284</v>
      </c>
      <c r="D31" s="9" t="s">
        <v>267</v>
      </c>
      <c r="E31" s="36"/>
      <c r="F31" s="25" t="str" cm="1">
        <f t="array" ref="F31">IF(V31 &lt;&gt; "", V31,
  IF(NOT(ISERROR(SEARCH("Poço", D31))),
    IF(G31 = "", "", G31),
    IFERROR(_xlfn.SINGLE(INDEX($G$1:G30, SUMPRODUCT(MAX(($W$1:W30 = W31) * ROW($W$1:W30))))) +
      IF(
      D31 = "Fiscal", 30,
        IF(D31 = "Óleo - Densidade", IF(OR(B31 = "SEP", B31 = "ATD", B31 = "ADG"), 90, 365),
          IF(D31 = "Óleo - Enxofre", 365, 180)
        )
      ),
      ""
    )
  )
)</f>
        <v/>
      </c>
      <c r="G31" s="13">
        <v>45667</v>
      </c>
      <c r="H31" s="15">
        <f t="shared" si="4"/>
        <v>45677</v>
      </c>
      <c r="I31" s="15"/>
      <c r="J31" s="15"/>
      <c r="K31" s="15">
        <f t="shared" si="5"/>
        <v>45687</v>
      </c>
      <c r="L31" s="15"/>
      <c r="M31" s="15">
        <f t="shared" si="6"/>
        <v>45712</v>
      </c>
      <c r="N31" s="13">
        <v>45692</v>
      </c>
      <c r="O31" s="2">
        <f>IF(ISERROR(SEARCH("Poço",D31)),IF(N31="","Erro",IF(Q31="Reprovado","Reprovado",IF(D31="Operacional", WORKDAY(N31,10,FERIADOS!$A$3:$A$119),IF(D31="Óleo - Enxofre", "NA", G31+3)))),"")</f>
        <v>45706</v>
      </c>
      <c r="P31" s="13">
        <v>45695</v>
      </c>
      <c r="Q31" s="7" t="s">
        <v>37</v>
      </c>
      <c r="R31" s="13"/>
      <c r="S31" s="30"/>
      <c r="T31" s="34"/>
      <c r="W31" t="str">
        <f t="shared" si="7"/>
        <v>CDMT75-AX-1139 (Injection Gas)</v>
      </c>
      <c r="X3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2" spans="1:24" ht="12.5" x14ac:dyDescent="0.25">
      <c r="A32" s="10"/>
      <c r="B32" s="19" t="s">
        <v>46</v>
      </c>
      <c r="C32" s="5" t="s">
        <v>284</v>
      </c>
      <c r="D32" s="20" t="s">
        <v>267</v>
      </c>
      <c r="E32" s="36"/>
      <c r="F32" s="25" cm="1">
        <f t="array" ref="F32">IF(V32 &lt;&gt; "", V32,
  IF(NOT(ISERROR(SEARCH("Poço", D32))),
    IF(G32 = "", "", G32),
    IFERROR(_xlfn.SINGLE(INDEX($G$1:G31, SUMPRODUCT(MAX(($W$1:W31 = W32) * ROW($W$1:W31))))) +
      IF(
      D32 = "Fiscal", 30,
        IF(D32 = "Óleo - Densidade", IF(OR(B32 = "SEP", B32 = "ATD", B32 = "ADG"), 90, 365),
          IF(D32 = "Óleo - Enxofre", 365, 180)
        )
      ),
      ""
    )
  )
)</f>
        <v>45847</v>
      </c>
      <c r="G32" s="21">
        <v>45695</v>
      </c>
      <c r="H32" s="15">
        <f t="shared" si="4"/>
        <v>45705</v>
      </c>
      <c r="I32" s="15"/>
      <c r="J32" s="15"/>
      <c r="K32" s="15">
        <f t="shared" si="5"/>
        <v>45715</v>
      </c>
      <c r="L32" s="15"/>
      <c r="M32" s="15">
        <f t="shared" si="6"/>
        <v>45740</v>
      </c>
      <c r="N32" s="13">
        <v>45715</v>
      </c>
      <c r="O32" s="2" t="str">
        <f>IF(ISERROR(SEARCH("Poço",D32)),IF(N32="","Erro",IF(Q32="Reprovado","Reprovado",IF(D32="Operacional", WORKDAY(N32,10,FERIADOS!$A$3:$A$119),IF(D32="Óleo - Enxofre", "NA", G32+3)))),"")</f>
        <v>Reprovado</v>
      </c>
      <c r="P32" s="21"/>
      <c r="Q32" s="7" t="s">
        <v>81</v>
      </c>
      <c r="R32" s="13"/>
      <c r="S32" s="33" t="s">
        <v>294</v>
      </c>
      <c r="T32" s="34"/>
      <c r="W32" t="str">
        <f t="shared" si="7"/>
        <v>CDMT75-AX-1139 (Injection Gas)</v>
      </c>
      <c r="X3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3" spans="1:24" ht="12.5" x14ac:dyDescent="0.25">
      <c r="A33" s="10"/>
      <c r="B33" s="19" t="s">
        <v>38</v>
      </c>
      <c r="C33" s="5" t="s">
        <v>271</v>
      </c>
      <c r="D33" s="20" t="s">
        <v>267</v>
      </c>
      <c r="E33" s="36"/>
      <c r="F33" s="25" cm="1">
        <f t="array" ref="F33">IF(V33 &lt;&gt; "", V33,
  IF(NOT(ISERROR(SEARCH("Poço", D33))),
    IF(G33 = "", "", G33),
    IFERROR(_xlfn.SINGLE(INDEX($G$1:G32, SUMPRODUCT(MAX(($W$1:W32 = W33) * ROW($W$1:W32))))) +
      IF(
      D33 = "Fiscal", 30,
        IF(D33 = "Óleo - Densidade", IF(OR(B33 = "SEP", B33 = "ATD", B33 = "ADG"), 90, 365),
          IF(D33 = "Óleo - Enxofre", 365, 180)
        )
      ),
      ""
    )
  )
)</f>
        <v>45851</v>
      </c>
      <c r="G33" s="21">
        <v>45838</v>
      </c>
      <c r="H33" s="15">
        <f t="shared" si="4"/>
        <v>45848</v>
      </c>
      <c r="I33" s="15"/>
      <c r="J33" s="15"/>
      <c r="K33" s="15">
        <f t="shared" si="5"/>
        <v>45858</v>
      </c>
      <c r="L33" s="15"/>
      <c r="M33" s="15">
        <f t="shared" si="6"/>
        <v>45883</v>
      </c>
      <c r="N33" s="13">
        <v>45863</v>
      </c>
      <c r="O33" s="2">
        <f>IF(ISERROR(SEARCH("Poço",D33)),IF(N33="","Erro",IF(Q33="Reprovado","Reprovado",IF(D33="Operacional", WORKDAY(N33,10,FERIADOS!$A$3:$A$119),IF(D33="Óleo - Enxofre", "NA", G33+3)))),"")</f>
        <v>45877</v>
      </c>
      <c r="P33" s="21">
        <v>45867</v>
      </c>
      <c r="Q33" s="7" t="s">
        <v>37</v>
      </c>
      <c r="R33" s="13"/>
      <c r="S33" s="30"/>
      <c r="T33" s="34"/>
      <c r="W33" t="str">
        <f t="shared" si="7"/>
        <v>CDPT71-AP-0173 (LP Degasser)</v>
      </c>
      <c r="X3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4" spans="1:24" ht="12.5" x14ac:dyDescent="0.25">
      <c r="A34" s="10"/>
      <c r="B34" s="19" t="s">
        <v>38</v>
      </c>
      <c r="C34" s="5" t="s">
        <v>272</v>
      </c>
      <c r="D34" s="20" t="s">
        <v>267</v>
      </c>
      <c r="E34" s="36"/>
      <c r="F34" s="25" cm="1">
        <f t="array" ref="F34">IF(V34 &lt;&gt; "", V34,
  IF(NOT(ISERROR(SEARCH("Poço", D34))),
    IF(G34 = "", "", G34),
    IFERROR(_xlfn.SINGLE(INDEX($G$1:G33, SUMPRODUCT(MAX(($W$1:W33 = W34) * ROW($W$1:W33))))) +
      IF(
      D34 = "Fiscal", 30,
        IF(D34 = "Óleo - Densidade", IF(OR(B34 = "SEP", B34 = "ATD", B34 = "ADG"), 90, 365),
          IF(D34 = "Óleo - Enxofre", 365, 180)
        )
      ),
      ""
    )
  )
)</f>
        <v>45851</v>
      </c>
      <c r="G34" s="21">
        <v>45838</v>
      </c>
      <c r="H34" s="15">
        <f t="shared" si="4"/>
        <v>45848</v>
      </c>
      <c r="I34" s="15"/>
      <c r="J34" s="15"/>
      <c r="K34" s="15">
        <f t="shared" si="5"/>
        <v>45858</v>
      </c>
      <c r="L34" s="15"/>
      <c r="M34" s="15">
        <f t="shared" si="6"/>
        <v>45883</v>
      </c>
      <c r="N34" s="13">
        <v>45863</v>
      </c>
      <c r="O34" s="2">
        <f>IF(ISERROR(SEARCH("Poço",D34)),IF(N34="","Erro",IF(Q34="Reprovado","Reprovado",IF(D34="Operacional", WORKDAY(N34,10,FERIADOS!$A$3:$A$119),IF(D34="Óleo - Enxofre", "NA", G34+3)))),"")</f>
        <v>45877</v>
      </c>
      <c r="P34" s="21">
        <v>45867</v>
      </c>
      <c r="Q34" s="7" t="s">
        <v>37</v>
      </c>
      <c r="R34" s="13"/>
      <c r="S34" s="30"/>
      <c r="T34" s="34"/>
      <c r="W34" t="str">
        <f t="shared" si="7"/>
        <v>CDPT71-AP-0176 (HP Separator)</v>
      </c>
      <c r="X3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5" spans="1:24" ht="12.5" x14ac:dyDescent="0.25">
      <c r="A35" s="10"/>
      <c r="B35" s="19" t="s">
        <v>38</v>
      </c>
      <c r="C35" s="5" t="s">
        <v>273</v>
      </c>
      <c r="D35" s="20" t="s">
        <v>267</v>
      </c>
      <c r="E35" s="36"/>
      <c r="F35" s="25" cm="1">
        <f t="array" ref="F35">IF(V35 &lt;&gt; "", V35,
  IF(NOT(ISERROR(SEARCH("Poço", D35))),
    IF(G35 = "", "", G35),
    IFERROR(_xlfn.SINGLE(INDEX($G$1:G34, SUMPRODUCT(MAX(($W$1:W34 = W35) * ROW($W$1:W34))))) +
      IF(
      D35 = "Fiscal", 30,
        IF(D35 = "Óleo - Densidade", IF(OR(B35 = "SEP", B35 = "ATD", B35 = "ADG"), 90, 365),
          IF(D35 = "Óleo - Enxofre", 365, 180)
        )
      ),
      ""
    )
  )
)</f>
        <v>45851</v>
      </c>
      <c r="G35" s="21">
        <v>45838</v>
      </c>
      <c r="H35" s="15">
        <f t="shared" si="4"/>
        <v>45848</v>
      </c>
      <c r="I35" s="15"/>
      <c r="J35" s="15"/>
      <c r="K35" s="15">
        <f t="shared" si="5"/>
        <v>45858</v>
      </c>
      <c r="L35" s="15"/>
      <c r="M35" s="15">
        <f t="shared" si="6"/>
        <v>45883</v>
      </c>
      <c r="N35" s="13">
        <v>45863</v>
      </c>
      <c r="O35" s="2" t="str">
        <f>IF(ISERROR(SEARCH("Poço",D35)),IF(N35="","Erro",IF(Q35="Reprovado","Reprovado",IF(D35="Operacional", WORKDAY(N35,10,FERIADOS!$A$3:$A$119),IF(D35="Óleo - Enxofre", "NA", G35+3)))),"")</f>
        <v>Reprovado</v>
      </c>
      <c r="P35" s="21"/>
      <c r="Q35" s="7" t="s">
        <v>81</v>
      </c>
      <c r="R35" s="13"/>
      <c r="S35" s="33" t="s">
        <v>295</v>
      </c>
      <c r="T35" s="34"/>
      <c r="W35" t="str">
        <f t="shared" si="7"/>
        <v>CDPT71-AP-0163 (IP Flash Vessel)</v>
      </c>
      <c r="X3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6" spans="1:24" ht="12.5" x14ac:dyDescent="0.25">
      <c r="A36" s="10"/>
      <c r="B36" s="19" t="s">
        <v>52</v>
      </c>
      <c r="C36" s="5" t="s">
        <v>266</v>
      </c>
      <c r="D36" s="20" t="s">
        <v>267</v>
      </c>
      <c r="E36" s="36"/>
      <c r="F36" s="25" cm="1">
        <f t="array" ref="F36">IF(V36 &lt;&gt; "", V36,
  IF(NOT(ISERROR(SEARCH("Poço", D36))),
    IF(G36 = "", "", G36),
    IFERROR(_xlfn.SINGLE(INDEX($G$1:G35, SUMPRODUCT(MAX(($W$1:W35 = W36) * ROW($W$1:W35))))) +
      IF(
      D36 = "Fiscal", 30,
        IF(D36 = "Óleo - Densidade", IF(OR(B36 = "SEP", B36 = "ATD", B36 = "ADG"), 90, 365),
          IF(D36 = "Óleo - Enxofre", 365, 180)
        )
      ),
      ""
    )
  )
)</f>
        <v>45844</v>
      </c>
      <c r="G36" s="21">
        <v>45833</v>
      </c>
      <c r="H36" s="15">
        <f t="shared" si="4"/>
        <v>45843</v>
      </c>
      <c r="I36" s="15"/>
      <c r="J36" s="15"/>
      <c r="K36" s="15">
        <f t="shared" si="5"/>
        <v>45853</v>
      </c>
      <c r="L36" s="15"/>
      <c r="M36" s="15">
        <f t="shared" si="6"/>
        <v>45878</v>
      </c>
      <c r="N36" s="13">
        <v>45856</v>
      </c>
      <c r="O36" s="2">
        <f>IF(ISERROR(SEARCH("Poço",D36)),IF(N36="","Erro",IF(Q36="Reprovado","Reprovado",IF(D36="Operacional", WORKDAY(N36,10,FERIADOS!$A$3:$A$119),IF(D36="Óleo - Enxofre", "NA", G36+3)))),"")</f>
        <v>45870</v>
      </c>
      <c r="P36" s="21">
        <v>45860</v>
      </c>
      <c r="Q36" s="7" t="s">
        <v>37</v>
      </c>
      <c r="R36" s="13"/>
      <c r="S36" s="30"/>
      <c r="T36" s="34"/>
      <c r="W36" t="str">
        <f t="shared" si="7"/>
        <v>SEP771-AP-0102 (HP Separator)</v>
      </c>
      <c r="X3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7" spans="1:24" ht="12.5" x14ac:dyDescent="0.25">
      <c r="A37" s="10"/>
      <c r="B37" s="19" t="s">
        <v>52</v>
      </c>
      <c r="C37" s="5" t="s">
        <v>268</v>
      </c>
      <c r="D37" s="20" t="s">
        <v>267</v>
      </c>
      <c r="E37" s="36"/>
      <c r="F37" s="25" cm="1">
        <f t="array" ref="F37">IF(V37 &lt;&gt; "", V37,
  IF(NOT(ISERROR(SEARCH("Poço", D37))),
    IF(G37 = "", "", G37),
    IFERROR(_xlfn.SINGLE(INDEX($G$1:G36, SUMPRODUCT(MAX(($W$1:W36 = W37) * ROW($W$1:W36))))) +
      IF(
      D37 = "Fiscal", 30,
        IF(D37 = "Óleo - Densidade", IF(OR(B37 = "SEP", B37 = "ATD", B37 = "ADG"), 90, 365),
          IF(D37 = "Óleo - Enxofre", 365, 180)
        )
      ),
      ""
    )
  )
)</f>
        <v>45844</v>
      </c>
      <c r="G37" s="21">
        <v>45833</v>
      </c>
      <c r="H37" s="15">
        <f t="shared" si="4"/>
        <v>45843</v>
      </c>
      <c r="I37" s="15"/>
      <c r="J37" s="15"/>
      <c r="K37" s="15">
        <f t="shared" si="5"/>
        <v>45853</v>
      </c>
      <c r="L37" s="15"/>
      <c r="M37" s="15">
        <f t="shared" si="6"/>
        <v>45878</v>
      </c>
      <c r="N37" s="13">
        <v>45856</v>
      </c>
      <c r="O37" s="2">
        <f>IF(ISERROR(SEARCH("Poço",D37)),IF(N37="","Erro",IF(Q37="Reprovado","Reprovado",IF(D37="Operacional", WORKDAY(N37,10,FERIADOS!$A$3:$A$119),IF(D37="Óleo - Enxofre", "NA", G37+3)))),"")</f>
        <v>45870</v>
      </c>
      <c r="P37" s="21">
        <v>45860</v>
      </c>
      <c r="Q37" s="7" t="s">
        <v>37</v>
      </c>
      <c r="R37" s="13"/>
      <c r="S37" s="30"/>
      <c r="T37" s="34"/>
      <c r="W37" t="str">
        <f t="shared" si="7"/>
        <v>SEP771-AP-0123 (FWKO Drum)</v>
      </c>
      <c r="X3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8" spans="1:24" ht="12.5" x14ac:dyDescent="0.25">
      <c r="A38" s="10"/>
      <c r="B38" s="19" t="s">
        <v>52</v>
      </c>
      <c r="C38" s="5" t="s">
        <v>269</v>
      </c>
      <c r="D38" s="20" t="s">
        <v>267</v>
      </c>
      <c r="E38" s="36"/>
      <c r="F38" s="25" cm="1">
        <f t="array" ref="F38">IF(V38 &lt;&gt; "", V38,
  IF(NOT(ISERROR(SEARCH("Poço", D38))),
    IF(G38 = "", "", G38),
    IFERROR(_xlfn.SINGLE(INDEX($G$1:G37, SUMPRODUCT(MAX(($W$1:W37 = W38) * ROW($W$1:W37))))) +
      IF(
      D38 = "Fiscal", 30,
        IF(D38 = "Óleo - Densidade", IF(OR(B38 = "SEP", B38 = "ATD", B38 = "ADG"), 90, 365),
          IF(D38 = "Óleo - Enxofre", 365, 180)
        )
      ),
      ""
    )
  )
)</f>
        <v>45844</v>
      </c>
      <c r="G38" s="21">
        <v>45833</v>
      </c>
      <c r="H38" s="15">
        <f t="shared" si="4"/>
        <v>45843</v>
      </c>
      <c r="I38" s="15"/>
      <c r="J38" s="15"/>
      <c r="K38" s="15">
        <f t="shared" si="5"/>
        <v>45853</v>
      </c>
      <c r="L38" s="15"/>
      <c r="M38" s="15">
        <f t="shared" si="6"/>
        <v>45878</v>
      </c>
      <c r="N38" s="13">
        <v>45856</v>
      </c>
      <c r="O38" s="2">
        <f>IF(ISERROR(SEARCH("Poço",D38)),IF(N38="","Erro",IF(Q38="Reprovado","Reprovado",IF(D38="Operacional", WORKDAY(N38,10,FERIADOS!$A$3:$A$119),IF(D38="Óleo - Enxofre", "NA", G38+3)))),"")</f>
        <v>45870</v>
      </c>
      <c r="P38" s="21">
        <v>45860</v>
      </c>
      <c r="Q38" s="7" t="s">
        <v>37</v>
      </c>
      <c r="R38" s="13"/>
      <c r="S38" s="30"/>
      <c r="T38" s="34"/>
      <c r="W38" t="str">
        <f t="shared" si="7"/>
        <v>SEP771-AP-0202 (IP Flash Vessel)</v>
      </c>
      <c r="X3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39" spans="1:24" ht="12.5" x14ac:dyDescent="0.25">
      <c r="A39" s="10"/>
      <c r="B39" s="19" t="s">
        <v>52</v>
      </c>
      <c r="C39" s="5" t="s">
        <v>270</v>
      </c>
      <c r="D39" s="20" t="s">
        <v>267</v>
      </c>
      <c r="E39" s="36"/>
      <c r="F39" s="25" cm="1">
        <f t="array" ref="F39">IF(V39 &lt;&gt; "", V39,
  IF(NOT(ISERROR(SEARCH("Poço", D39))),
    IF(G39 = "", "", G39),
    IFERROR(_xlfn.SINGLE(INDEX($G$1:G38, SUMPRODUCT(MAX(($W$1:W38 = W39) * ROW($W$1:W38))))) +
      IF(
      D39 = "Fiscal", 30,
        IF(D39 = "Óleo - Densidade", IF(OR(B39 = "SEP", B39 = "ATD", B39 = "ADG"), 90, 365),
          IF(D39 = "Óleo - Enxofre", 365, 180)
        )
      ),
      ""
    )
  )
)</f>
        <v>45844</v>
      </c>
      <c r="G39" s="21">
        <v>45833</v>
      </c>
      <c r="H39" s="15">
        <f t="shared" si="4"/>
        <v>45843</v>
      </c>
      <c r="I39" s="15"/>
      <c r="J39" s="15"/>
      <c r="K39" s="15">
        <f t="shared" si="5"/>
        <v>45853</v>
      </c>
      <c r="L39" s="15"/>
      <c r="M39" s="15">
        <f t="shared" si="6"/>
        <v>45878</v>
      </c>
      <c r="N39" s="13">
        <v>45856</v>
      </c>
      <c r="O39" s="2">
        <f>IF(ISERROR(SEARCH("Poço",D39)),IF(N39="","Erro",IF(Q39="Reprovado","Reprovado",IF(D39="Operacional", WORKDAY(N39,10,FERIADOS!$A$3:$A$119),IF(D39="Óleo - Enxofre", "NA", G39+3)))),"")</f>
        <v>45870</v>
      </c>
      <c r="P39" s="21">
        <v>45860</v>
      </c>
      <c r="Q39" s="7" t="s">
        <v>37</v>
      </c>
      <c r="R39" s="13"/>
      <c r="S39" s="30"/>
      <c r="T39" s="34"/>
      <c r="W39" t="str">
        <f t="shared" si="7"/>
        <v>SEP771-AP-0213 (LP Degasser)</v>
      </c>
      <c r="X3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0" spans="1:24" ht="12.5" x14ac:dyDescent="0.25">
      <c r="A40" s="10"/>
      <c r="B40" s="19" t="s">
        <v>31</v>
      </c>
      <c r="C40" s="5" t="s">
        <v>286</v>
      </c>
      <c r="D40" s="20" t="s">
        <v>267</v>
      </c>
      <c r="E40" s="36"/>
      <c r="F40" s="25" t="str" cm="1">
        <f t="array" ref="F40">IF(V40 &lt;&gt; "", V40,
  IF(NOT(ISERROR(SEARCH("Poço", D40))),
    IF(G40 = "", "", G40),
    IFERROR(_xlfn.SINGLE(INDEX($G$1:G39, SUMPRODUCT(MAX(($W$1:W39 = W40) * ROW($W$1:W39))))) +
      IF(
      D40 = "Fiscal", 30,
        IF(D40 = "Óleo - Densidade", IF(OR(B40 = "SEP", B40 = "ATD", B40 = "ADG"), 90, 365),
          IF(D40 = "Óleo - Enxofre", 365, 180)
        )
      ),
      ""
    )
  )
)</f>
        <v/>
      </c>
      <c r="G40" s="21">
        <v>45709</v>
      </c>
      <c r="H40" s="15">
        <f t="shared" si="4"/>
        <v>45719</v>
      </c>
      <c r="I40" s="15"/>
      <c r="J40" s="15"/>
      <c r="K40" s="15">
        <f t="shared" si="5"/>
        <v>45729</v>
      </c>
      <c r="L40" s="15"/>
      <c r="M40" s="15">
        <f t="shared" si="6"/>
        <v>45754</v>
      </c>
      <c r="N40" s="13">
        <v>45733</v>
      </c>
      <c r="O40" s="2">
        <f>IF(ISERROR(SEARCH("Poço",D40)),IF(N40="","Erro",IF(Q40="Reprovado","Reprovado",IF(D40="Operacional", WORKDAY(N40,10,FERIADOS!$A$3:$A$119),IF(D40="Óleo - Enxofre", "NA", G40+3)))),"")</f>
        <v>45747</v>
      </c>
      <c r="P40" s="21">
        <v>45736</v>
      </c>
      <c r="Q40" s="7" t="s">
        <v>37</v>
      </c>
      <c r="R40" s="13"/>
      <c r="S40" s="30"/>
      <c r="T40" s="34"/>
      <c r="W40" t="str">
        <f t="shared" si="7"/>
        <v>CDIT71-AX-0202 (IP Flash Vessel)</v>
      </c>
      <c r="X4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1" spans="1:24" ht="12.5" x14ac:dyDescent="0.25">
      <c r="A41" s="10"/>
      <c r="B41" s="19" t="s">
        <v>34</v>
      </c>
      <c r="C41" s="5" t="s">
        <v>284</v>
      </c>
      <c r="D41" s="20" t="s">
        <v>267</v>
      </c>
      <c r="E41" s="36"/>
      <c r="F41" s="25" cm="1">
        <f t="array" ref="F41">IF(V41 &lt;&gt; "", V41,
  IF(NOT(ISERROR(SEARCH("Poço", D41))),
    IF(G41 = "", "", G41),
    IFERROR(_xlfn.SINGLE(INDEX($G$1:G40, SUMPRODUCT(MAX(($W$1:W40 = W41) * ROW($W$1:W40))))) +
      IF(
      D41 = "Fiscal", 30,
        IF(D41 = "Óleo - Densidade", IF(OR(B41 = "SEP", B41 = "ATD", B41 = "ADG"), 90, 365),
          IF(D41 = "Óleo - Enxofre", 365, 180)
        )
      ),
      ""
    )
  )
)</f>
        <v>45868</v>
      </c>
      <c r="G41" s="21">
        <v>45848</v>
      </c>
      <c r="H41" s="15">
        <f t="shared" ref="H41:H48" si="8">IF(G41="","Erro",IF(D41="Óleo - Densidade", "NA", G41+10))</f>
        <v>45858</v>
      </c>
      <c r="I41" s="15"/>
      <c r="J41" s="15"/>
      <c r="K41" s="15">
        <f t="shared" ref="K41:K48" si="9">IF(G41="","Erro",IF(D41="Óleo - Densidade", "NA", G41+20))</f>
        <v>45868</v>
      </c>
      <c r="L41" s="15"/>
      <c r="M41" s="15">
        <f t="shared" ref="M41:M48" si="10">IF(G41="","Erro",G41+IF(D41="Fiscal",25,IF(D41="Óleo - Densidade", 1, IF(D41="Óleo - Enxofre", 25, 45))))</f>
        <v>45893</v>
      </c>
      <c r="N41" s="13">
        <v>45873</v>
      </c>
      <c r="O41" s="2">
        <f>IF(ISERROR(SEARCH("Poço",D41)),IF(N41="","Erro",IF(Q41="Reprovado","Reprovado",IF(D41="Operacional", WORKDAY(N41,10,FERIADOS!$A$3:$A$119),IF(D41="Óleo - Enxofre", "NA", G41+3)))),"")</f>
        <v>45887</v>
      </c>
      <c r="P41" s="21">
        <v>45875</v>
      </c>
      <c r="Q41" s="7" t="s">
        <v>37</v>
      </c>
      <c r="R41" s="13"/>
      <c r="S41" s="30"/>
      <c r="T41" s="34"/>
      <c r="W41" t="str">
        <f t="shared" si="7"/>
        <v>CDST75-AX-1139 (Injection Gas)</v>
      </c>
      <c r="X4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2" spans="1:24" ht="12.5" x14ac:dyDescent="0.25">
      <c r="A42" s="10"/>
      <c r="B42" s="19" t="s">
        <v>46</v>
      </c>
      <c r="C42" s="5" t="s">
        <v>284</v>
      </c>
      <c r="D42" s="20" t="s">
        <v>267</v>
      </c>
      <c r="E42" s="36"/>
      <c r="F42" s="25" cm="1">
        <f t="array" ref="F42">IF(V42 &lt;&gt; "", V42,
  IF(NOT(ISERROR(SEARCH("Poço", D42))),
    IF(G42 = "", "", G42),
    IFERROR(_xlfn.SINGLE(INDEX($G$1:G41, SUMPRODUCT(MAX(($W$1:W41 = W42) * ROW($W$1:W41))))) +
      IF(
      D42 = "Fiscal", 30,
        IF(D42 = "Óleo - Densidade", IF(OR(B42 = "SEP", B42 = "ATD", B42 = "ADG"), 90, 365),
          IF(D42 = "Óleo - Enxofre", 365, 180)
        )
      ),
      ""
    )
  )
)</f>
        <v>45875</v>
      </c>
      <c r="G42" s="21">
        <v>45724</v>
      </c>
      <c r="H42" s="15">
        <f t="shared" si="8"/>
        <v>45734</v>
      </c>
      <c r="I42" s="15"/>
      <c r="J42" s="15"/>
      <c r="K42" s="15">
        <f t="shared" si="9"/>
        <v>45744</v>
      </c>
      <c r="L42" s="15"/>
      <c r="M42" s="15">
        <f t="shared" si="10"/>
        <v>45769</v>
      </c>
      <c r="N42" s="13">
        <v>45749</v>
      </c>
      <c r="O42" s="2">
        <f>IF(ISERROR(SEARCH("Poço",D42)),IF(N42="","Erro",IF(Q42="Reprovado","Reprovado",IF(D42="Operacional", WORKDAY(N42,10,FERIADOS!$A$3:$A$119),IF(D42="Óleo - Enxofre", "NA", G42+3)))),"")</f>
        <v>45763</v>
      </c>
      <c r="P42" s="21">
        <v>45751</v>
      </c>
      <c r="Q42" s="7" t="s">
        <v>37</v>
      </c>
      <c r="R42" s="13"/>
      <c r="S42" s="30"/>
      <c r="T42" s="34"/>
      <c r="W42" t="str">
        <f t="shared" si="7"/>
        <v>CDMT75-AX-1139 (Injection Gas)</v>
      </c>
      <c r="X4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3" spans="1:24" ht="12.5" x14ac:dyDescent="0.25">
      <c r="A43" s="10"/>
      <c r="B43" s="19" t="s">
        <v>24</v>
      </c>
      <c r="C43" s="5" t="s">
        <v>296</v>
      </c>
      <c r="D43" s="20" t="s">
        <v>297</v>
      </c>
      <c r="E43" s="36"/>
      <c r="F43" s="25" t="str" cm="1">
        <f t="array" ref="F43">IF(V43 &lt;&gt; "", V43,
  IF(NOT(ISERROR(SEARCH("Poço", D43))),
    IF(G43 = "", "", G43),
    IFERROR(_xlfn.SINGLE(INDEX($G$1:G42, SUMPRODUCT(MAX(($W$1:W42 = W43) * ROW($W$1:W42))))) +
      IF(
      D43 = "Fiscal", 30,
        IF(D43 = "Óleo - Densidade", IF(OR(B43 = "SEP", B43 = "ATD", B43 = "ADG"), 90, 365),
          IF(D43 = "Óleo - Enxofre", 365, 180)
        )
      ),
      ""
    )
  )
)</f>
        <v/>
      </c>
      <c r="G43" s="21">
        <v>45992</v>
      </c>
      <c r="H43" s="15">
        <f t="shared" si="8"/>
        <v>46002</v>
      </c>
      <c r="I43" s="15">
        <v>45994</v>
      </c>
      <c r="J43" s="15" t="s">
        <v>167</v>
      </c>
      <c r="K43" s="15">
        <f t="shared" si="9"/>
        <v>46012</v>
      </c>
      <c r="L43" s="15">
        <v>46000</v>
      </c>
      <c r="M43" s="15">
        <f t="shared" si="10"/>
        <v>46017</v>
      </c>
      <c r="N43" s="13">
        <v>46006</v>
      </c>
      <c r="O43" s="2" t="str">
        <f>IF(ISERROR(SEARCH("Poço",D43)),IF(N43="","Erro",IF(Q43="Reprovado","Reprovado",IF(D43="Operacional", WORKDAY(N43,10,FERIADOS!$A$3:$A$119),IF(D43="Óleo - Enxofre", "NA", G43+3)))),"")</f>
        <v>NA</v>
      </c>
      <c r="P43" s="21"/>
      <c r="Q43" s="7" t="s">
        <v>37</v>
      </c>
      <c r="R43" s="13"/>
      <c r="S43" s="30"/>
      <c r="T43" s="34"/>
      <c r="W43" t="str">
        <f t="shared" si="7"/>
        <v>CDACargo Tank</v>
      </c>
      <c r="X4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4" spans="1:24" ht="12.5" x14ac:dyDescent="0.25">
      <c r="A44" s="10"/>
      <c r="B44" s="19" t="s">
        <v>38</v>
      </c>
      <c r="C44" s="5" t="s">
        <v>298</v>
      </c>
      <c r="D44" s="20" t="s">
        <v>297</v>
      </c>
      <c r="E44" s="36"/>
      <c r="F44" s="25" t="str" cm="1">
        <f t="array" ref="F44">IF(V44 &lt;&gt; "", V44,
  IF(NOT(ISERROR(SEARCH("Poço", D44))),
    IF(G44 = "", "", G44),
    IFERROR(_xlfn.SINGLE(INDEX($G$1:G43, SUMPRODUCT(MAX(($W$1:W43 = W44) * ROW($W$1:W43))))) +
      IF(
      D44 = "Fiscal", 30,
        IF(D44 = "Óleo - Densidade", IF(OR(B44 = "SEP", B44 = "ATD", B44 = "ADG"), 90, 365),
          IF(D44 = "Óleo - Enxofre", 365, 180)
        )
      ),
      ""
    )
  )
)</f>
        <v/>
      </c>
      <c r="G44" s="21">
        <v>45967</v>
      </c>
      <c r="H44" s="15">
        <f t="shared" si="8"/>
        <v>45977</v>
      </c>
      <c r="I44" s="15"/>
      <c r="J44" s="15"/>
      <c r="K44" s="15">
        <f t="shared" si="9"/>
        <v>45987</v>
      </c>
      <c r="L44" s="15"/>
      <c r="M44" s="15">
        <f t="shared" si="10"/>
        <v>45992</v>
      </c>
      <c r="N44" s="13">
        <v>45992</v>
      </c>
      <c r="O44" s="2" t="str">
        <f>IF(ISERROR(SEARCH("Poço",D44)),IF(N44="","Erro",IF(Q44="Reprovado","Reprovado",IF(D44="Operacional", WORKDAY(N44,10,FERIADOS!$A$3:$A$119),IF(D44="Óleo - Enxofre", "NA", G44+3)))),"")</f>
        <v>NA</v>
      </c>
      <c r="P44" s="21"/>
      <c r="Q44" s="7" t="s">
        <v>37</v>
      </c>
      <c r="R44" s="13"/>
      <c r="S44" s="30"/>
      <c r="T44" s="34"/>
      <c r="W44" t="str">
        <f t="shared" si="7"/>
        <v>CDPT62-AP-1111 (Oil Fiscal)</v>
      </c>
      <c r="X4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5" spans="1:24" ht="12.5" x14ac:dyDescent="0.25">
      <c r="A45" s="10"/>
      <c r="B45" s="8" t="s">
        <v>31</v>
      </c>
      <c r="C45" s="5" t="s">
        <v>299</v>
      </c>
      <c r="D45" s="9" t="s">
        <v>297</v>
      </c>
      <c r="E45" s="36"/>
      <c r="F45" s="25" t="str" cm="1">
        <f t="array" ref="F45">IF(V45 &lt;&gt; "", V45,
  IF(NOT(ISERROR(SEARCH("Poço", D45))),
    IF(G45 = "", "", G45),
    IFERROR(_xlfn.SINGLE(INDEX($G$1:G44, SUMPRODUCT(MAX(($W$1:W44 = W45) * ROW($W$1:W44))))) +
      IF(
      D45 = "Fiscal", 30,
        IF(D45 = "Óleo - Densidade", IF(OR(B45 = "SEP", B45 = "ATD", B45 = "ADG"), 90, 365),
          IF(D45 = "Óleo - Enxofre", 365, 180)
        )
      ),
      ""
    )
  )
)</f>
        <v/>
      </c>
      <c r="G45" s="13">
        <v>45967</v>
      </c>
      <c r="H45" s="15">
        <f t="shared" si="8"/>
        <v>45977</v>
      </c>
      <c r="I45" s="15">
        <v>45973</v>
      </c>
      <c r="J45" s="32" t="s">
        <v>300</v>
      </c>
      <c r="K45" s="15">
        <f t="shared" si="9"/>
        <v>45987</v>
      </c>
      <c r="L45" s="15"/>
      <c r="M45" s="15">
        <f t="shared" si="10"/>
        <v>45992</v>
      </c>
      <c r="N45" s="13">
        <v>45992</v>
      </c>
      <c r="O45" s="2" t="str">
        <f>IF(ISERROR(SEARCH("Poço",D45)),IF(N45="","Erro",IF(Q45="Reprovado","Reprovado",IF(D45="Operacional", WORKDAY(N45,10,FERIADOS!$A$3:$A$119),IF(D45="Óleo - Enxofre", "NA", G45+3)))),"")</f>
        <v>NA</v>
      </c>
      <c r="P45" s="13"/>
      <c r="Q45" s="7" t="s">
        <v>37</v>
      </c>
      <c r="R45" s="13"/>
      <c r="S45" s="30"/>
      <c r="T45" s="34"/>
      <c r="W45" t="str">
        <f t="shared" si="7"/>
        <v>CDIOil Fiscal</v>
      </c>
      <c r="X4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6" spans="1:24" ht="12.5" x14ac:dyDescent="0.25">
      <c r="A46" s="10"/>
      <c r="B46" s="8" t="s">
        <v>46</v>
      </c>
      <c r="C46" s="5" t="s">
        <v>299</v>
      </c>
      <c r="D46" s="9" t="s">
        <v>297</v>
      </c>
      <c r="E46" s="36"/>
      <c r="F46" s="25" t="str" cm="1">
        <f t="array" ref="F46">IF(V46 &lt;&gt; "", V46,
  IF(NOT(ISERROR(SEARCH("Poço", D46))),
    IF(G46 = "", "", G46),
    IFERROR(_xlfn.SINGLE(INDEX($G$1:G45, SUMPRODUCT(MAX(($W$1:W45 = W46) * ROW($W$1:W45))))) +
      IF(
      D46 = "Fiscal", 30,
        IF(D46 = "Óleo - Densidade", IF(OR(B46 = "SEP", B46 = "ATD", B46 = "ADG"), 90, 365),
          IF(D46 = "Óleo - Enxofre", 365, 180)
        )
      ),
      ""
    )
  )
)</f>
        <v/>
      </c>
      <c r="G46" s="13">
        <v>45967</v>
      </c>
      <c r="H46" s="15">
        <f t="shared" si="8"/>
        <v>45977</v>
      </c>
      <c r="I46" s="15"/>
      <c r="J46" s="15"/>
      <c r="K46" s="15">
        <f t="shared" si="9"/>
        <v>45987</v>
      </c>
      <c r="L46" s="15"/>
      <c r="M46" s="15">
        <f t="shared" si="10"/>
        <v>45992</v>
      </c>
      <c r="N46" s="13">
        <v>45992</v>
      </c>
      <c r="O46" s="2" t="str">
        <f>IF(ISERROR(SEARCH("Poço",D46)),IF(N46="","Erro",IF(Q46="Reprovado","Reprovado",IF(D46="Operacional", WORKDAY(N46,10,FERIADOS!$A$3:$A$119),IF(D46="Óleo - Enxofre", "NA", G46+3)))),"")</f>
        <v>NA</v>
      </c>
      <c r="P46" s="13"/>
      <c r="Q46" s="7" t="s">
        <v>37</v>
      </c>
      <c r="R46" s="13"/>
      <c r="S46" s="30"/>
      <c r="T46" s="34"/>
      <c r="W46" t="str">
        <f t="shared" si="7"/>
        <v>CDMOil Fiscal</v>
      </c>
      <c r="X4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7" spans="1:24" ht="12.5" x14ac:dyDescent="0.25">
      <c r="A47" s="10"/>
      <c r="B47" s="8" t="s">
        <v>34</v>
      </c>
      <c r="C47" s="5" t="s">
        <v>299</v>
      </c>
      <c r="D47" s="9" t="s">
        <v>297</v>
      </c>
      <c r="E47" s="36"/>
      <c r="F47" s="25" t="str" cm="1">
        <f t="array" ref="F47">IF(V47 &lt;&gt; "", V47,
  IF(NOT(ISERROR(SEARCH("Poço", D47))),
    IF(G47 = "", "", G47),
    IFERROR(_xlfn.SINGLE(INDEX($G$1:G46, SUMPRODUCT(MAX(($W$1:W46 = W47) * ROW($W$1:W46))))) +
      IF(
      D47 = "Fiscal", 30,
        IF(D47 = "Óleo - Densidade", IF(OR(B47 = "SEP", B47 = "ATD", B47 = "ADG"), 90, 365),
          IF(D47 = "Óleo - Enxofre", 365, 180)
        )
      ),
      ""
    )
  )
)</f>
        <v/>
      </c>
      <c r="G47" s="13">
        <v>45968</v>
      </c>
      <c r="H47" s="15">
        <f t="shared" si="8"/>
        <v>45978</v>
      </c>
      <c r="I47" s="15"/>
      <c r="J47" s="15"/>
      <c r="K47" s="15">
        <f t="shared" si="9"/>
        <v>45988</v>
      </c>
      <c r="L47" s="15"/>
      <c r="M47" s="15">
        <f t="shared" si="10"/>
        <v>45993</v>
      </c>
      <c r="N47" s="13">
        <v>45988</v>
      </c>
      <c r="O47" s="2" t="str">
        <f>IF(ISERROR(SEARCH("Poço",D47)),IF(N47="","Erro",IF(Q47="Reprovado","Reprovado",IF(D47="Operacional", WORKDAY(N47,10,FERIADOS!$A$3:$A$119),IF(D47="Óleo - Enxofre", "NA", G47+3)))),"")</f>
        <v>NA</v>
      </c>
      <c r="P47" s="13"/>
      <c r="Q47" s="7" t="s">
        <v>37</v>
      </c>
      <c r="R47" s="13"/>
      <c r="S47" s="30"/>
      <c r="T47" s="34"/>
      <c r="W47" t="str">
        <f t="shared" si="7"/>
        <v>CDSOil Fiscal</v>
      </c>
      <c r="X4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8" spans="1:24" ht="12.5" x14ac:dyDescent="0.25">
      <c r="A48" s="10"/>
      <c r="B48" s="8" t="s">
        <v>52</v>
      </c>
      <c r="C48" s="5" t="s">
        <v>301</v>
      </c>
      <c r="D48" s="9" t="s">
        <v>297</v>
      </c>
      <c r="E48" s="36"/>
      <c r="F48" s="25" t="str" cm="1">
        <f t="array" ref="F48">IF(V48 &lt;&gt; "", V48,
  IF(NOT(ISERROR(SEARCH("Poço", D48))),
    IF(G48 = "", "", G48),
    IFERROR(_xlfn.SINGLE(INDEX($G$1:G47, SUMPRODUCT(MAX(($W$1:W47 = W48) * ROW($W$1:W47))))) +
      IF(
      D48 = "Fiscal", 30,
        IF(D48 = "Óleo - Densidade", IF(OR(B48 = "SEP", B48 = "ATD", B48 = "ADG"), 90, 365),
          IF(D48 = "Óleo - Enxofre", 365, 180)
        )
      ),
      ""
    )
  )
)</f>
        <v/>
      </c>
      <c r="G48" s="13">
        <v>45995</v>
      </c>
      <c r="H48" s="15">
        <f t="shared" si="8"/>
        <v>46005</v>
      </c>
      <c r="I48" s="15"/>
      <c r="J48" s="15"/>
      <c r="K48" s="15">
        <f t="shared" si="9"/>
        <v>46015</v>
      </c>
      <c r="L48" s="15"/>
      <c r="M48" s="15">
        <f t="shared" si="10"/>
        <v>46020</v>
      </c>
      <c r="N48" s="13">
        <v>46014</v>
      </c>
      <c r="O48" s="2" t="str">
        <f>IF(ISERROR(SEARCH("Poço",D48)),IF(N48="","Erro",IF(Q48="Reprovado","Reprovado",IF(D48="Operacional", WORKDAY(N48,10,FERIADOS!$A$3:$A$119),IF(D48="Óleo - Enxofre", "NA", G48+3)))),"")</f>
        <v>NA</v>
      </c>
      <c r="P48" s="13"/>
      <c r="Q48" s="7" t="s">
        <v>37</v>
      </c>
      <c r="R48" s="13"/>
      <c r="S48" s="30"/>
      <c r="T48" s="34"/>
      <c r="W48" t="str">
        <f t="shared" si="7"/>
        <v>SEP662-AP-1005 (Oil Fiscal)</v>
      </c>
      <c r="X4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49" spans="1:24" ht="12.5" x14ac:dyDescent="0.25">
      <c r="A49" s="10"/>
      <c r="B49" s="19" t="s">
        <v>52</v>
      </c>
      <c r="C49" s="5" t="s">
        <v>302</v>
      </c>
      <c r="D49" s="20" t="s">
        <v>303</v>
      </c>
      <c r="E49" s="36"/>
      <c r="F49" s="25" t="str" cm="1">
        <f t="array" ref="F49">IF(V49 &lt;&gt; "", V49,
  IF(NOT(ISERROR(SEARCH("Poço", D49))),
    IF(G49 = "", "", G49),
    IFERROR(_xlfn.SINGLE(INDEX($G$1:G48, SUMPRODUCT(MAX(($W$1:W48 = W49) * ROW($W$1:W48))))) +
      IF(
      D49 = "Fiscal", 30,
        IF(D49 = "Óleo - Densidade", IF(OR(B49 = "SEP", B49 = "ATD", B49 = "ADG"), 90, 365),
          IF(D49 = "Óleo - Enxofre", 365, 180)
        )
      ),
      ""
    )
  )
)</f>
        <v/>
      </c>
      <c r="G49" s="21">
        <v>45688</v>
      </c>
      <c r="H49" s="15" t="str">
        <f t="shared" ref="H49:H54" si="11">IF(G49="","Erro",IF(D49="Óleo - Densidade", "NA", G49+10))</f>
        <v>NA</v>
      </c>
      <c r="I49" s="15"/>
      <c r="J49" s="15"/>
      <c r="K49" s="15" t="str">
        <f t="shared" ref="K49:K54" si="12">IF(G49="","Erro",IF(D49="Óleo - Densidade", "NA", G49+20))</f>
        <v>NA</v>
      </c>
      <c r="L49" s="15"/>
      <c r="M49" s="15">
        <f t="shared" ref="M49:M54" si="13">IF(G49="","Erro",G49+IF(D49="Fiscal",25,IF(D49="Óleo - Densidade", 1, IF(D49="Óleo - Enxofre", 25, 45))))</f>
        <v>45689</v>
      </c>
      <c r="N49" s="13">
        <v>45689</v>
      </c>
      <c r="O49" s="2">
        <f>IF(ISERROR(SEARCH("Poço",D49)),IF(N49="","Erro",IF(Q49="Reprovado","Reprovado",IF(D49="Operacional", WORKDAY(N49,10,FERIADOS!$A$3:$A$119),IF(D49="Óleo - Enxofre", "NA", G49+3)))),"")</f>
        <v>45691</v>
      </c>
      <c r="P49" s="21">
        <v>45689</v>
      </c>
      <c r="Q49" s="7" t="s">
        <v>37</v>
      </c>
      <c r="R49" s="13"/>
      <c r="S49" s="30"/>
      <c r="T49" s="34"/>
      <c r="W49" t="str">
        <f t="shared" si="7"/>
        <v>SEP662-AP-0162 (FWKO Drum)</v>
      </c>
      <c r="X4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0" spans="1:24" ht="12.5" x14ac:dyDescent="0.25">
      <c r="A50" s="10"/>
      <c r="B50" s="19" t="s">
        <v>52</v>
      </c>
      <c r="C50" s="5" t="s">
        <v>302</v>
      </c>
      <c r="D50" s="20" t="s">
        <v>303</v>
      </c>
      <c r="E50" s="36"/>
      <c r="F50" s="25" cm="1">
        <f t="array" ref="F50">IF(V50 &lt;&gt; "", V50,
  IF(NOT(ISERROR(SEARCH("Poço", D50))),
    IF(G50 = "", "", G50),
    IFERROR(_xlfn.SINGLE(INDEX($G$1:G49, SUMPRODUCT(MAX(($W$1:W49 = W50) * ROW($W$1:W49))))) +
      IF(
      D50 = "Fiscal", 30,
        IF(D50 = "Óleo - Densidade", IF(OR(B50 = "SEP", B50 = "ATD", B50 = "ADG"), 90, 365),
          IF(D50 = "Óleo - Enxofre", 365, 180)
        )
      ),
      ""
    )
  )
)</f>
        <v>45778</v>
      </c>
      <c r="G50" s="21">
        <v>45778</v>
      </c>
      <c r="H50" s="15" t="str">
        <f t="shared" si="11"/>
        <v>NA</v>
      </c>
      <c r="I50" s="15"/>
      <c r="J50" s="15"/>
      <c r="K50" s="15" t="str">
        <f t="shared" si="12"/>
        <v>NA</v>
      </c>
      <c r="L50" s="15"/>
      <c r="M50" s="15">
        <f t="shared" si="13"/>
        <v>45779</v>
      </c>
      <c r="N50" s="13">
        <v>45779</v>
      </c>
      <c r="O50" s="2">
        <f>IF(ISERROR(SEARCH("Poço",D50)),IF(N50="","Erro",IF(Q50="Reprovado","Reprovado",IF(D50="Operacional", WORKDAY(N50,10,FERIADOS!$A$3:$A$119),IF(D50="Óleo - Enxofre", "NA", G50+3)))),"")</f>
        <v>45781</v>
      </c>
      <c r="P50" s="21">
        <v>45779</v>
      </c>
      <c r="Q50" s="7" t="s">
        <v>37</v>
      </c>
      <c r="R50" s="13"/>
      <c r="S50" s="30"/>
      <c r="T50" s="34"/>
      <c r="W50" t="str">
        <f t="shared" si="7"/>
        <v>SEP662-AP-0162 (FWKO Drum)</v>
      </c>
      <c r="X5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1" spans="1:24" ht="12.5" x14ac:dyDescent="0.25">
      <c r="A51" s="10"/>
      <c r="B51" s="19" t="s">
        <v>31</v>
      </c>
      <c r="C51" s="5" t="s">
        <v>285</v>
      </c>
      <c r="D51" s="20" t="s">
        <v>267</v>
      </c>
      <c r="E51" s="36"/>
      <c r="F51" s="25" cm="1">
        <f t="array" ref="F51">IF(V51 &lt;&gt; "", V51,
  IF(NOT(ISERROR(SEARCH("Poço", D51))),
    IF(G51 = "", "", G51),
    IFERROR(_xlfn.SINGLE(INDEX($G$1:G50, SUMPRODUCT(MAX(($W$1:W50 = W51) * ROW($W$1:W50))))) +
      IF(
      D51 = "Fiscal", 30,
        IF(D51 = "Óleo - Densidade", IF(OR(B51 = "SEP", B51 = "ATD", B51 = "ADG"), 90, 365),
          IF(D51 = "Óleo - Enxofre", 365, 180)
        )
      ),
      ""
    )
  )
)</f>
        <v>45889</v>
      </c>
      <c r="G51" s="21">
        <v>45874</v>
      </c>
      <c r="H51" s="15">
        <f t="shared" si="11"/>
        <v>45884</v>
      </c>
      <c r="I51" s="15"/>
      <c r="J51" s="15"/>
      <c r="K51" s="15">
        <f t="shared" si="12"/>
        <v>45894</v>
      </c>
      <c r="L51" s="15"/>
      <c r="M51" s="15">
        <f t="shared" si="13"/>
        <v>45919</v>
      </c>
      <c r="N51" s="13">
        <v>45898</v>
      </c>
      <c r="O51" s="2" t="str">
        <f>IF(ISERROR(SEARCH("Poço",D51)),IF(N51="","Erro",IF(Q51="Reprovado","Reprovado",IF(D51="Operacional", WORKDAY(N51,10,FERIADOS!$A$3:$A$119),IF(D51="Óleo - Enxofre", "NA", G51+3)))),"")</f>
        <v>Reprovado</v>
      </c>
      <c r="P51" s="21"/>
      <c r="Q51" s="7" t="s">
        <v>81</v>
      </c>
      <c r="R51" s="13"/>
      <c r="S51" s="33" t="s">
        <v>304</v>
      </c>
      <c r="T51" s="34"/>
      <c r="W51" t="str">
        <f t="shared" si="7"/>
        <v>CDIT71-AX-0102 (HP Separator)</v>
      </c>
      <c r="X5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2" spans="1:24" ht="12.5" x14ac:dyDescent="0.25">
      <c r="A52" s="10"/>
      <c r="B52" s="19" t="s">
        <v>31</v>
      </c>
      <c r="C52" s="5" t="s">
        <v>290</v>
      </c>
      <c r="D52" s="20" t="s">
        <v>267</v>
      </c>
      <c r="E52" s="36"/>
      <c r="F52" s="25" cm="1">
        <f t="array" ref="F52">IF(V52 &lt;&gt; "", V52,
  IF(NOT(ISERROR(SEARCH("Poço", D52))),
    IF(G52 = "", "", G52),
    IFERROR(_xlfn.SINGLE(INDEX($G$1:G51, SUMPRODUCT(MAX(($W$1:W51 = W52) * ROW($W$1:W51))))) +
      IF(
      D52 = "Fiscal", 30,
        IF(D52 = "Óleo - Densidade", IF(OR(B52 = "SEP", B52 = "ATD", B52 = "ADG"), 90, 365),
          IF(D52 = "Óleo - Enxofre", 365, 180)
        )
      ),
      ""
    )
  )
)</f>
        <v>45889</v>
      </c>
      <c r="G52" s="21">
        <v>45874</v>
      </c>
      <c r="H52" s="15">
        <f t="shared" si="11"/>
        <v>45884</v>
      </c>
      <c r="I52" s="15"/>
      <c r="J52" s="15"/>
      <c r="K52" s="15">
        <f t="shared" si="12"/>
        <v>45894</v>
      </c>
      <c r="L52" s="15"/>
      <c r="M52" s="15">
        <f t="shared" si="13"/>
        <v>45919</v>
      </c>
      <c r="N52" s="13">
        <v>45898</v>
      </c>
      <c r="O52" s="2">
        <f>IF(ISERROR(SEARCH("Poço",D52)),IF(N52="","Erro",IF(Q52="Reprovado","Reprovado",IF(D52="Operacional", WORKDAY(N52,10,FERIADOS!$A$3:$A$119),IF(D52="Óleo - Enxofre", "NA", G52+3)))),"")</f>
        <v>45912</v>
      </c>
      <c r="P52" s="21">
        <v>45911</v>
      </c>
      <c r="Q52" s="7" t="s">
        <v>37</v>
      </c>
      <c r="R52" s="13"/>
      <c r="S52" s="30"/>
      <c r="T52" s="34"/>
      <c r="W52" t="str">
        <f t="shared" si="7"/>
        <v>CDIT71-AX-0402 (LP Degasser)</v>
      </c>
      <c r="X5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3" spans="1:24" ht="12.5" x14ac:dyDescent="0.25">
      <c r="A53" s="10"/>
      <c r="B53" s="19" t="s">
        <v>31</v>
      </c>
      <c r="C53" s="5" t="s">
        <v>291</v>
      </c>
      <c r="D53" s="20" t="s">
        <v>267</v>
      </c>
      <c r="E53" s="36"/>
      <c r="F53" s="25" cm="1">
        <f t="array" ref="F53">IF(V53 &lt;&gt; "", V53,
  IF(NOT(ISERROR(SEARCH("Poço", D53))),
    IF(G53 = "", "", G53),
    IFERROR(_xlfn.SINGLE(INDEX($G$1:G52, SUMPRODUCT(MAX(($W$1:W52 = W53) * ROW($W$1:W52))))) +
      IF(
      D53 = "Fiscal", 30,
        IF(D53 = "Óleo - Densidade", IF(OR(B53 = "SEP", B53 = "ATD", B53 = "ADG"), 90, 365),
          IF(D53 = "Óleo - Enxofre", 365, 180)
        )
      ),
      ""
    )
  )
)</f>
        <v>45889</v>
      </c>
      <c r="G53" s="21">
        <v>45874</v>
      </c>
      <c r="H53" s="15">
        <f t="shared" si="11"/>
        <v>45884</v>
      </c>
      <c r="I53" s="15"/>
      <c r="J53" s="15"/>
      <c r="K53" s="15">
        <f t="shared" si="12"/>
        <v>45894</v>
      </c>
      <c r="L53" s="15"/>
      <c r="M53" s="15">
        <f t="shared" si="13"/>
        <v>45919</v>
      </c>
      <c r="N53" s="13">
        <v>45898</v>
      </c>
      <c r="O53" s="2">
        <f>IF(ISERROR(SEARCH("Poço",D53)),IF(N53="","Erro",IF(Q53="Reprovado","Reprovado",IF(D53="Operacional", WORKDAY(N53,10,FERIADOS!$A$3:$A$119),IF(D53="Óleo - Enxofre", "NA", G53+3)))),"")</f>
        <v>45912</v>
      </c>
      <c r="P53" s="21">
        <v>45911</v>
      </c>
      <c r="Q53" s="7" t="s">
        <v>37</v>
      </c>
      <c r="R53" s="13"/>
      <c r="S53" s="30"/>
      <c r="T53" s="34"/>
      <c r="W53" t="str">
        <f t="shared" si="7"/>
        <v>CDIT75-AP-1139 (Injection Gas)</v>
      </c>
      <c r="X5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4" spans="1:24" ht="12.5" x14ac:dyDescent="0.25">
      <c r="A54" s="10"/>
      <c r="B54" s="19" t="s">
        <v>31</v>
      </c>
      <c r="C54" s="5" t="s">
        <v>286</v>
      </c>
      <c r="D54" s="20" t="s">
        <v>267</v>
      </c>
      <c r="E54" s="36"/>
      <c r="F54" s="25" cm="1">
        <f t="array" ref="F54">IF(V54 &lt;&gt; "", V54,
  IF(NOT(ISERROR(SEARCH("Poço", D54))),
    IF(G54 = "", "", G54),
    IFERROR(_xlfn.SINGLE(INDEX($G$1:G53, SUMPRODUCT(MAX(($W$1:W53 = W54) * ROW($W$1:W53))))) +
      IF(
      D54 = "Fiscal", 30,
        IF(D54 = "Óleo - Densidade", IF(OR(B54 = "SEP", B54 = "ATD", B54 = "ADG"), 90, 365),
          IF(D54 = "Óleo - Enxofre", 365, 180)
        )
      ),
      ""
    )
  )
)</f>
        <v>45889</v>
      </c>
      <c r="G54" s="21">
        <v>45874</v>
      </c>
      <c r="H54" s="15">
        <f t="shared" si="11"/>
        <v>45884</v>
      </c>
      <c r="I54" s="15"/>
      <c r="J54" s="15"/>
      <c r="K54" s="15">
        <f t="shared" si="12"/>
        <v>45894</v>
      </c>
      <c r="L54" s="15"/>
      <c r="M54" s="15">
        <f t="shared" si="13"/>
        <v>45919</v>
      </c>
      <c r="N54" s="13">
        <v>45898</v>
      </c>
      <c r="O54" s="2">
        <f>IF(ISERROR(SEARCH("Poço",D54)),IF(N54="","Erro",IF(Q54="Reprovado","Reprovado",IF(D54="Operacional", WORKDAY(N54,10,FERIADOS!$A$3:$A$119),IF(D54="Óleo - Enxofre", "NA", G54+3)))),"")</f>
        <v>45912</v>
      </c>
      <c r="P54" s="21">
        <v>45911</v>
      </c>
      <c r="Q54" s="7" t="s">
        <v>37</v>
      </c>
      <c r="R54" s="13"/>
      <c r="S54" s="30"/>
      <c r="T54" s="34"/>
      <c r="W54" t="str">
        <f t="shared" si="7"/>
        <v>CDIT71-AX-0202 (IP Flash Vessel)</v>
      </c>
      <c r="X5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5" spans="1:24" ht="12.5" x14ac:dyDescent="0.25">
      <c r="A55" s="10"/>
      <c r="B55" s="19" t="s">
        <v>52</v>
      </c>
      <c r="C55" s="5" t="s">
        <v>281</v>
      </c>
      <c r="D55" s="20" t="s">
        <v>267</v>
      </c>
      <c r="E55" s="36"/>
      <c r="F55" s="25" cm="1">
        <f t="array" ref="F55">IF(V55 &lt;&gt; "", V55,
  IF(NOT(ISERROR(SEARCH("Poço", D55))),
    IF(G55 = "", "", G55),
    IFERROR(_xlfn.SINGLE(INDEX($G$1:G54, SUMPRODUCT(MAX(($W$1:W54 = W55) * ROW($W$1:W54))))) +
      IF(
      D55 = "Fiscal", 30,
        IF(D55 = "Óleo - Densidade", IF(OR(B55 = "SEP", B55 = "ATD", B55 = "ADG"), 90, 365),
          IF(D55 = "Óleo - Enxofre", 365, 180)
        )
      ),
      ""
    )
  )
)</f>
        <v>45900</v>
      </c>
      <c r="G55" s="21">
        <v>45882</v>
      </c>
      <c r="H55" s="15">
        <f t="shared" ref="H55:H59" si="14">IF(G55="","Erro",IF(D55="Óleo - Densidade", "NA", G55+10))</f>
        <v>45892</v>
      </c>
      <c r="I55" s="15"/>
      <c r="J55" s="15"/>
      <c r="K55" s="15">
        <f t="shared" ref="K55:K59" si="15">IF(G55="","Erro",IF(D55="Óleo - Densidade", "NA", G55+20))</f>
        <v>45902</v>
      </c>
      <c r="L55" s="15"/>
      <c r="M55" s="15">
        <f t="shared" ref="M55:M59" si="16">IF(G55="","Erro",G55+IF(D55="Fiscal",25,IF(D55="Óleo - Densidade", 1, IF(D55="Óleo - Enxofre", 25, 45))))</f>
        <v>45927</v>
      </c>
      <c r="N55" s="13">
        <v>45910</v>
      </c>
      <c r="O55" s="2">
        <f>IF(ISERROR(SEARCH("Poço",D55)),IF(N55="","Erro",IF(Q55="Reprovado","Reprovado",IF(D55="Operacional", WORKDAY(N55,10,FERIADOS!$A$3:$A$119),IF(D55="Óleo - Enxofre", "NA", G55+3)))),"")</f>
        <v>45924</v>
      </c>
      <c r="P55" s="21">
        <v>45909</v>
      </c>
      <c r="Q55" s="7" t="s">
        <v>37</v>
      </c>
      <c r="R55" s="13"/>
      <c r="S55" s="30"/>
      <c r="T55" s="34"/>
      <c r="W55" t="str">
        <f t="shared" si="7"/>
        <v>SEP775-AP-6008 (Gas de Injeção)</v>
      </c>
      <c r="X5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6" spans="1:24" ht="12.5" x14ac:dyDescent="0.25">
      <c r="A56" s="10"/>
      <c r="B56" s="19" t="s">
        <v>46</v>
      </c>
      <c r="C56" s="5" t="s">
        <v>284</v>
      </c>
      <c r="D56" s="20" t="s">
        <v>267</v>
      </c>
      <c r="E56" s="36"/>
      <c r="F56" s="25" cm="1">
        <f t="array" ref="F56">IF(V56 &lt;&gt; "", V56,
  IF(NOT(ISERROR(SEARCH("Poço", D56))),
    IF(G56 = "", "", G56),
    IFERROR(_xlfn.SINGLE(INDEX($G$1:G55, SUMPRODUCT(MAX(($W$1:W55 = W56) * ROW($W$1:W55))))) +
      IF(
      D56 = "Fiscal", 30,
        IF(D56 = "Óleo - Densidade", IF(OR(B56 = "SEP", B56 = "ATD", B56 = "ADG"), 90, 365),
          IF(D56 = "Óleo - Enxofre", 365, 180)
        )
      ),
      ""
    )
  )
)</f>
        <v>45904</v>
      </c>
      <c r="G56" s="21">
        <v>45752</v>
      </c>
      <c r="H56" s="15">
        <f t="shared" si="14"/>
        <v>45762</v>
      </c>
      <c r="I56" s="15"/>
      <c r="J56" s="15"/>
      <c r="K56" s="15">
        <f t="shared" si="15"/>
        <v>45772</v>
      </c>
      <c r="L56" s="15"/>
      <c r="M56" s="15">
        <f t="shared" si="16"/>
        <v>45797</v>
      </c>
      <c r="N56" s="13">
        <v>45777</v>
      </c>
      <c r="O56" s="2">
        <f>IF(ISERROR(SEARCH("Poço",D56)),IF(N56="","Erro",IF(Q56="Reprovado","Reprovado",IF(D56="Operacional", WORKDAY(N56,10,FERIADOS!$A$3:$A$119),IF(D56="Óleo - Enxofre", "NA", G56+3)))),"")</f>
        <v>45792</v>
      </c>
      <c r="P56" s="21">
        <v>45783</v>
      </c>
      <c r="Q56" s="7" t="s">
        <v>37</v>
      </c>
      <c r="R56" s="13"/>
      <c r="S56" s="30"/>
      <c r="T56" s="34"/>
      <c r="W56" t="str">
        <f t="shared" si="7"/>
        <v>CDMT75-AX-1139 (Injection Gas)</v>
      </c>
      <c r="X5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7" spans="1:24" ht="12.5" x14ac:dyDescent="0.25">
      <c r="A57" s="10"/>
      <c r="B57" s="19" t="s">
        <v>24</v>
      </c>
      <c r="C57" s="5" t="s">
        <v>276</v>
      </c>
      <c r="D57" s="20" t="s">
        <v>267</v>
      </c>
      <c r="E57" s="36"/>
      <c r="F57" s="25" cm="1">
        <f t="array" ref="F57">IF(V57 &lt;&gt; "", V57,
  IF(NOT(ISERROR(SEARCH("Poço", D57))),
    IF(G57 = "", "", G57),
    IFERROR(_xlfn.SINGLE(INDEX($G$1:G56, SUMPRODUCT(MAX(($W$1:W56 = W57) * ROW($W$1:W56))))) +
      IF(
      D57 = "Fiscal", 30,
        IF(D57 = "Óleo - Densidade", IF(OR(B57 = "SEP", B57 = "ATD", B57 = "ADG"), 90, 365),
          IF(D57 = "Óleo - Enxofre", 365, 180)
        )
      ),
      ""
    )
  )
)</f>
        <v>45910</v>
      </c>
      <c r="G57" s="21">
        <v>45909</v>
      </c>
      <c r="H57" s="15">
        <f t="shared" si="14"/>
        <v>45919</v>
      </c>
      <c r="I57" s="15">
        <v>45918</v>
      </c>
      <c r="J57" s="32" t="s">
        <v>218</v>
      </c>
      <c r="K57" s="15">
        <f t="shared" si="15"/>
        <v>45929</v>
      </c>
      <c r="L57" s="15">
        <v>45925</v>
      </c>
      <c r="M57" s="15">
        <f t="shared" si="16"/>
        <v>45954</v>
      </c>
      <c r="N57" s="13">
        <v>45933</v>
      </c>
      <c r="O57" s="2">
        <f>IF(ISERROR(SEARCH("Poço",D57)),IF(N57="","Erro",IF(Q57="Reprovado","Reprovado",IF(D57="Operacional", WORKDAY(N57,10,FERIADOS!$A$3:$A$119),IF(D57="Óleo - Enxofre", "NA", G57+3)))),"")</f>
        <v>45947</v>
      </c>
      <c r="P57" s="21">
        <v>45938</v>
      </c>
      <c r="Q57" s="7" t="s">
        <v>37</v>
      </c>
      <c r="R57" s="13"/>
      <c r="S57" s="30"/>
      <c r="T57" s="34"/>
      <c r="W57" t="str">
        <f t="shared" si="7"/>
        <v>CDAT71-SP-372 HP-A (CG)</v>
      </c>
      <c r="X5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8" spans="1:24" ht="12.5" x14ac:dyDescent="0.25">
      <c r="A58" s="10"/>
      <c r="B58" s="19" t="s">
        <v>24</v>
      </c>
      <c r="C58" s="5" t="s">
        <v>278</v>
      </c>
      <c r="D58" s="20" t="s">
        <v>267</v>
      </c>
      <c r="E58" s="36"/>
      <c r="F58" s="25" cm="1">
        <f t="array" ref="F58">IF(V58 &lt;&gt; "", V58,
  IF(NOT(ISERROR(SEARCH("Poço", D58))),
    IF(G58 = "", "", G58),
    IFERROR(_xlfn.SINGLE(INDEX($G$1:G57, SUMPRODUCT(MAX(($W$1:W57 = W58) * ROW($W$1:W57))))) +
      IF(
      D58 = "Fiscal", 30,
        IF(D58 = "Óleo - Densidade", IF(OR(B58 = "SEP", B58 = "ATD", B58 = "ADG"), 90, 365),
          IF(D58 = "Óleo - Enxofre", 365, 180)
        )
      ),
      ""
    )
  )
)</f>
        <v>45910</v>
      </c>
      <c r="G58" s="21">
        <v>45909</v>
      </c>
      <c r="H58" s="15">
        <f t="shared" si="14"/>
        <v>45919</v>
      </c>
      <c r="I58" s="15">
        <v>45918</v>
      </c>
      <c r="J58" s="32" t="s">
        <v>218</v>
      </c>
      <c r="K58" s="15">
        <f t="shared" si="15"/>
        <v>45929</v>
      </c>
      <c r="L58" s="15">
        <v>45925</v>
      </c>
      <c r="M58" s="15">
        <f t="shared" si="16"/>
        <v>45954</v>
      </c>
      <c r="N58" s="13">
        <v>45933</v>
      </c>
      <c r="O58" s="2">
        <f>IF(ISERROR(SEARCH("Poço",D58)),IF(N58="","Erro",IF(Q58="Reprovado","Reprovado",IF(D58="Operacional", WORKDAY(N58,10,FERIADOS!$A$3:$A$119),IF(D58="Óleo - Enxofre", "NA", G58+3)))),"")</f>
        <v>45947</v>
      </c>
      <c r="P58" s="21">
        <v>45938</v>
      </c>
      <c r="Q58" s="7" t="s">
        <v>37</v>
      </c>
      <c r="R58" s="13"/>
      <c r="S58" s="30"/>
      <c r="T58" s="34"/>
      <c r="W58" t="str">
        <f t="shared" si="7"/>
        <v>CDAT71-SP-376 HP-B (CG)</v>
      </c>
      <c r="X5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59" spans="1:24" ht="12.5" x14ac:dyDescent="0.25">
      <c r="A59" s="10"/>
      <c r="B59" s="19" t="s">
        <v>24</v>
      </c>
      <c r="C59" s="5" t="s">
        <v>280</v>
      </c>
      <c r="D59" s="20" t="s">
        <v>267</v>
      </c>
      <c r="E59" s="36"/>
      <c r="F59" s="25" cm="1">
        <f t="array" ref="F59">IF(V59 &lt;&gt; "", V59,
  IF(NOT(ISERROR(SEARCH("Poço", D59))),
    IF(G59 = "", "", G59),
    IFERROR(_xlfn.SINGLE(INDEX($G$1:G58, SUMPRODUCT(MAX(($W$1:W58 = W59) * ROW($W$1:W58))))) +
      IF(
      D59 = "Fiscal", 30,
        IF(D59 = "Óleo - Densidade", IF(OR(B59 = "SEP", B59 = "ATD", B59 = "ADG"), 90, 365),
          IF(D59 = "Óleo - Enxofre", 365, 180)
        )
      ),
      ""
    )
  )
)</f>
        <v>45910</v>
      </c>
      <c r="G59" s="21">
        <v>45909</v>
      </c>
      <c r="H59" s="15">
        <f t="shared" si="14"/>
        <v>45919</v>
      </c>
      <c r="I59" s="15">
        <v>45918</v>
      </c>
      <c r="J59" s="32" t="s">
        <v>218</v>
      </c>
      <c r="K59" s="15">
        <f t="shared" si="15"/>
        <v>45929</v>
      </c>
      <c r="L59" s="15">
        <v>45925</v>
      </c>
      <c r="M59" s="15">
        <f t="shared" si="16"/>
        <v>45954</v>
      </c>
      <c r="N59" s="13">
        <v>45933</v>
      </c>
      <c r="O59" s="2">
        <f>IF(ISERROR(SEARCH("Poço",D59)),IF(N59="","Erro",IF(Q59="Reprovado","Reprovado",IF(D59="Operacional", WORKDAY(N59,10,FERIADOS!$A$3:$A$119),IF(D59="Óleo - Enxofre", "NA", G59+3)))),"")</f>
        <v>45947</v>
      </c>
      <c r="P59" s="21">
        <v>45938</v>
      </c>
      <c r="Q59" s="7" t="s">
        <v>37</v>
      </c>
      <c r="R59" s="13"/>
      <c r="S59" s="30"/>
      <c r="T59" s="34"/>
      <c r="W59" t="str">
        <f t="shared" si="7"/>
        <v>CDAPST-223 2º SEP</v>
      </c>
      <c r="X5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0" spans="1:24" ht="12.5" x14ac:dyDescent="0.25">
      <c r="A60" s="10"/>
      <c r="B60" s="17" t="s">
        <v>145</v>
      </c>
      <c r="C60" s="6" t="s">
        <v>305</v>
      </c>
      <c r="D60" s="18" t="s">
        <v>267</v>
      </c>
      <c r="E60" s="36"/>
      <c r="F60" s="25" t="str" cm="1">
        <f t="array" ref="F60">IF(V60 &lt;&gt; "", V60,
  IF(NOT(ISERROR(SEARCH("Poço", D60))),
    IF(G60 = "", "", G60),
    IFERROR(_xlfn.SINGLE(INDEX($G$1:G59, SUMPRODUCT(MAX(($W$1:W59 = W60) * ROW($W$1:W59))))) +
      IF(
      D60 = "Fiscal", 30,
        IF(D60 = "Óleo - Densidade", IF(OR(B60 = "SEP", B60 = "ATD", B60 = "ADG"), 90, 365),
          IF(D60 = "Óleo - Enxofre", 365, 180)
        )
      ),
      ""
    )
  )
)</f>
        <v/>
      </c>
      <c r="G60" s="16">
        <v>45736</v>
      </c>
      <c r="H60" s="15">
        <f t="shared" ref="H60:H67" si="17">IF(G60="","Erro",IF(D60="Óleo - Densidade", "NA", G60+10))</f>
        <v>45746</v>
      </c>
      <c r="I60" s="15"/>
      <c r="J60" s="15"/>
      <c r="K60" s="15">
        <f t="shared" ref="K60:K67" si="18">IF(G60="","Erro",IF(D60="Óleo - Densidade", "NA", G60+20))</f>
        <v>45756</v>
      </c>
      <c r="L60" s="15"/>
      <c r="M60" s="15">
        <f t="shared" ref="M60:M67" si="19">IF(G60="","Erro",G60+IF(D60="Fiscal",25,IF(D60="Óleo - Densidade", 1, IF(D60="Óleo - Enxofre", 25, 45))))</f>
        <v>45781</v>
      </c>
      <c r="N60" s="12">
        <v>45758</v>
      </c>
      <c r="O60" s="1">
        <f>IF(ISERROR(SEARCH("Poço",D60)),IF(N60="","Erro",IF(Q60="Reprovado","Reprovado",IF(D60="Operacional", WORKDAY(N60,10,FERIADOS!$A$3:$A$119),IF(D60="Óleo - Enxofre", "NA", G60+3)))),"")</f>
        <v>45776</v>
      </c>
      <c r="P60" s="16">
        <v>45776</v>
      </c>
      <c r="Q60" s="7" t="s">
        <v>37</v>
      </c>
      <c r="R60" s="12"/>
      <c r="S60" s="27"/>
      <c r="T60" s="23"/>
      <c r="W60" t="str">
        <f t="shared" si="7"/>
        <v>ATD771-AP-0202A (IP Degasser A)</v>
      </c>
      <c r="X6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1" spans="1:24" ht="12.5" x14ac:dyDescent="0.25">
      <c r="A61" s="10"/>
      <c r="B61" s="17" t="s">
        <v>145</v>
      </c>
      <c r="C61" s="6" t="s">
        <v>306</v>
      </c>
      <c r="D61" s="18" t="s">
        <v>267</v>
      </c>
      <c r="E61" s="36"/>
      <c r="F61" s="25" t="str" cm="1">
        <f t="array" ref="F61">IF(V61 &lt;&gt; "", V61,
  IF(NOT(ISERROR(SEARCH("Poço", D61))),
    IF(G61 = "", "", G61),
    IFERROR(_xlfn.SINGLE(INDEX($G$1:G60, SUMPRODUCT(MAX(($W$1:W60 = W61) * ROW($W$1:W60))))) +
      IF(
      D61 = "Fiscal", 30,
        IF(D61 = "Óleo - Densidade", IF(OR(B61 = "SEP", B61 = "ATD", B61 = "ADG"), 90, 365),
          IF(D61 = "Óleo - Enxofre", 365, 180)
        )
      ),
      ""
    )
  )
)</f>
        <v/>
      </c>
      <c r="G61" s="16">
        <v>45736</v>
      </c>
      <c r="H61" s="15">
        <f t="shared" si="17"/>
        <v>45746</v>
      </c>
      <c r="I61" s="15"/>
      <c r="J61" s="15"/>
      <c r="K61" s="15">
        <f t="shared" si="18"/>
        <v>45756</v>
      </c>
      <c r="L61" s="15"/>
      <c r="M61" s="15">
        <f t="shared" si="19"/>
        <v>45781</v>
      </c>
      <c r="N61" s="12">
        <v>45758</v>
      </c>
      <c r="O61" s="1">
        <f>IF(ISERROR(SEARCH("Poço",D61)),IF(N61="","Erro",IF(Q61="Reprovado","Reprovado",IF(D61="Operacional", WORKDAY(N61,10,FERIADOS!$A$3:$A$119),IF(D61="Óleo - Enxofre", "NA", G61+3)))),"")</f>
        <v>45776</v>
      </c>
      <c r="P61" s="16">
        <v>45776</v>
      </c>
      <c r="Q61" s="7" t="s">
        <v>37</v>
      </c>
      <c r="R61" s="12"/>
      <c r="S61" s="27"/>
      <c r="T61" s="23"/>
      <c r="W61" t="str">
        <f t="shared" si="7"/>
        <v>ATD771-AP-0253A (LP Degasser A)</v>
      </c>
      <c r="X6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2" spans="1:24" ht="12.5" x14ac:dyDescent="0.25">
      <c r="A62" s="10"/>
      <c r="B62" s="17" t="s">
        <v>145</v>
      </c>
      <c r="C62" s="6" t="s">
        <v>288</v>
      </c>
      <c r="D62" s="18" t="s">
        <v>267</v>
      </c>
      <c r="E62" s="36"/>
      <c r="F62" s="25" t="str" cm="1">
        <f t="array" ref="F62">IF(V62 &lt;&gt; "", V62,
  IF(NOT(ISERROR(SEARCH("Poço", D62))),
    IF(G62 = "", "", G62),
    IFERROR(_xlfn.SINGLE(INDEX($G$1:G61, SUMPRODUCT(MAX(($W$1:W61 = W62) * ROW($W$1:W61))))) +
      IF(
      D62 = "Fiscal", 30,
        IF(D62 = "Óleo - Densidade", IF(OR(B62 = "SEP", B62 = "ATD", B62 = "ADG"), 90, 365),
          IF(D62 = "Óleo - Enxofre", 365, 180)
        )
      ),
      ""
    )
  )
)</f>
        <v/>
      </c>
      <c r="G62" s="16">
        <v>45736</v>
      </c>
      <c r="H62" s="15">
        <f t="shared" si="17"/>
        <v>45746</v>
      </c>
      <c r="I62" s="15"/>
      <c r="J62" s="15"/>
      <c r="K62" s="15">
        <f t="shared" si="18"/>
        <v>45756</v>
      </c>
      <c r="L62" s="15"/>
      <c r="M62" s="15">
        <f t="shared" si="19"/>
        <v>45781</v>
      </c>
      <c r="N62" s="12">
        <v>45758</v>
      </c>
      <c r="O62" s="1">
        <f>IF(ISERROR(SEARCH("Poço",D62)),IF(N62="","Erro",IF(Q62="Reprovado","Reprovado",IF(D62="Operacional", WORKDAY(N62,10,FERIADOS!$A$3:$A$119),IF(D62="Óleo - Enxofre", "NA", G62+3)))),"")</f>
        <v>45776</v>
      </c>
      <c r="P62" s="16">
        <v>45776</v>
      </c>
      <c r="Q62" s="7" t="s">
        <v>37</v>
      </c>
      <c r="R62" s="12"/>
      <c r="S62" s="27"/>
      <c r="T62" s="23"/>
      <c r="W62" t="str">
        <f t="shared" si="7"/>
        <v>ATD772-AP-1710 (Gas Dehydration)</v>
      </c>
      <c r="X6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3" spans="1:24" ht="12.5" x14ac:dyDescent="0.25">
      <c r="A63" s="10"/>
      <c r="B63" s="17" t="s">
        <v>145</v>
      </c>
      <c r="C63" s="6" t="s">
        <v>289</v>
      </c>
      <c r="D63" s="18" t="s">
        <v>267</v>
      </c>
      <c r="E63" s="36"/>
      <c r="F63" s="25" t="str" cm="1">
        <f t="array" ref="F63">IF(V63 &lt;&gt; "", V63,
  IF(NOT(ISERROR(SEARCH("Poço", D63))),
    IF(G63 = "", "", G63),
    IFERROR(_xlfn.SINGLE(INDEX($G$1:G62, SUMPRODUCT(MAX(($W$1:W62 = W63) * ROW($W$1:W62))))) +
      IF(
      D63 = "Fiscal", 30,
        IF(D63 = "Óleo - Densidade", IF(OR(B63 = "SEP", B63 = "ATD", B63 = "ADG"), 90, 365),
          IF(D63 = "Óleo - Enxofre", 365, 180)
        )
      ),
      ""
    )
  )
)</f>
        <v/>
      </c>
      <c r="G63" s="16">
        <v>45736</v>
      </c>
      <c r="H63" s="15">
        <f t="shared" si="17"/>
        <v>45746</v>
      </c>
      <c r="I63" s="15"/>
      <c r="J63" s="15"/>
      <c r="K63" s="15">
        <f t="shared" si="18"/>
        <v>45756</v>
      </c>
      <c r="L63" s="15"/>
      <c r="M63" s="15">
        <f t="shared" si="19"/>
        <v>45781</v>
      </c>
      <c r="N63" s="12">
        <v>45758</v>
      </c>
      <c r="O63" s="1">
        <f>IF(ISERROR(SEARCH("Poço",D63)),IF(N63="","Erro",IF(Q63="Reprovado","Reprovado",IF(D63="Operacional", WORKDAY(N63,10,FERIADOS!$A$3:$A$119),IF(D63="Óleo - Enxofre", "NA", G63+3)))),"")</f>
        <v>45776</v>
      </c>
      <c r="P63" s="16">
        <v>45776</v>
      </c>
      <c r="Q63" s="7" t="s">
        <v>37</v>
      </c>
      <c r="R63" s="12"/>
      <c r="S63" s="27"/>
      <c r="T63" s="23"/>
      <c r="W63" t="str">
        <f t="shared" si="7"/>
        <v>ATD777-AP-1211 (Flare Pilot)</v>
      </c>
      <c r="X6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4" spans="1:24" ht="12.5" x14ac:dyDescent="0.25">
      <c r="A64" s="10"/>
      <c r="B64" s="19" t="s">
        <v>145</v>
      </c>
      <c r="C64" s="5" t="s">
        <v>305</v>
      </c>
      <c r="D64" s="20" t="s">
        <v>267</v>
      </c>
      <c r="E64" s="36"/>
      <c r="F64" s="25" cm="1">
        <f t="array" ref="F64">IF(V64 &lt;&gt; "", V64,
  IF(NOT(ISERROR(SEARCH("Poço", D64))),
    IF(G64 = "", "", G64),
    IFERROR(_xlfn.SINGLE(INDEX($G$1:G63, SUMPRODUCT(MAX(($W$1:W63 = W64) * ROW($W$1:W63))))) +
      IF(
      D64 = "Fiscal", 30,
        IF(D64 = "Óleo - Densidade", IF(OR(B64 = "SEP", B64 = "ATD", B64 = "ADG"), 90, 365),
          IF(D64 = "Óleo - Enxofre", 365, 180)
        )
      ),
      ""
    )
  )
)</f>
        <v>45916</v>
      </c>
      <c r="G64" s="21">
        <v>45849</v>
      </c>
      <c r="H64" s="15">
        <f t="shared" si="17"/>
        <v>45859</v>
      </c>
      <c r="I64" s="15"/>
      <c r="J64" s="15"/>
      <c r="K64" s="15">
        <f t="shared" si="18"/>
        <v>45869</v>
      </c>
      <c r="L64" s="15"/>
      <c r="M64" s="15">
        <f t="shared" si="19"/>
        <v>45894</v>
      </c>
      <c r="N64" s="13">
        <v>45854</v>
      </c>
      <c r="O64" s="2">
        <f>IF(ISERROR(SEARCH("Poço",D64)),IF(N64="","Erro",IF(Q64="Reprovado","Reprovado",IF(D64="Operacional", WORKDAY(N64,10,FERIADOS!$A$3:$A$119),IF(D64="Óleo - Enxofre", "NA", G64+3)))),"")</f>
        <v>45868</v>
      </c>
      <c r="P64" s="21">
        <v>45867</v>
      </c>
      <c r="Q64" s="7" t="s">
        <v>37</v>
      </c>
      <c r="R64" s="13"/>
      <c r="S64" s="30"/>
      <c r="T64" s="34"/>
      <c r="W64" t="str">
        <f t="shared" si="7"/>
        <v>ATD771-AP-0202A (IP Degasser A)</v>
      </c>
      <c r="X6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5" spans="1:24" ht="12.5" x14ac:dyDescent="0.25">
      <c r="A65" s="10"/>
      <c r="B65" s="19" t="s">
        <v>145</v>
      </c>
      <c r="C65" s="5" t="s">
        <v>306</v>
      </c>
      <c r="D65" s="20" t="s">
        <v>267</v>
      </c>
      <c r="E65" s="36"/>
      <c r="F65" s="25" cm="1">
        <f t="array" ref="F65">IF(V65 &lt;&gt; "", V65,
  IF(NOT(ISERROR(SEARCH("Poço", D65))),
    IF(G65 = "", "", G65),
    IFERROR(_xlfn.SINGLE(INDEX($G$1:G64, SUMPRODUCT(MAX(($W$1:W64 = W65) * ROW($W$1:W64))))) +
      IF(
      D65 = "Fiscal", 30,
        IF(D65 = "Óleo - Densidade", IF(OR(B65 = "SEP", B65 = "ATD", B65 = "ADG"), 90, 365),
          IF(D65 = "Óleo - Enxofre", 365, 180)
        )
      ),
      ""
    )
  )
)</f>
        <v>45916</v>
      </c>
      <c r="G65" s="21">
        <v>45849</v>
      </c>
      <c r="H65" s="15">
        <f t="shared" si="17"/>
        <v>45859</v>
      </c>
      <c r="I65" s="15"/>
      <c r="J65" s="15"/>
      <c r="K65" s="15">
        <f t="shared" si="18"/>
        <v>45869</v>
      </c>
      <c r="L65" s="15"/>
      <c r="M65" s="15">
        <f t="shared" si="19"/>
        <v>45894</v>
      </c>
      <c r="N65" s="13">
        <v>45854</v>
      </c>
      <c r="O65" s="2">
        <f>IF(ISERROR(SEARCH("Poço",D65)),IF(N65="","Erro",IF(Q65="Reprovado","Reprovado",IF(D65="Operacional", WORKDAY(N65,10,FERIADOS!$A$3:$A$119),IF(D65="Óleo - Enxofre", "NA", G65+3)))),"")</f>
        <v>45868</v>
      </c>
      <c r="P65" s="21">
        <v>45867</v>
      </c>
      <c r="Q65" s="7" t="s">
        <v>37</v>
      </c>
      <c r="R65" s="13"/>
      <c r="S65" s="30"/>
      <c r="T65" s="34"/>
      <c r="W65" t="str">
        <f t="shared" si="7"/>
        <v>ATD771-AP-0253A (LP Degasser A)</v>
      </c>
      <c r="X6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6" spans="1:24" ht="12.5" x14ac:dyDescent="0.25">
      <c r="A66" s="10"/>
      <c r="B66" s="19" t="s">
        <v>145</v>
      </c>
      <c r="C66" s="5" t="s">
        <v>288</v>
      </c>
      <c r="D66" s="20" t="s">
        <v>267</v>
      </c>
      <c r="E66" s="36"/>
      <c r="F66" s="25" cm="1">
        <f t="array" ref="F66">IF(V66 &lt;&gt; "", V66,
  IF(NOT(ISERROR(SEARCH("Poço", D66))),
    IF(G66 = "", "", G66),
    IFERROR(_xlfn.SINGLE(INDEX($G$1:G65, SUMPRODUCT(MAX(($W$1:W65 = W66) * ROW($W$1:W65))))) +
      IF(
      D66 = "Fiscal", 30,
        IF(D66 = "Óleo - Densidade", IF(OR(B66 = "SEP", B66 = "ATD", B66 = "ADG"), 90, 365),
          IF(D66 = "Óleo - Enxofre", 365, 180)
        )
      ),
      ""
    )
  )
)</f>
        <v>45916</v>
      </c>
      <c r="G66" s="21">
        <v>45849</v>
      </c>
      <c r="H66" s="15">
        <f t="shared" si="17"/>
        <v>45859</v>
      </c>
      <c r="I66" s="15"/>
      <c r="J66" s="15"/>
      <c r="K66" s="15">
        <f t="shared" si="18"/>
        <v>45869</v>
      </c>
      <c r="L66" s="15"/>
      <c r="M66" s="15">
        <f t="shared" si="19"/>
        <v>45894</v>
      </c>
      <c r="N66" s="13">
        <v>45862</v>
      </c>
      <c r="O66" s="2">
        <f>IF(ISERROR(SEARCH("Poço",D66)),IF(N66="","Erro",IF(Q66="Reprovado","Reprovado",IF(D66="Operacional", WORKDAY(N66,10,FERIADOS!$A$3:$A$119),IF(D66="Óleo - Enxofre", "NA", G66+3)))),"")</f>
        <v>45876</v>
      </c>
      <c r="P66" s="21">
        <v>45867</v>
      </c>
      <c r="Q66" s="7" t="s">
        <v>37</v>
      </c>
      <c r="R66" s="13"/>
      <c r="S66" s="30"/>
      <c r="T66" s="34"/>
      <c r="W66" t="str">
        <f t="shared" si="7"/>
        <v>ATD772-AP-1710 (Gas Dehydration)</v>
      </c>
      <c r="X6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7" spans="1:24" ht="12.5" x14ac:dyDescent="0.25">
      <c r="A67" s="10"/>
      <c r="B67" s="19" t="s">
        <v>145</v>
      </c>
      <c r="C67" s="5" t="s">
        <v>289</v>
      </c>
      <c r="D67" s="20" t="s">
        <v>267</v>
      </c>
      <c r="E67" s="36"/>
      <c r="F67" s="25" cm="1">
        <f t="array" ref="F67">IF(V67 &lt;&gt; "", V67,
  IF(NOT(ISERROR(SEARCH("Poço", D67))),
    IF(G67 = "", "", G67),
    IFERROR(_xlfn.SINGLE(INDEX($G$1:G66, SUMPRODUCT(MAX(($W$1:W66 = W67) * ROW($W$1:W66))))) +
      IF(
      D67 = "Fiscal", 30,
        IF(D67 = "Óleo - Densidade", IF(OR(B67 = "SEP", B67 = "ATD", B67 = "ADG"), 90, 365),
          IF(D67 = "Óleo - Enxofre", 365, 180)
        )
      ),
      ""
    )
  )
)</f>
        <v>45916</v>
      </c>
      <c r="G67" s="21">
        <v>45764</v>
      </c>
      <c r="H67" s="15">
        <f t="shared" si="17"/>
        <v>45774</v>
      </c>
      <c r="I67" s="15"/>
      <c r="J67" s="15"/>
      <c r="K67" s="15">
        <f t="shared" si="18"/>
        <v>45784</v>
      </c>
      <c r="L67" s="15"/>
      <c r="M67" s="15">
        <f t="shared" si="19"/>
        <v>45809</v>
      </c>
      <c r="N67" s="13">
        <v>45807</v>
      </c>
      <c r="O67" s="2">
        <f>IF(ISERROR(SEARCH("Poço",D67)),IF(N67="","Erro",IF(Q67="Reprovado","Reprovado",IF(D67="Operacional", WORKDAY(N67,10,FERIADOS!$A$3:$A$119),IF(D67="Óleo - Enxofre", "NA", G67+3)))),"")</f>
        <v>45821</v>
      </c>
      <c r="P67" s="21">
        <v>45812</v>
      </c>
      <c r="Q67" s="7" t="s">
        <v>37</v>
      </c>
      <c r="R67" s="13"/>
      <c r="S67" s="30"/>
      <c r="T67" s="34"/>
      <c r="W67" t="str">
        <f t="shared" si="7"/>
        <v>ATD777-AP-1211 (Flare Pilot)</v>
      </c>
      <c r="X6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8" spans="1:24" ht="12.5" x14ac:dyDescent="0.25">
      <c r="A68" s="10"/>
      <c r="B68" s="19" t="s">
        <v>38</v>
      </c>
      <c r="C68" s="5" t="s">
        <v>274</v>
      </c>
      <c r="D68" s="20" t="s">
        <v>267</v>
      </c>
      <c r="E68" s="36"/>
      <c r="F68" s="25" cm="1">
        <f t="array" ref="F68">IF(V68 &lt;&gt; "", V68,
  IF(NOT(ISERROR(SEARCH("Poço", D68))),
    IF(G68 = "", "", G68),
    IFERROR(_xlfn.SINGLE(INDEX($G$1:G67, SUMPRODUCT(MAX(($W$1:W67 = W68) * ROW($W$1:W67))))) +
      IF(
      D68 = "Fiscal", 30,
        IF(D68 = "Óleo - Densidade", IF(OR(B68 = "SEP", B68 = "ATD", B68 = "ADG"), 90, 365),
          IF(D68 = "Óleo - Enxofre", 365, 180)
        )
      ),
      ""
    )
  )
)</f>
        <v>45908</v>
      </c>
      <c r="G68" s="21">
        <v>45755</v>
      </c>
      <c r="H68" s="15">
        <f t="shared" ref="H68:H73" si="20">IF(G68="","Erro",IF(D68="Óleo - Densidade", "NA", G68+10))</f>
        <v>45765</v>
      </c>
      <c r="I68" s="15"/>
      <c r="J68" s="15"/>
      <c r="K68" s="15">
        <f t="shared" ref="K68:K73" si="21">IF(G68="","Erro",IF(D68="Óleo - Densidade", "NA", G68+20))</f>
        <v>45775</v>
      </c>
      <c r="L68" s="15"/>
      <c r="M68" s="15">
        <f t="shared" ref="M68:M73" si="22">IF(G68="","Erro",G68+IF(D68="Fiscal",25,IF(D68="Óleo - Densidade", 1, IF(D68="Óleo - Enxofre", 25, 45))))</f>
        <v>45800</v>
      </c>
      <c r="N68" s="13">
        <v>45800</v>
      </c>
      <c r="O68" s="2">
        <f>IF(ISERROR(SEARCH("Poço",D68)),IF(N68="","Erro",IF(Q68="Reprovado","Reprovado",IF(D68="Operacional", WORKDAY(N68,10,FERIADOS!$A$3:$A$119),IF(D68="Óleo - Enxofre", "NA", G68+3)))),"")</f>
        <v>45814</v>
      </c>
      <c r="P68" s="21">
        <v>45812</v>
      </c>
      <c r="Q68" s="7" t="s">
        <v>37</v>
      </c>
      <c r="R68" s="13"/>
      <c r="S68" s="30"/>
      <c r="T68" s="34"/>
      <c r="W68" t="str">
        <f t="shared" ref="W68:W125" si="23">B68&amp;C68</f>
        <v>CDPT75-AP-3109 (CO2 to Flare)</v>
      </c>
      <c r="X6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69" spans="1:24" ht="12.5" x14ac:dyDescent="0.25">
      <c r="A69" s="10"/>
      <c r="B69" s="19" t="s">
        <v>38</v>
      </c>
      <c r="C69" s="5" t="s">
        <v>275</v>
      </c>
      <c r="D69" s="20" t="s">
        <v>267</v>
      </c>
      <c r="E69" s="36"/>
      <c r="F69" s="25" cm="1">
        <f t="array" ref="F69">IF(V69 &lt;&gt; "", V69,
  IF(NOT(ISERROR(SEARCH("Poço", D69))),
    IF(G69 = "", "", G69),
    IFERROR(_xlfn.SINGLE(INDEX($G$1:G68, SUMPRODUCT(MAX(($W$1:W68 = W69) * ROW($W$1:W68))))) +
      IF(
      D69 = "Fiscal", 30,
        IF(D69 = "Óleo - Densidade", IF(OR(B69 = "SEP", B69 = "ATD", B69 = "ADG"), 90, 365),
          IF(D69 = "Óleo - Enxofre", 365, 180)
        )
      ),
      ""
    )
  )
)</f>
        <v>45914</v>
      </c>
      <c r="G69" s="21">
        <v>45895</v>
      </c>
      <c r="H69" s="15">
        <f t="shared" si="20"/>
        <v>45905</v>
      </c>
      <c r="I69" s="15"/>
      <c r="J69" s="15"/>
      <c r="K69" s="15">
        <f t="shared" si="21"/>
        <v>45915</v>
      </c>
      <c r="L69" s="15"/>
      <c r="M69" s="15">
        <f t="shared" si="22"/>
        <v>45940</v>
      </c>
      <c r="N69" s="13">
        <v>45919</v>
      </c>
      <c r="O69" s="2">
        <f>IF(ISERROR(SEARCH("Poço",D69)),IF(N69="","Erro",IF(Q69="Reprovado","Reprovado",IF(D69="Operacional", WORKDAY(N69,10,FERIADOS!$A$3:$A$119),IF(D69="Óleo - Enxofre", "NA", G69+3)))),"")</f>
        <v>45933</v>
      </c>
      <c r="P69" s="21">
        <v>45923</v>
      </c>
      <c r="Q69" s="7" t="s">
        <v>37</v>
      </c>
      <c r="R69" s="13"/>
      <c r="S69" s="30"/>
      <c r="T69" s="34"/>
      <c r="W69" t="str">
        <f t="shared" si="23"/>
        <v>CDPT75-AP-1109 (Injection Gas)</v>
      </c>
      <c r="X6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0" spans="1:24" ht="12.5" x14ac:dyDescent="0.25">
      <c r="A70" s="10"/>
      <c r="B70" s="8" t="s">
        <v>46</v>
      </c>
      <c r="C70" s="5" t="s">
        <v>285</v>
      </c>
      <c r="D70" s="9" t="s">
        <v>267</v>
      </c>
      <c r="E70" s="36"/>
      <c r="F70" s="25" cm="1">
        <f t="array" ref="F70">IF(V70 &lt;&gt; "", V70,
  IF(NOT(ISERROR(SEARCH("Poço", D70))),
    IF(G70 = "", "", G70),
    IFERROR(_xlfn.SINGLE(INDEX($G$1:G69, SUMPRODUCT(MAX(($W$1:W69 = W70) * ROW($W$1:W69))))) +
      IF(
      D70 = "Fiscal", 30,
        IF(D70 = "Óleo - Densidade", IF(OR(B70 = "SEP", B70 = "ATD", B70 = "ADG"), 90, 365),
          IF(D70 = "Óleo - Enxofre", 365, 180)
        )
      ),
      ""
    )
  )
)</f>
        <v>45932</v>
      </c>
      <c r="G70" s="13">
        <v>45925</v>
      </c>
      <c r="H70" s="15">
        <f t="shared" si="20"/>
        <v>45935</v>
      </c>
      <c r="I70" s="15"/>
      <c r="J70" s="15"/>
      <c r="K70" s="15">
        <f t="shared" si="21"/>
        <v>45945</v>
      </c>
      <c r="L70" s="15"/>
      <c r="M70" s="15">
        <f t="shared" si="22"/>
        <v>45970</v>
      </c>
      <c r="N70" s="13">
        <v>45950</v>
      </c>
      <c r="O70" s="2">
        <f>IF(ISERROR(SEARCH("Poço",D70)),IF(N70="","Erro",IF(Q70="Reprovado","Reprovado",IF(D70="Operacional", WORKDAY(N70,10,FERIADOS!$A$3:$A$119),IF(D70="Óleo - Enxofre", "NA", G70+3)))),"")</f>
        <v>45964</v>
      </c>
      <c r="P70" s="13">
        <v>45964</v>
      </c>
      <c r="Q70" s="7" t="s">
        <v>37</v>
      </c>
      <c r="R70" s="13"/>
      <c r="S70" s="30"/>
      <c r="T70" s="34"/>
      <c r="W70" t="str">
        <f t="shared" si="23"/>
        <v>CDMT71-AX-0102 (HP Separator)</v>
      </c>
      <c r="X7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1" spans="1:24" ht="12.5" x14ac:dyDescent="0.25">
      <c r="A71" s="10"/>
      <c r="B71" s="8" t="s">
        <v>46</v>
      </c>
      <c r="C71" s="5" t="s">
        <v>286</v>
      </c>
      <c r="D71" s="9" t="s">
        <v>267</v>
      </c>
      <c r="E71" s="36"/>
      <c r="F71" s="25" cm="1">
        <f t="array" ref="F71">IF(V71 &lt;&gt; "", V71,
  IF(NOT(ISERROR(SEARCH("Poço", D71))),
    IF(G71 = "", "", G71),
    IFERROR(_xlfn.SINGLE(INDEX($G$1:G70, SUMPRODUCT(MAX(($W$1:W70 = W71) * ROW($W$1:W70))))) +
      IF(
      D71 = "Fiscal", 30,
        IF(D71 = "Óleo - Densidade", IF(OR(B71 = "SEP", B71 = "ATD", B71 = "ADG"), 90, 365),
          IF(D71 = "Óleo - Enxofre", 365, 180)
        )
      ),
      ""
    )
  )
)</f>
        <v>45932</v>
      </c>
      <c r="G71" s="13">
        <v>45925</v>
      </c>
      <c r="H71" s="15">
        <f t="shared" si="20"/>
        <v>45935</v>
      </c>
      <c r="I71" s="15"/>
      <c r="J71" s="15"/>
      <c r="K71" s="15">
        <f t="shared" si="21"/>
        <v>45945</v>
      </c>
      <c r="L71" s="15"/>
      <c r="M71" s="15">
        <f t="shared" si="22"/>
        <v>45970</v>
      </c>
      <c r="N71" s="13">
        <v>45950</v>
      </c>
      <c r="O71" s="2">
        <f>IF(ISERROR(SEARCH("Poço",D71)),IF(N71="","Erro",IF(Q71="Reprovado","Reprovado",IF(D71="Operacional", WORKDAY(N71,10,FERIADOS!$A$3:$A$119),IF(D71="Óleo - Enxofre", "NA", G71+3)))),"")</f>
        <v>45964</v>
      </c>
      <c r="P71" s="13">
        <v>45964</v>
      </c>
      <c r="Q71" s="7" t="s">
        <v>37</v>
      </c>
      <c r="R71" s="13"/>
      <c r="S71" s="30"/>
      <c r="T71" s="34"/>
      <c r="W71" t="str">
        <f t="shared" si="23"/>
        <v>CDMT71-AX-0202 (IP Flash Vessel)</v>
      </c>
      <c r="X7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2" spans="1:24" ht="12.5" x14ac:dyDescent="0.25">
      <c r="A72" s="10"/>
      <c r="B72" s="8" t="s">
        <v>46</v>
      </c>
      <c r="C72" s="5" t="s">
        <v>287</v>
      </c>
      <c r="D72" s="9" t="s">
        <v>267</v>
      </c>
      <c r="E72" s="36"/>
      <c r="F72" s="25" cm="1">
        <f t="array" ref="F72">IF(V72 &lt;&gt; "", V72,
  IF(NOT(ISERROR(SEARCH("Poço", D72))),
    IF(G72 = "", "", G72),
    IFERROR(_xlfn.SINGLE(INDEX($G$1:G71, SUMPRODUCT(MAX(($W$1:W71 = W72) * ROW($W$1:W71))))) +
      IF(
      D72 = "Fiscal", 30,
        IF(D72 = "Óleo - Densidade", IF(OR(B72 = "SEP", B72 = "ATD", B72 = "ADG"), 90, 365),
          IF(D72 = "Óleo - Enxofre", 365, 180)
        )
      ),
      ""
    )
  )
)</f>
        <v>45932</v>
      </c>
      <c r="G72" s="13">
        <v>45925</v>
      </c>
      <c r="H72" s="15">
        <f t="shared" si="20"/>
        <v>45935</v>
      </c>
      <c r="I72" s="15"/>
      <c r="J72" s="15"/>
      <c r="K72" s="15">
        <f t="shared" si="21"/>
        <v>45945</v>
      </c>
      <c r="L72" s="15"/>
      <c r="M72" s="15">
        <f t="shared" si="22"/>
        <v>45970</v>
      </c>
      <c r="N72" s="13">
        <v>45950</v>
      </c>
      <c r="O72" s="2">
        <f>IF(ISERROR(SEARCH("Poço",D72)),IF(N72="","Erro",IF(Q72="Reprovado","Reprovado",IF(D72="Operacional", WORKDAY(N72,10,FERIADOS!$A$3:$A$119),IF(D72="Óleo - Enxofre", "NA", G72+3)))),"")</f>
        <v>45964</v>
      </c>
      <c r="P72" s="13">
        <v>45964</v>
      </c>
      <c r="Q72" s="7" t="s">
        <v>37</v>
      </c>
      <c r="R72" s="13"/>
      <c r="S72" s="30"/>
      <c r="T72" s="34"/>
      <c r="W72" t="str">
        <f t="shared" si="23"/>
        <v>CDMT71-AX-0204 (LP Degasser)</v>
      </c>
      <c r="X7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3" spans="1:24" ht="12.5" x14ac:dyDescent="0.25">
      <c r="A73" s="10"/>
      <c r="B73" s="8" t="s">
        <v>46</v>
      </c>
      <c r="C73" s="5" t="s">
        <v>284</v>
      </c>
      <c r="D73" s="9" t="s">
        <v>267</v>
      </c>
      <c r="E73" s="36"/>
      <c r="F73" s="25" cm="1">
        <f t="array" ref="F73">IF(V73 &lt;&gt; "", V73,
  IF(NOT(ISERROR(SEARCH("Poço", D73))),
    IF(G73 = "", "", G73),
    IFERROR(_xlfn.SINGLE(INDEX($G$1:G72, SUMPRODUCT(MAX(($W$1:W72 = W73) * ROW($W$1:W72))))) +
      IF(
      D73 = "Fiscal", 30,
        IF(D73 = "Óleo - Densidade", IF(OR(B73 = "SEP", B73 = "ATD", B73 = "ADG"), 90, 365),
          IF(D73 = "Óleo - Enxofre", 365, 180)
        )
      ),
      ""
    )
  )
)</f>
        <v>45932</v>
      </c>
      <c r="G73" s="13">
        <v>45781</v>
      </c>
      <c r="H73" s="15">
        <f t="shared" si="20"/>
        <v>45791</v>
      </c>
      <c r="I73" s="15"/>
      <c r="J73" s="15"/>
      <c r="K73" s="15">
        <f t="shared" si="21"/>
        <v>45801</v>
      </c>
      <c r="L73" s="15"/>
      <c r="M73" s="15">
        <f t="shared" si="22"/>
        <v>45826</v>
      </c>
      <c r="N73" s="13">
        <v>45806</v>
      </c>
      <c r="O73" s="2">
        <f>IF(ISERROR(SEARCH("Poço",D73)),IF(N73="","Erro",IF(Q73="Reprovado","Reprovado",IF(D73="Operacional", WORKDAY(N73,10,FERIADOS!$A$3:$A$119),IF(D73="Óleo - Enxofre", "NA", G73+3)))),"")</f>
        <v>45820</v>
      </c>
      <c r="P73" s="13">
        <v>45812</v>
      </c>
      <c r="Q73" s="7" t="s">
        <v>37</v>
      </c>
      <c r="R73" s="13"/>
      <c r="S73" s="30"/>
      <c r="T73" s="34"/>
      <c r="W73" t="str">
        <f t="shared" si="23"/>
        <v>CDMT75-AX-1139 (Injection Gas)</v>
      </c>
      <c r="X7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4" spans="1:24" ht="12.5" x14ac:dyDescent="0.25">
      <c r="A74" s="10"/>
      <c r="B74" s="19" t="s">
        <v>52</v>
      </c>
      <c r="C74" s="5" t="s">
        <v>288</v>
      </c>
      <c r="D74" s="20" t="s">
        <v>267</v>
      </c>
      <c r="E74" s="36"/>
      <c r="F74" s="25" cm="1">
        <f t="array" ref="F74">IF(V74 &lt;&gt; "", V74,
  IF(NOT(ISERROR(SEARCH("Poço", D74))),
    IF(G74 = "", "", G74),
    IFERROR(_xlfn.SINGLE(INDEX($G$1:G73, SUMPRODUCT(MAX(($W$1:W73 = W74) * ROW($W$1:W73))))) +
      IF(
      D74 = "Fiscal", 30,
        IF(D74 = "Óleo - Densidade", IF(OR(B74 = "SEP", B74 = "ATD", B74 = "ADG"), 90, 365),
          IF(D74 = "Óleo - Enxofre", 365, 180)
        )
      ),
      ""
    )
  )
)</f>
        <v>45928</v>
      </c>
      <c r="G74" s="21">
        <v>45909</v>
      </c>
      <c r="H74" s="15">
        <f t="shared" ref="H74:H79" si="24">IF(G74="","Erro",IF(D74="Óleo - Densidade", "NA", G74+10))</f>
        <v>45919</v>
      </c>
      <c r="I74" s="15"/>
      <c r="J74" s="15"/>
      <c r="K74" s="15">
        <f t="shared" ref="K74:K79" si="25">IF(G74="","Erro",IF(D74="Óleo - Densidade", "NA", G74+20))</f>
        <v>45929</v>
      </c>
      <c r="L74" s="15"/>
      <c r="M74" s="15">
        <f t="shared" ref="M74:M79" si="26">IF(G74="","Erro",G74+IF(D74="Fiscal",25,IF(D74="Óleo - Densidade", 1, IF(D74="Óleo - Enxofre", 25, 45))))</f>
        <v>45954</v>
      </c>
      <c r="N74" s="13">
        <v>45916</v>
      </c>
      <c r="O74" s="2" t="str">
        <f>IF(ISERROR(SEARCH("Poço",D74)),IF(N74="","Erro",IF(Q74="Reprovado","Reprovado",IF(D74="Operacional", WORKDAY(N74,10,FERIADOS!$A$3:$A$119),IF(D74="Óleo - Enxofre", "NA", G74+3)))),"")</f>
        <v>Reprovado</v>
      </c>
      <c r="P74" s="21"/>
      <c r="Q74" s="7" t="s">
        <v>81</v>
      </c>
      <c r="R74" s="13"/>
      <c r="S74" s="30"/>
      <c r="T74" s="34"/>
      <c r="W74" t="str">
        <f t="shared" si="23"/>
        <v>SEP772-AP-1710 (Gas Dehydration)</v>
      </c>
      <c r="X7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5" spans="1:24" ht="12.5" x14ac:dyDescent="0.25">
      <c r="A75" s="10"/>
      <c r="B75" s="8" t="s">
        <v>38</v>
      </c>
      <c r="C75" s="5" t="s">
        <v>274</v>
      </c>
      <c r="D75" s="9" t="s">
        <v>267</v>
      </c>
      <c r="E75" s="36"/>
      <c r="F75" s="25" cm="1">
        <f t="array" ref="F75">IF(V75 &lt;&gt; "", V75,
  IF(NOT(ISERROR(SEARCH("Poço", D75))),
    IF(G75 = "", "", G75),
    IFERROR(_xlfn.SINGLE(INDEX($G$1:G74, SUMPRODUCT(MAX(($W$1:W74 = W75) * ROW($W$1:W74))))) +
      IF(
      D75 = "Fiscal", 30,
        IF(D75 = "Óleo - Densidade", IF(OR(B75 = "SEP", B75 = "ATD", B75 = "ADG"), 90, 365),
          IF(D75 = "Óleo - Enxofre", 365, 180)
        )
      ),
      ""
    )
  )
)</f>
        <v>45935</v>
      </c>
      <c r="G75" s="13">
        <v>45924</v>
      </c>
      <c r="H75" s="15">
        <f t="shared" si="24"/>
        <v>45934</v>
      </c>
      <c r="I75" s="15"/>
      <c r="J75" s="15"/>
      <c r="K75" s="15">
        <f t="shared" si="25"/>
        <v>45944</v>
      </c>
      <c r="L75" s="15"/>
      <c r="M75" s="15">
        <f t="shared" si="26"/>
        <v>45969</v>
      </c>
      <c r="N75" s="13">
        <v>45947</v>
      </c>
      <c r="O75" s="2" t="str">
        <f>IF(ISERROR(SEARCH("Poço",D75)),IF(N75="","Erro",IF(Q75="Reprovado","Reprovado",IF(D75="Operacional", WORKDAY(N75,10,FERIADOS!$A$3:$A$119),IF(D75="Óleo - Enxofre", "NA", G75+3)))),"")</f>
        <v>Reprovado</v>
      </c>
      <c r="P75" s="13"/>
      <c r="Q75" s="7" t="s">
        <v>81</v>
      </c>
      <c r="R75" s="13"/>
      <c r="S75" s="30"/>
      <c r="T75" s="34"/>
      <c r="W75" t="str">
        <f t="shared" si="23"/>
        <v>CDPT75-AP-3109 (CO2 to Flare)</v>
      </c>
      <c r="X7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6" spans="1:24" ht="12.5" x14ac:dyDescent="0.25">
      <c r="A76" s="10"/>
      <c r="B76" s="8" t="s">
        <v>52</v>
      </c>
      <c r="C76" s="5" t="s">
        <v>289</v>
      </c>
      <c r="D76" s="9" t="s">
        <v>267</v>
      </c>
      <c r="E76" s="36"/>
      <c r="F76" s="25" cm="1">
        <f t="array" ref="F76">IF(V76 &lt;&gt; "", V76,
  IF(NOT(ISERROR(SEARCH("Poço", D76))),
    IF(G76 = "", "", G76),
    IFERROR(_xlfn.SINGLE(INDEX($G$1:G75, SUMPRODUCT(MAX(($W$1:W75 = W76) * ROW($W$1:W75))))) +
      IF(
      D76 = "Fiscal", 30,
        IF(D76 = "Óleo - Densidade", IF(OR(B76 = "SEP", B76 = "ATD", B76 = "ADG"), 90, 365),
          IF(D76 = "Óleo - Enxofre", 365, 180)
        )
      ),
      ""
    )
  )
)</f>
        <v>45956</v>
      </c>
      <c r="G76" s="13">
        <v>45938</v>
      </c>
      <c r="H76" s="15">
        <f t="shared" si="24"/>
        <v>45948</v>
      </c>
      <c r="I76" s="15"/>
      <c r="J76" s="15"/>
      <c r="K76" s="15">
        <f t="shared" si="25"/>
        <v>45958</v>
      </c>
      <c r="L76" s="15"/>
      <c r="M76" s="15">
        <f t="shared" si="26"/>
        <v>45983</v>
      </c>
      <c r="N76" s="13">
        <v>45961</v>
      </c>
      <c r="O76" s="2">
        <f>IF(ISERROR(SEARCH("Poço",D76)),IF(N76="","Erro",IF(Q76="Reprovado","Reprovado",IF(D76="Operacional", WORKDAY(N76,10,FERIADOS!$A$3:$A$119),IF(D76="Óleo - Enxofre", "NA", G76+3)))),"")</f>
        <v>45975</v>
      </c>
      <c r="P76" s="13">
        <v>45965</v>
      </c>
      <c r="Q76" s="7" t="s">
        <v>37</v>
      </c>
      <c r="R76" s="13"/>
      <c r="S76" s="30"/>
      <c r="T76" s="34"/>
      <c r="W76" t="str">
        <f t="shared" si="23"/>
        <v>SEP777-AP-1211 (Flare Pilot)</v>
      </c>
      <c r="X7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7" spans="1:24" ht="12.5" x14ac:dyDescent="0.25">
      <c r="A77" s="10"/>
      <c r="B77" s="19" t="s">
        <v>52</v>
      </c>
      <c r="C77" s="5" t="s">
        <v>302</v>
      </c>
      <c r="D77" s="20" t="s">
        <v>303</v>
      </c>
      <c r="E77" s="36"/>
      <c r="F77" s="25" cm="1">
        <f t="array" ref="F77">IF(V77 &lt;&gt; "", V77,
  IF(NOT(ISERROR(SEARCH("Poço", D77))),
    IF(G77 = "", "", G77),
    IFERROR(_xlfn.SINGLE(INDEX($G$1:G76, SUMPRODUCT(MAX(($W$1:W76 = W77) * ROW($W$1:W76))))) +
      IF(
      D77 = "Fiscal", 30,
        IF(D77 = "Óleo - Densidade", IF(OR(B77 = "SEP", B77 = "ATD", B77 = "ADG"), 90, 365),
          IF(D77 = "Óleo - Enxofre", 365, 180)
        )
      ),
      ""
    )
  )
)</f>
        <v>45868</v>
      </c>
      <c r="G77" s="21">
        <v>45868</v>
      </c>
      <c r="H77" s="15" t="str">
        <f t="shared" si="24"/>
        <v>NA</v>
      </c>
      <c r="I77" s="15"/>
      <c r="J77" s="15"/>
      <c r="K77" s="15" t="str">
        <f t="shared" si="25"/>
        <v>NA</v>
      </c>
      <c r="L77" s="15"/>
      <c r="M77" s="15">
        <f t="shared" si="26"/>
        <v>45869</v>
      </c>
      <c r="N77" s="13">
        <v>45868</v>
      </c>
      <c r="O77" s="2">
        <f>IF(ISERROR(SEARCH("Poço",D77)),IF(N77="","Erro",IF(Q77="Reprovado","Reprovado",IF(D77="Operacional", WORKDAY(N77,10,FERIADOS!$A$3:$A$119),IF(D77="Óleo - Enxofre", "NA", G77+3)))),"")</f>
        <v>45871</v>
      </c>
      <c r="P77" s="21">
        <v>45869</v>
      </c>
      <c r="Q77" s="7" t="s">
        <v>37</v>
      </c>
      <c r="R77" s="13"/>
      <c r="S77" s="30"/>
      <c r="T77" s="34"/>
      <c r="W77" t="str">
        <f t="shared" si="23"/>
        <v>SEP662-AP-0162 (FWKO Drum)</v>
      </c>
      <c r="X7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8" spans="1:24" ht="12.5" x14ac:dyDescent="0.25">
      <c r="A78" s="10"/>
      <c r="B78" s="17" t="s">
        <v>145</v>
      </c>
      <c r="C78" s="6" t="s">
        <v>299</v>
      </c>
      <c r="D78" s="18" t="s">
        <v>297</v>
      </c>
      <c r="E78" s="36"/>
      <c r="F78" s="25" t="str" cm="1">
        <f t="array" ref="F78">IF(V78 &lt;&gt; "", V78,
  IF(NOT(ISERROR(SEARCH("Poço", D78))),
    IF(G78 = "", "", G78),
    IFERROR(_xlfn.SINGLE(INDEX($G$1:G77, SUMPRODUCT(MAX(($W$1:W77 = W78) * ROW($W$1:W77))))) +
      IF(
      D78 = "Fiscal", 30,
        IF(D78 = "Óleo - Densidade", IF(OR(B78 = "SEP", B78 = "ATD", B78 = "ADG"), 90, 365),
          IF(D78 = "Óleo - Enxofre", 365, 180)
        )
      ),
      ""
    )
  )
)</f>
        <v/>
      </c>
      <c r="G78" s="16">
        <v>45762</v>
      </c>
      <c r="H78" s="15">
        <f t="shared" si="24"/>
        <v>45772</v>
      </c>
      <c r="I78" s="15"/>
      <c r="J78" s="15"/>
      <c r="K78" s="15">
        <f t="shared" si="25"/>
        <v>45782</v>
      </c>
      <c r="L78" s="15"/>
      <c r="M78" s="15">
        <f t="shared" si="26"/>
        <v>45787</v>
      </c>
      <c r="N78" s="12">
        <v>45786</v>
      </c>
      <c r="O78" s="1" t="str">
        <f>IF(ISERROR(SEARCH("Poço",D78)),IF(N78="","Erro",IF(Q78="Reprovado","Reprovado",IF(D78="Operacional", WORKDAY(N78,10,FERIADOS!$A$3:$A$119),IF(D78="Óleo - Enxofre", "NA", G78+3)))),"")</f>
        <v>NA</v>
      </c>
      <c r="P78" s="16"/>
      <c r="Q78" s="7"/>
      <c r="R78" s="12"/>
      <c r="S78" s="27"/>
      <c r="T78" s="23"/>
      <c r="W78" t="str">
        <f t="shared" si="23"/>
        <v>ATDOil Fiscal</v>
      </c>
      <c r="X7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79" spans="1:24" ht="12.5" x14ac:dyDescent="0.25">
      <c r="A79" s="10"/>
      <c r="B79" s="19" t="s">
        <v>145</v>
      </c>
      <c r="C79" s="5" t="s">
        <v>299</v>
      </c>
      <c r="D79" s="20" t="s">
        <v>297</v>
      </c>
      <c r="E79" s="36"/>
      <c r="F79" s="25" cm="1">
        <f t="array" ref="F79">IF(V79 &lt;&gt; "", V79,
  IF(NOT(ISERROR(SEARCH("Poço", D79))),
    IF(G79 = "", "", G79),
    IFERROR(_xlfn.SINGLE(INDEX($G$1:G78, SUMPRODUCT(MAX(($W$1:W78 = W79) * ROW($W$1:W78))))) +
      IF(
      D79 = "Fiscal", 30,
        IF(D79 = "Óleo - Densidade", IF(OR(B79 = "SEP", B79 = "ATD", B79 = "ADG"), 90, 365),
          IF(D79 = "Óleo - Enxofre", 365, 180)
        )
      ),
      ""
    )
  )
)</f>
        <v>46127</v>
      </c>
      <c r="G79" s="21"/>
      <c r="H79" s="15" t="str">
        <f t="shared" si="24"/>
        <v>Erro</v>
      </c>
      <c r="I79" s="15"/>
      <c r="J79" s="15"/>
      <c r="K79" s="15" t="str">
        <f t="shared" si="25"/>
        <v>Erro</v>
      </c>
      <c r="L79" s="15"/>
      <c r="M79" s="15" t="str">
        <f t="shared" si="26"/>
        <v>Erro</v>
      </c>
      <c r="N79" s="13"/>
      <c r="O79" s="2" t="str">
        <f>IF(ISERROR(SEARCH("Poço",D79)),IF(N79="","Erro",IF(Q79="Reprovado","Reprovado",IF(D79="Operacional", WORKDAY(N79,10,FERIADOS!$A$3:$A$119),IF(D79="Óleo - Enxofre", "NA", G79+3)))),"")</f>
        <v>Erro</v>
      </c>
      <c r="P79" s="21"/>
      <c r="Q79" s="7"/>
      <c r="R79" s="13"/>
      <c r="S79" s="30"/>
      <c r="T79" s="34"/>
      <c r="W79" t="str">
        <f t="shared" si="23"/>
        <v>ATDOil Fiscal</v>
      </c>
      <c r="X7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0" spans="1:24" ht="12.5" x14ac:dyDescent="0.25">
      <c r="A80" s="10"/>
      <c r="B80" s="19" t="s">
        <v>34</v>
      </c>
      <c r="C80" s="5" t="s">
        <v>285</v>
      </c>
      <c r="D80" s="20" t="s">
        <v>267</v>
      </c>
      <c r="E80" s="36"/>
      <c r="F80" s="29" cm="1">
        <f t="array" ref="F80">IF(V80 &lt;&gt; "", V80,
  IF(NOT(ISERROR(SEARCH("Poço", D80))),
    IF(G80 = "", "", G80),
    IFERROR(_xlfn.SINGLE(INDEX($G$1:G79, SUMPRODUCT(MAX(($W$1:W79 = W80) * ROW($W$1:W79))))) +
      IF(
      D80 = "Fiscal", 30,
        IF(D80 = "Óleo - Densidade", IF(OR(B80 = "SEP", B80 = "ATD", B80 = "ADG"), 90, 365),
          IF(D80 = "Óleo - Enxofre", 365, 180)
        )
      ),
      ""
    )
  )
)</f>
        <v>45974</v>
      </c>
      <c r="G80" s="21">
        <v>45959</v>
      </c>
      <c r="H80" s="15">
        <f t="shared" ref="H80:H89" si="27">IF(G80="","Erro",IF(D80="Óleo - Densidade", "NA", G80+10))</f>
        <v>45969</v>
      </c>
      <c r="I80" s="15"/>
      <c r="J80" s="15"/>
      <c r="K80" s="15">
        <f t="shared" ref="K80:K89" si="28">IF(G80="","Erro",IF(D80="Óleo - Densidade", "NA", G80+20))</f>
        <v>45979</v>
      </c>
      <c r="L80" s="15"/>
      <c r="M80" s="15">
        <f t="shared" ref="M80:M89" si="29">IF(G80="","Erro",G80+IF(D80="Fiscal",25,IF(D80="Óleo - Densidade", 1, IF(D80="Óleo - Enxofre", 25, 45))))</f>
        <v>46004</v>
      </c>
      <c r="N80" s="13">
        <v>45982</v>
      </c>
      <c r="O80" s="2" t="str">
        <f>IF(ISERROR(SEARCH("Poço",D80)),IF(N80="","Erro",IF(Q80="Reprovado","Reprovado",IF(D80="Operacional", WORKDAY(N80,10,FERIADOS!$A$3:$A$119),IF(D80="Óleo - Enxofre", "NA", G80+3)))),"")</f>
        <v>Reprovado</v>
      </c>
      <c r="P80" s="21"/>
      <c r="Q80" s="7" t="s">
        <v>81</v>
      </c>
      <c r="R80" s="13"/>
      <c r="S80" s="30"/>
      <c r="T80" s="34"/>
      <c r="W80" t="str">
        <f t="shared" si="23"/>
        <v>CDST71-AX-0102 (HP Separator)</v>
      </c>
      <c r="X8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1" spans="1:24" ht="12.5" x14ac:dyDescent="0.25">
      <c r="A81" s="10"/>
      <c r="B81" s="19" t="s">
        <v>34</v>
      </c>
      <c r="C81" s="5" t="s">
        <v>286</v>
      </c>
      <c r="D81" s="20" t="s">
        <v>267</v>
      </c>
      <c r="E81" s="36"/>
      <c r="F81" s="29" cm="1">
        <f t="array" ref="F81">IF(V81 &lt;&gt; "", V81,
  IF(NOT(ISERROR(SEARCH("Poço", D81))),
    IF(G81 = "", "", G81),
    IFERROR(_xlfn.SINGLE(INDEX($G$1:G80, SUMPRODUCT(MAX(($W$1:W80 = W81) * ROW($W$1:W80))))) +
      IF(
      D81 = "Fiscal", 30,
        IF(D81 = "Óleo - Densidade", IF(OR(B81 = "SEP", B81 = "ATD", B81 = "ADG"), 90, 365),
          IF(D81 = "Óleo - Enxofre", 365, 180)
        )
      ),
      ""
    )
  )
)</f>
        <v>45975</v>
      </c>
      <c r="G81" s="21">
        <v>45959</v>
      </c>
      <c r="H81" s="15">
        <f t="shared" si="27"/>
        <v>45969</v>
      </c>
      <c r="I81" s="15"/>
      <c r="J81" s="15"/>
      <c r="K81" s="15">
        <f t="shared" si="28"/>
        <v>45979</v>
      </c>
      <c r="L81" s="15"/>
      <c r="M81" s="15">
        <f t="shared" si="29"/>
        <v>46004</v>
      </c>
      <c r="N81" s="13">
        <v>45982</v>
      </c>
      <c r="O81" s="2">
        <f>IF(ISERROR(SEARCH("Poço",D81)),IF(N81="","Erro",IF(Q81="Reprovado","Reprovado",IF(D81="Operacional", WORKDAY(N81,10,FERIADOS!$A$3:$A$119),IF(D81="Óleo - Enxofre", "NA", G81+3)))),"")</f>
        <v>45996</v>
      </c>
      <c r="P81" s="21">
        <v>45986</v>
      </c>
      <c r="Q81" s="7" t="s">
        <v>37</v>
      </c>
      <c r="R81" s="13"/>
      <c r="S81" s="30"/>
      <c r="T81" s="34"/>
      <c r="W81" t="str">
        <f t="shared" si="23"/>
        <v>CDST71-AX-0202 (IP Flash Vessel)</v>
      </c>
      <c r="X8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2" spans="1:24" ht="12.5" x14ac:dyDescent="0.25">
      <c r="A82" s="10"/>
      <c r="B82" s="17" t="s">
        <v>38</v>
      </c>
      <c r="C82" s="6" t="s">
        <v>307</v>
      </c>
      <c r="D82" s="18" t="s">
        <v>303</v>
      </c>
      <c r="E82" s="36"/>
      <c r="F82" s="25" t="str" cm="1">
        <f t="array" ref="F82">IF(V82 &lt;&gt; "", V82,
  IF(NOT(ISERROR(SEARCH("Poço", D82))),
    IF(G82 = "", "", G82),
    IFERROR(_xlfn.SINGLE(INDEX($G$1:G81, SUMPRODUCT(MAX(($W$1:W81 = W82) * ROW($W$1:W81))))) +
      IF(
      D82 = "Fiscal", 30,
        IF(D82 = "Óleo - Densidade", IF(OR(B82 = "SEP", B82 = "ATD", B82 = "ADG"), 90, 365),
          IF(D82 = "Óleo - Enxofre", 365, 180)
        )
      ),
      ""
    )
  )
)</f>
        <v/>
      </c>
      <c r="G82" s="16">
        <v>45793</v>
      </c>
      <c r="H82" s="15" t="str">
        <f t="shared" si="27"/>
        <v>NA</v>
      </c>
      <c r="I82" s="15"/>
      <c r="J82" s="15"/>
      <c r="K82" s="15" t="str">
        <f t="shared" si="28"/>
        <v>NA</v>
      </c>
      <c r="L82" s="15"/>
      <c r="M82" s="15">
        <f t="shared" si="29"/>
        <v>45794</v>
      </c>
      <c r="N82" s="12">
        <v>45794</v>
      </c>
      <c r="O82" s="1">
        <f>IF(ISERROR(SEARCH("Poço",D82)),IF(N82="","Erro",IF(Q82="Reprovado","Reprovado",IF(D82="Operacional", WORKDAY(N82,10,FERIADOS!$A$3:$A$119),IF(D82="Óleo - Enxofre", "NA", G82+3)))),"")</f>
        <v>45796</v>
      </c>
      <c r="P82" s="16">
        <v>45794</v>
      </c>
      <c r="Q82" s="7"/>
      <c r="R82" s="12"/>
      <c r="S82" s="27"/>
      <c r="T82" s="23"/>
      <c r="W82" t="str">
        <f t="shared" si="23"/>
        <v>CDPT62-AP-0124 (Operational Oil)</v>
      </c>
      <c r="X8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3" spans="1:24" ht="12.5" x14ac:dyDescent="0.25">
      <c r="A83" s="10"/>
      <c r="B83" s="19" t="s">
        <v>38</v>
      </c>
      <c r="C83" s="5" t="s">
        <v>307</v>
      </c>
      <c r="D83" s="20" t="s">
        <v>303</v>
      </c>
      <c r="E83" s="36"/>
      <c r="F83" s="29" cm="1">
        <f t="array" ref="F83">IF(V83 &lt;&gt; "", V83,
  IF(NOT(ISERROR(SEARCH("Poço", D83))),
    IF(G83 = "", "", G83),
    IFERROR(_xlfn.SINGLE(INDEX($G$1:G82, SUMPRODUCT(MAX(($W$1:W82 = W83) * ROW($W$1:W82))))) +
      IF(
      D83 = "Fiscal", 30,
        IF(D83 = "Óleo - Densidade", IF(OR(B83 = "SEP", B83 = "ATD", B83 = "ADG"), 90, 365),
          IF(D83 = "Óleo - Enxofre", 365, 180)
        )
      ),
      ""
    )
  )
)</f>
        <v>46158</v>
      </c>
      <c r="G83" s="21"/>
      <c r="H83" s="15" t="str">
        <f t="shared" si="27"/>
        <v>Erro</v>
      </c>
      <c r="I83" s="15"/>
      <c r="J83" s="15"/>
      <c r="K83" s="15" t="str">
        <f t="shared" si="28"/>
        <v>Erro</v>
      </c>
      <c r="L83" s="15"/>
      <c r="M83" s="15" t="str">
        <f t="shared" si="29"/>
        <v>Erro</v>
      </c>
      <c r="N83" s="13"/>
      <c r="O83" s="2" t="str">
        <f>IF(ISERROR(SEARCH("Poço",D83)),IF(N83="","Erro",IF(Q83="Reprovado","Reprovado",IF(D83="Operacional", WORKDAY(N83,10,FERIADOS!$A$3:$A$119),IF(D83="Óleo - Enxofre", "NA", G83+3)))),"")</f>
        <v>Erro</v>
      </c>
      <c r="P83" s="21"/>
      <c r="Q83" s="7"/>
      <c r="R83" s="13"/>
      <c r="S83" s="30"/>
      <c r="T83" s="34"/>
      <c r="W83" t="str">
        <f t="shared" si="23"/>
        <v>CDPT62-AP-0124 (Operational Oil)</v>
      </c>
      <c r="X8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4" spans="1:24" ht="12.5" x14ac:dyDescent="0.25">
      <c r="A84" s="10"/>
      <c r="B84" s="17" t="s">
        <v>34</v>
      </c>
      <c r="C84" s="6" t="s">
        <v>307</v>
      </c>
      <c r="D84" s="18" t="s">
        <v>303</v>
      </c>
      <c r="E84" s="36"/>
      <c r="F84" s="25" t="str" cm="1">
        <f t="array" ref="F84">IF(V84 &lt;&gt; "", V84,
  IF(NOT(ISERROR(SEARCH("Poço", D84))),
    IF(G84 = "", "", G84),
    IFERROR(_xlfn.SINGLE(INDEX($G$1:G83, SUMPRODUCT(MAX(($W$1:W83 = W84) * ROW($W$1:W83))))) +
      IF(
      D84 = "Fiscal", 30,
        IF(D84 = "Óleo - Densidade", IF(OR(B84 = "SEP", B84 = "ATD", B84 = "ADG"), 90, 365),
          IF(D84 = "Óleo - Enxofre", 365, 180)
        )
      ),
      ""
    )
  )
)</f>
        <v/>
      </c>
      <c r="G84" s="16">
        <v>45792</v>
      </c>
      <c r="H84" s="15" t="str">
        <f t="shared" si="27"/>
        <v>NA</v>
      </c>
      <c r="I84" s="15"/>
      <c r="J84" s="15"/>
      <c r="K84" s="15" t="str">
        <f t="shared" si="28"/>
        <v>NA</v>
      </c>
      <c r="L84" s="15"/>
      <c r="M84" s="15">
        <f t="shared" si="29"/>
        <v>45793</v>
      </c>
      <c r="N84" s="12">
        <v>45793</v>
      </c>
      <c r="O84" s="1">
        <f>IF(ISERROR(SEARCH("Poço",D84)),IF(N84="","Erro",IF(Q84="Reprovado","Reprovado",IF(D84="Operacional", WORKDAY(N84,10,FERIADOS!$A$3:$A$119),IF(D84="Óleo - Enxofre", "NA", G84+3)))),"")</f>
        <v>45795</v>
      </c>
      <c r="P84" s="16">
        <v>45793</v>
      </c>
      <c r="Q84" s="7"/>
      <c r="R84" s="12"/>
      <c r="S84" s="27"/>
      <c r="T84" s="23"/>
      <c r="W84" t="str">
        <f t="shared" si="23"/>
        <v>CDST62-AP-0124 (Operational Oil)</v>
      </c>
      <c r="X8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5" spans="1:24" ht="12.5" x14ac:dyDescent="0.25">
      <c r="A85" s="10"/>
      <c r="B85" s="19" t="s">
        <v>34</v>
      </c>
      <c r="C85" s="5" t="s">
        <v>307</v>
      </c>
      <c r="D85" s="20" t="s">
        <v>303</v>
      </c>
      <c r="E85" s="36"/>
      <c r="F85" s="29" cm="1">
        <f t="array" ref="F85">IF(V85 &lt;&gt; "", V85,
  IF(NOT(ISERROR(SEARCH("Poço", D85))),
    IF(G85 = "", "", G85),
    IFERROR(_xlfn.SINGLE(INDEX($G$1:G84, SUMPRODUCT(MAX(($W$1:W84 = W85) * ROW($W$1:W84))))) +
      IF(
      D85 = "Fiscal", 30,
        IF(D85 = "Óleo - Densidade", IF(OR(B85 = "SEP", B85 = "ATD", B85 = "ADG"), 90, 365),
          IF(D85 = "Óleo - Enxofre", 365, 180)
        )
      ),
      ""
    )
  )
)</f>
        <v>46157</v>
      </c>
      <c r="G85" s="21"/>
      <c r="H85" s="15" t="str">
        <f t="shared" si="27"/>
        <v>Erro</v>
      </c>
      <c r="I85" s="15"/>
      <c r="J85" s="15"/>
      <c r="K85" s="15" t="str">
        <f t="shared" si="28"/>
        <v>Erro</v>
      </c>
      <c r="L85" s="15"/>
      <c r="M85" s="15" t="str">
        <f t="shared" si="29"/>
        <v>Erro</v>
      </c>
      <c r="N85" s="13"/>
      <c r="O85" s="2" t="str">
        <f>IF(ISERROR(SEARCH("Poço",D85)),IF(N85="","Erro",IF(Q85="Reprovado","Reprovado",IF(D85="Operacional", WORKDAY(N85,10,FERIADOS!$A$3:$A$119),IF(D85="Óleo - Enxofre", "NA", G85+3)))),"")</f>
        <v>Erro</v>
      </c>
      <c r="P85" s="21"/>
      <c r="Q85" s="7"/>
      <c r="R85" s="13"/>
      <c r="S85" s="30"/>
      <c r="T85" s="34"/>
      <c r="W85" t="str">
        <f t="shared" si="23"/>
        <v>CDST62-AP-0124 (Operational Oil)</v>
      </c>
      <c r="X8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6" spans="1:24" ht="12.5" x14ac:dyDescent="0.25">
      <c r="A86" s="10"/>
      <c r="B86" s="17" t="s">
        <v>46</v>
      </c>
      <c r="C86" s="6" t="s">
        <v>307</v>
      </c>
      <c r="D86" s="18" t="s">
        <v>303</v>
      </c>
      <c r="E86" s="36"/>
      <c r="F86" s="25" t="str" cm="1">
        <f t="array" ref="F86">IF(V86 &lt;&gt; "", V86,
  IF(NOT(ISERROR(SEARCH("Poço", D86))),
    IF(G86 = "", "", G86),
    IFERROR(_xlfn.SINGLE(INDEX($G$1:G85, SUMPRODUCT(MAX(($W$1:W85 = W86) * ROW($W$1:W85))))) +
      IF(
      D86 = "Fiscal", 30,
        IF(D86 = "Óleo - Densidade", IF(OR(B86 = "SEP", B86 = "ATD", B86 = "ADG"), 90, 365),
          IF(D86 = "Óleo - Enxofre", 365, 180)
        )
      ),
      ""
    )
  )
)</f>
        <v/>
      </c>
      <c r="G86" s="16">
        <v>45792</v>
      </c>
      <c r="H86" s="15" t="str">
        <f t="shared" si="27"/>
        <v>NA</v>
      </c>
      <c r="I86" s="15"/>
      <c r="J86" s="15"/>
      <c r="K86" s="15" t="str">
        <f t="shared" si="28"/>
        <v>NA</v>
      </c>
      <c r="L86" s="15"/>
      <c r="M86" s="15">
        <f t="shared" si="29"/>
        <v>45793</v>
      </c>
      <c r="N86" s="12">
        <v>45793</v>
      </c>
      <c r="O86" s="1">
        <f>IF(ISERROR(SEARCH("Poço",D86)),IF(N86="","Erro",IF(Q86="Reprovado","Reprovado",IF(D86="Operacional", WORKDAY(N86,10,FERIADOS!$A$3:$A$119),IF(D86="Óleo - Enxofre", "NA", G86+3)))),"")</f>
        <v>45795</v>
      </c>
      <c r="P86" s="16">
        <v>45793</v>
      </c>
      <c r="Q86" s="7"/>
      <c r="R86" s="12"/>
      <c r="S86" s="27"/>
      <c r="T86" s="23"/>
      <c r="W86" t="str">
        <f t="shared" si="23"/>
        <v>CDMT62-AP-0124 (Operational Oil)</v>
      </c>
      <c r="X8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7" spans="1:24" ht="12.5" x14ac:dyDescent="0.25">
      <c r="A87" s="10"/>
      <c r="B87" s="19" t="s">
        <v>46</v>
      </c>
      <c r="C87" s="5" t="s">
        <v>307</v>
      </c>
      <c r="D87" s="20" t="s">
        <v>303</v>
      </c>
      <c r="E87" s="36"/>
      <c r="F87" s="29" cm="1">
        <f t="array" ref="F87">IF(V87 &lt;&gt; "", V87,
  IF(NOT(ISERROR(SEARCH("Poço", D87))),
    IF(G87 = "", "", G87),
    IFERROR(_xlfn.SINGLE(INDEX($G$1:G86, SUMPRODUCT(MAX(($W$1:W86 = W87) * ROW($W$1:W86))))) +
      IF(
      D87 = "Fiscal", 30,
        IF(D87 = "Óleo - Densidade", IF(OR(B87 = "SEP", B87 = "ATD", B87 = "ADG"), 90, 365),
          IF(D87 = "Óleo - Enxofre", 365, 180)
        )
      ),
      ""
    )
  )
)</f>
        <v>46157</v>
      </c>
      <c r="G87" s="21"/>
      <c r="H87" s="15" t="str">
        <f t="shared" si="27"/>
        <v>Erro</v>
      </c>
      <c r="I87" s="15"/>
      <c r="J87" s="15"/>
      <c r="K87" s="15" t="str">
        <f t="shared" si="28"/>
        <v>Erro</v>
      </c>
      <c r="L87" s="15"/>
      <c r="M87" s="15" t="str">
        <f t="shared" si="29"/>
        <v>Erro</v>
      </c>
      <c r="N87" s="13"/>
      <c r="O87" s="2" t="str">
        <f>IF(ISERROR(SEARCH("Poço",D87)),IF(N87="","Erro",IF(Q87="Reprovado","Reprovado",IF(D87="Operacional", WORKDAY(N87,10,FERIADOS!$A$3:$A$119),IF(D87="Óleo - Enxofre", "NA", G87+3)))),"")</f>
        <v>Erro</v>
      </c>
      <c r="P87" s="21"/>
      <c r="Q87" s="7"/>
      <c r="R87" s="13"/>
      <c r="S87" s="30"/>
      <c r="T87" s="34"/>
      <c r="W87" t="str">
        <f t="shared" si="23"/>
        <v>CDMT62-AP-0124 (Operational Oil)</v>
      </c>
      <c r="X8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8" spans="1:24" ht="12.5" x14ac:dyDescent="0.25">
      <c r="A88" s="10"/>
      <c r="B88" s="17" t="s">
        <v>31</v>
      </c>
      <c r="C88" s="6" t="s">
        <v>307</v>
      </c>
      <c r="D88" s="18" t="s">
        <v>303</v>
      </c>
      <c r="E88" s="36"/>
      <c r="F88" s="25" t="str" cm="1">
        <f t="array" ref="F88">IF(V88 &lt;&gt; "", V88,
  IF(NOT(ISERROR(SEARCH("Poço", D88))),
    IF(G88 = "", "", G88),
    IFERROR(_xlfn.SINGLE(INDEX($G$1:G87, SUMPRODUCT(MAX(($W$1:W87 = W88) * ROW($W$1:W87))))) +
      IF(
      D88 = "Fiscal", 30,
        IF(D88 = "Óleo - Densidade", IF(OR(B88 = "SEP", B88 = "ATD", B88 = "ADG"), 90, 365),
          IF(D88 = "Óleo - Enxofre", 365, 180)
        )
      ),
      ""
    )
  )
)</f>
        <v/>
      </c>
      <c r="G88" s="16">
        <v>45792</v>
      </c>
      <c r="H88" s="15" t="str">
        <f t="shared" si="27"/>
        <v>NA</v>
      </c>
      <c r="I88" s="15"/>
      <c r="J88" s="15"/>
      <c r="K88" s="15" t="str">
        <f t="shared" si="28"/>
        <v>NA</v>
      </c>
      <c r="L88" s="15"/>
      <c r="M88" s="15">
        <f t="shared" si="29"/>
        <v>45793</v>
      </c>
      <c r="N88" s="12">
        <v>45793</v>
      </c>
      <c r="O88" s="1">
        <f>IF(ISERROR(SEARCH("Poço",D88)),IF(N88="","Erro",IF(Q88="Reprovado","Reprovado",IF(D88="Operacional", WORKDAY(N88,10,FERIADOS!$A$3:$A$119),IF(D88="Óleo - Enxofre", "NA", G88+3)))),"")</f>
        <v>45795</v>
      </c>
      <c r="P88" s="16">
        <v>45793</v>
      </c>
      <c r="Q88" s="7"/>
      <c r="R88" s="12"/>
      <c r="S88" s="27"/>
      <c r="T88" s="23"/>
      <c r="W88" t="str">
        <f t="shared" si="23"/>
        <v>CDIT62-AP-0124 (Operational Oil)</v>
      </c>
      <c r="X8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89" spans="1:24" ht="12.5" x14ac:dyDescent="0.25">
      <c r="A89" s="10"/>
      <c r="B89" s="19" t="s">
        <v>31</v>
      </c>
      <c r="C89" s="5" t="s">
        <v>307</v>
      </c>
      <c r="D89" s="20" t="s">
        <v>303</v>
      </c>
      <c r="E89" s="36"/>
      <c r="F89" s="29" cm="1">
        <f t="array" ref="F89">IF(V89 &lt;&gt; "", V89,
  IF(NOT(ISERROR(SEARCH("Poço", D89))),
    IF(G89 = "", "", G89),
    IFERROR(_xlfn.SINGLE(INDEX($G$1:G88, SUMPRODUCT(MAX(($W$1:W88 = W89) * ROW($W$1:W88))))) +
      IF(
      D89 = "Fiscal", 30,
        IF(D89 = "Óleo - Densidade", IF(OR(B89 = "SEP", B89 = "ATD", B89 = "ADG"), 90, 365),
          IF(D89 = "Óleo - Enxofre", 365, 180)
        )
      ),
      ""
    )
  )
)</f>
        <v>46157</v>
      </c>
      <c r="G89" s="21"/>
      <c r="H89" s="15" t="str">
        <f t="shared" si="27"/>
        <v>Erro</v>
      </c>
      <c r="I89" s="15"/>
      <c r="J89" s="15"/>
      <c r="K89" s="15" t="str">
        <f t="shared" si="28"/>
        <v>Erro</v>
      </c>
      <c r="L89" s="15"/>
      <c r="M89" s="15" t="str">
        <f t="shared" si="29"/>
        <v>Erro</v>
      </c>
      <c r="N89" s="13"/>
      <c r="O89" s="2" t="str">
        <f>IF(ISERROR(SEARCH("Poço",D89)),IF(N89="","Erro",IF(Q89="Reprovado","Reprovado",IF(D89="Operacional", WORKDAY(N89,10,FERIADOS!$A$3:$A$119),IF(D89="Óleo - Enxofre", "NA", G89+3)))),"")</f>
        <v>Erro</v>
      </c>
      <c r="P89" s="21"/>
      <c r="Q89" s="7"/>
      <c r="R89" s="13"/>
      <c r="S89" s="30"/>
      <c r="T89" s="34"/>
      <c r="W89" t="str">
        <f t="shared" si="23"/>
        <v>CDIT62-AP-0124 (Operational Oil)</v>
      </c>
      <c r="X8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0" spans="1:24" ht="12.5" x14ac:dyDescent="0.25">
      <c r="A90" s="10"/>
      <c r="B90" s="19" t="s">
        <v>46</v>
      </c>
      <c r="C90" s="5" t="s">
        <v>284</v>
      </c>
      <c r="D90" s="20" t="s">
        <v>267</v>
      </c>
      <c r="E90" s="36"/>
      <c r="F90" s="29" cm="1">
        <f t="array" ref="F90">IF(V90 &lt;&gt; "", V90,
  IF(NOT(ISERROR(SEARCH("Poço", D90))),
    IF(G90 = "", "", G90),
    IFERROR(_xlfn.SINGLE(INDEX($G$1:G89, SUMPRODUCT(MAX(($W$1:W89 = W90) * ROW($W$1:W89))))) +
      IF(
      D90 = "Fiscal", 30,
        IF(D90 = "Óleo - Densidade", IF(OR(B90 = "SEP", B90 = "ATD", B90 = "ADG"), 90, 365),
          IF(D90 = "Óleo - Enxofre", 365, 180)
        )
      ),
      ""
    )
  )
)</f>
        <v>45961</v>
      </c>
      <c r="G90" s="21">
        <v>45809</v>
      </c>
      <c r="H90" s="15">
        <f t="shared" ref="H90:H97" si="30">IF(G90="","Erro",IF(D90="Óleo - Densidade", "NA", G90+10))</f>
        <v>45819</v>
      </c>
      <c r="I90" s="15"/>
      <c r="J90" s="15"/>
      <c r="K90" s="15">
        <f t="shared" ref="K90:K97" si="31">IF(G90="","Erro",IF(D90="Óleo - Densidade", "NA", G90+20))</f>
        <v>45829</v>
      </c>
      <c r="L90" s="15"/>
      <c r="M90" s="15">
        <f t="shared" ref="M90:M97" si="32">IF(G90="","Erro",G90+IF(D90="Fiscal",25,IF(D90="Óleo - Densidade", 1, IF(D90="Óleo - Enxofre", 25, 45))))</f>
        <v>45854</v>
      </c>
      <c r="N90" s="13">
        <v>45834</v>
      </c>
      <c r="O90" s="2">
        <f>IF(ISERROR(SEARCH("Poço",D90)),IF(N90="","Erro",IF(Q90="Reprovado","Reprovado",IF(D90="Operacional", WORKDAY(N90,10,FERIADOS!$A$3:$A$119),IF(D90="Óleo - Enxofre", "NA", G90+3)))),"")</f>
        <v>45848</v>
      </c>
      <c r="P90" s="21">
        <v>45838</v>
      </c>
      <c r="Q90" s="7" t="s">
        <v>37</v>
      </c>
      <c r="R90" s="13"/>
      <c r="S90" s="30"/>
      <c r="T90" s="34"/>
      <c r="W90" t="str">
        <f t="shared" si="23"/>
        <v>CDMT75-AX-1139 (Injection Gas)</v>
      </c>
      <c r="X9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1" spans="1:24" ht="12.5" x14ac:dyDescent="0.25">
      <c r="A91" s="10"/>
      <c r="B91" s="8" t="s">
        <v>46</v>
      </c>
      <c r="C91" s="5" t="s">
        <v>284</v>
      </c>
      <c r="D91" s="9" t="s">
        <v>267</v>
      </c>
      <c r="E91" s="36"/>
      <c r="F91" s="29" cm="1">
        <f t="array" ref="F91">IF(V91 &lt;&gt; "", V91,
  IF(NOT(ISERROR(SEARCH("Poço", D91))),
    IF(G91 = "", "", G91),
    IFERROR(_xlfn.SINGLE(INDEX($G$1:G90, SUMPRODUCT(MAX(($W$1:W90 = W91) * ROW($W$1:W90))))) +
      IF(
      D91 = "Fiscal", 30,
        IF(D91 = "Óleo - Densidade", IF(OR(B91 = "SEP", B91 = "ATD", B91 = "ADG"), 90, 365),
          IF(D91 = "Óleo - Enxofre", 365, 180)
        )
      ),
      ""
    )
  )
)</f>
        <v>45989</v>
      </c>
      <c r="G91" s="13">
        <v>45843</v>
      </c>
      <c r="H91" s="15">
        <f t="shared" si="30"/>
        <v>45853</v>
      </c>
      <c r="I91" s="15"/>
      <c r="J91" s="15"/>
      <c r="K91" s="15">
        <f t="shared" si="31"/>
        <v>45863</v>
      </c>
      <c r="L91" s="15"/>
      <c r="M91" s="15">
        <f t="shared" si="32"/>
        <v>45888</v>
      </c>
      <c r="N91" s="13">
        <v>45863</v>
      </c>
      <c r="O91" s="2">
        <f>IF(ISERROR(SEARCH("Poço",D91)),IF(N91="","Erro",IF(Q91="Reprovado","Reprovado",IF(D91="Operacional", WORKDAY(N91,10,FERIADOS!$A$3:$A$119),IF(D91="Óleo - Enxofre", "NA", G91+3)))),"")</f>
        <v>45877</v>
      </c>
      <c r="P91" s="13">
        <v>45867</v>
      </c>
      <c r="Q91" s="7" t="s">
        <v>37</v>
      </c>
      <c r="R91" s="13"/>
      <c r="S91" s="30"/>
      <c r="T91" s="34"/>
      <c r="W91" t="str">
        <f t="shared" si="23"/>
        <v>CDMT75-AX-1139 (Injection Gas)</v>
      </c>
      <c r="X9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2" spans="1:24" ht="12.5" x14ac:dyDescent="0.25">
      <c r="A92" s="10"/>
      <c r="B92" s="17" t="s">
        <v>192</v>
      </c>
      <c r="C92" s="6" t="s">
        <v>268</v>
      </c>
      <c r="D92" s="18" t="s">
        <v>267</v>
      </c>
      <c r="E92" s="36"/>
      <c r="F92" s="25" t="str" cm="1">
        <f t="array" ref="F92">IF(V92 &lt;&gt; "", V92,
  IF(NOT(ISERROR(SEARCH("Poço", D92))),
    IF(G92 = "", "", G92),
    IFERROR(_xlfn.SINGLE(INDEX($G$1:G91, SUMPRODUCT(MAX(($W$1:W91 = W92) * ROW($W$1:W91))))) +
      IF(
      D92 = "Fiscal", 30,
        IF(D92 = "Óleo - Densidade", IF(OR(B92 = "SEP", B92 = "ATD", B92 = "ADG"), 90, 365),
          IF(D92 = "Óleo - Enxofre", 365, 180)
        )
      ),
      ""
    )
  )
)</f>
        <v/>
      </c>
      <c r="G92" s="16">
        <v>45806</v>
      </c>
      <c r="H92" s="15">
        <f t="shared" si="30"/>
        <v>45816</v>
      </c>
      <c r="I92" s="15"/>
      <c r="J92" s="15"/>
      <c r="K92" s="15">
        <f t="shared" si="31"/>
        <v>45826</v>
      </c>
      <c r="L92" s="15"/>
      <c r="M92" s="15">
        <f t="shared" si="32"/>
        <v>45851</v>
      </c>
      <c r="N92" s="12">
        <v>45828</v>
      </c>
      <c r="O92" s="1">
        <f>IF(ISERROR(SEARCH("Poço",D92)),IF(N92="","Erro",IF(Q92="Reprovado","Reprovado",IF(D92="Operacional", WORKDAY(N92,10,FERIADOS!$A$3:$A$119),IF(D92="Óleo - Enxofre", "NA", G92+3)))),"")</f>
        <v>45842</v>
      </c>
      <c r="P92" s="16">
        <v>45841</v>
      </c>
      <c r="Q92" s="7" t="s">
        <v>37</v>
      </c>
      <c r="R92" s="12"/>
      <c r="S92" s="27"/>
      <c r="T92" s="23"/>
      <c r="W92" t="str">
        <f t="shared" si="23"/>
        <v>ADG771-AP-0123 (FWKO Drum)</v>
      </c>
      <c r="X9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3" spans="1:24" ht="12.5" x14ac:dyDescent="0.25">
      <c r="A93" s="10"/>
      <c r="B93" s="10" t="s">
        <v>192</v>
      </c>
      <c r="C93" s="6" t="s">
        <v>270</v>
      </c>
      <c r="D93" s="11" t="s">
        <v>267</v>
      </c>
      <c r="E93" s="36"/>
      <c r="F93" s="25" t="str" cm="1">
        <f t="array" ref="F93">IF(V93 &lt;&gt; "", V93,
  IF(NOT(ISERROR(SEARCH("Poço", D93))),
    IF(G93 = "", "", G93),
    IFERROR(_xlfn.SINGLE(INDEX($G$1:G92, SUMPRODUCT(MAX(($W$1:W92 = W93) * ROW($W$1:W92))))) +
      IF(
      D93 = "Fiscal", 30,
        IF(D93 = "Óleo - Densidade", IF(OR(B93 = "SEP", B93 = "ATD", B93 = "ADG"), 90, 365),
          IF(D93 = "Óleo - Enxofre", 365, 180)
        )
      ),
      ""
    )
  )
)</f>
        <v/>
      </c>
      <c r="G93" s="16">
        <v>45807</v>
      </c>
      <c r="H93" s="15">
        <f t="shared" si="30"/>
        <v>45817</v>
      </c>
      <c r="I93" s="15"/>
      <c r="J93" s="15"/>
      <c r="K93" s="15">
        <f t="shared" si="31"/>
        <v>45827</v>
      </c>
      <c r="L93" s="15"/>
      <c r="M93" s="15">
        <f t="shared" si="32"/>
        <v>45852</v>
      </c>
      <c r="N93" s="12">
        <v>45828</v>
      </c>
      <c r="O93" s="1">
        <f>IF(ISERROR(SEARCH("Poço",D93)),IF(N93="","Erro",IF(Q93="Reprovado","Reprovado",IF(D93="Operacional", WORKDAY(N93,10,FERIADOS!$A$3:$A$119),IF(D93="Óleo - Enxofre", "NA", G93+3)))),"")</f>
        <v>45842</v>
      </c>
      <c r="P93" s="12">
        <v>45841</v>
      </c>
      <c r="Q93" s="7" t="s">
        <v>37</v>
      </c>
      <c r="R93" s="12"/>
      <c r="S93" s="27"/>
      <c r="T93" s="23"/>
      <c r="W93" t="str">
        <f t="shared" si="23"/>
        <v>ADG771-AP-0213 (LP Degasser)</v>
      </c>
      <c r="X9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4" spans="1:24" ht="12.5" x14ac:dyDescent="0.25">
      <c r="A94" s="10"/>
      <c r="B94" s="10" t="s">
        <v>192</v>
      </c>
      <c r="C94" s="6" t="s">
        <v>269</v>
      </c>
      <c r="D94" s="11" t="s">
        <v>267</v>
      </c>
      <c r="E94" s="36"/>
      <c r="F94" s="25" t="str" cm="1">
        <f t="array" ref="F94">IF(V94 &lt;&gt; "", V94,
  IF(NOT(ISERROR(SEARCH("Poço", D94))),
    IF(G94 = "", "", G94),
    IFERROR(_xlfn.SINGLE(INDEX($G$1:G93, SUMPRODUCT(MAX(($W$1:W93 = W94) * ROW($W$1:W93))))) +
      IF(
      D94 = "Fiscal", 30,
        IF(D94 = "Óleo - Densidade", IF(OR(B94 = "SEP", B94 = "ATD", B94 = "ADG"), 90, 365),
          IF(D94 = "Óleo - Enxofre", 365, 180)
        )
      ),
      ""
    )
  )
)</f>
        <v/>
      </c>
      <c r="G94" s="16">
        <v>45806</v>
      </c>
      <c r="H94" s="15">
        <f t="shared" si="30"/>
        <v>45816</v>
      </c>
      <c r="I94" s="15"/>
      <c r="J94" s="15"/>
      <c r="K94" s="15">
        <f t="shared" si="31"/>
        <v>45826</v>
      </c>
      <c r="L94" s="15"/>
      <c r="M94" s="15">
        <f t="shared" si="32"/>
        <v>45851</v>
      </c>
      <c r="N94" s="12">
        <v>45828</v>
      </c>
      <c r="O94" s="1">
        <f>IF(ISERROR(SEARCH("Poço",D94)),IF(N94="","Erro",IF(Q94="Reprovado","Reprovado",IF(D94="Operacional", WORKDAY(N94,10,FERIADOS!$A$3:$A$119),IF(D94="Óleo - Enxofre", "NA", G94+3)))),"")</f>
        <v>45842</v>
      </c>
      <c r="P94" s="12">
        <v>45841</v>
      </c>
      <c r="Q94" s="7" t="s">
        <v>37</v>
      </c>
      <c r="R94" s="12"/>
      <c r="S94" s="27"/>
      <c r="T94" s="23"/>
      <c r="W94" t="str">
        <f t="shared" si="23"/>
        <v>ADG771-AP-0202 (IP Flash Vessel)</v>
      </c>
      <c r="X9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5" spans="1:24" ht="12.5" x14ac:dyDescent="0.25">
      <c r="A95" s="10"/>
      <c r="B95" s="8" t="s">
        <v>192</v>
      </c>
      <c r="C95" s="5" t="s">
        <v>268</v>
      </c>
      <c r="D95" s="9" t="s">
        <v>267</v>
      </c>
      <c r="E95" s="36"/>
      <c r="F95" s="29" cm="1">
        <f t="array" ref="F95">IF(V95 &lt;&gt; "", V95,
  IF(NOT(ISERROR(SEARCH("Poço", D95))),
    IF(G95 = "", "", G95),
    IFERROR(_xlfn.SINGLE(INDEX($G$1:G94, SUMPRODUCT(MAX(($W$1:W94 = W95) * ROW($W$1:W94))))) +
      IF(
      D95 = "Fiscal", 30,
        IF(D95 = "Óleo - Densidade", IF(OR(B95 = "SEP", B95 = "ATD", B95 = "ADG"), 90, 365),
          IF(D95 = "Óleo - Enxofre", 365, 180)
        )
      ),
      ""
    )
  )
)</f>
        <v>45986</v>
      </c>
      <c r="G95" s="13">
        <v>45833</v>
      </c>
      <c r="H95" s="15">
        <f t="shared" si="30"/>
        <v>45843</v>
      </c>
      <c r="I95" s="15"/>
      <c r="J95" s="15"/>
      <c r="K95" s="15">
        <f t="shared" si="31"/>
        <v>45853</v>
      </c>
      <c r="L95" s="15"/>
      <c r="M95" s="15">
        <f t="shared" si="32"/>
        <v>45878</v>
      </c>
      <c r="N95" s="13">
        <v>45857</v>
      </c>
      <c r="O95" s="2">
        <f>IF(ISERROR(SEARCH("Poço",D95)),IF(N95="","Erro",IF(Q95="Reprovado","Reprovado",IF(D95="Operacional", WORKDAY(N95,10,FERIADOS!$A$3:$A$119),IF(D95="Óleo - Enxofre", "NA", G95+3)))),"")</f>
        <v>45870</v>
      </c>
      <c r="P95" s="13">
        <v>45861</v>
      </c>
      <c r="Q95" s="7" t="s">
        <v>37</v>
      </c>
      <c r="R95" s="13"/>
      <c r="S95" s="30"/>
      <c r="T95" s="34"/>
      <c r="W95" t="str">
        <f t="shared" si="23"/>
        <v>ADG771-AP-0123 (FWKO Drum)</v>
      </c>
      <c r="X9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6" spans="1:24" ht="12.5" x14ac:dyDescent="0.25">
      <c r="A96" s="10"/>
      <c r="B96" s="8" t="s">
        <v>192</v>
      </c>
      <c r="C96" s="5" t="s">
        <v>270</v>
      </c>
      <c r="D96" s="9" t="s">
        <v>267</v>
      </c>
      <c r="E96" s="36"/>
      <c r="F96" s="29" cm="1">
        <f t="array" ref="F96">IF(V96 &lt;&gt; "", V96,
  IF(NOT(ISERROR(SEARCH("Poço", D96))),
    IF(G96 = "", "", G96),
    IFERROR(_xlfn.SINGLE(INDEX($G$1:G95, SUMPRODUCT(MAX(($W$1:W95 = W96) * ROW($W$1:W95))))) +
      IF(
      D96 = "Fiscal", 30,
        IF(D96 = "Óleo - Densidade", IF(OR(B96 = "SEP", B96 = "ATD", B96 = "ADG"), 90, 365),
          IF(D96 = "Óleo - Enxofre", 365, 180)
        )
      ),
      ""
    )
  )
)</f>
        <v>45987</v>
      </c>
      <c r="G96" s="13">
        <v>45981</v>
      </c>
      <c r="H96" s="15">
        <f t="shared" si="30"/>
        <v>45991</v>
      </c>
      <c r="I96" s="15"/>
      <c r="J96" s="15"/>
      <c r="K96" s="15">
        <f t="shared" si="31"/>
        <v>46001</v>
      </c>
      <c r="L96" s="15"/>
      <c r="M96" s="15">
        <f t="shared" si="32"/>
        <v>46026</v>
      </c>
      <c r="N96" s="13">
        <v>46025</v>
      </c>
      <c r="O96" s="2">
        <f>IF(ISERROR(SEARCH("Poço",D96)),IF(N96="","Erro",IF(Q96="Reprovado","Reprovado",IF(D96="Operacional", WORKDAY(N96,10,FERIADOS!$A$3:$A$119),IF(D96="Óleo - Enxofre", "NA", G96+3)))),"")</f>
        <v>46038</v>
      </c>
      <c r="P96" s="13">
        <v>46028</v>
      </c>
      <c r="Q96" s="7" t="s">
        <v>37</v>
      </c>
      <c r="R96" s="13"/>
      <c r="S96" s="30"/>
      <c r="T96" s="34"/>
      <c r="W96" t="str">
        <f t="shared" si="23"/>
        <v>ADG771-AP-0213 (LP Degasser)</v>
      </c>
      <c r="X9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7" spans="1:24" ht="12.5" x14ac:dyDescent="0.25">
      <c r="A97" s="10"/>
      <c r="B97" s="8" t="s">
        <v>192</v>
      </c>
      <c r="C97" s="5" t="s">
        <v>269</v>
      </c>
      <c r="D97" s="9" t="s">
        <v>267</v>
      </c>
      <c r="E97" s="36"/>
      <c r="F97" s="29" cm="1">
        <f t="array" ref="F97">IF(V97 &lt;&gt; "", V97,
  IF(NOT(ISERROR(SEARCH("Poço", D97))),
    IF(G97 = "", "", G97),
    IFERROR(_xlfn.SINGLE(INDEX($G$1:G96, SUMPRODUCT(MAX(($W$1:W96 = W97) * ROW($W$1:W96))))) +
      IF(
      D97 = "Fiscal", 30,
        IF(D97 = "Óleo - Densidade", IF(OR(B97 = "SEP", B97 = "ATD", B97 = "ADG"), 90, 365),
          IF(D97 = "Óleo - Enxofre", 365, 180)
        )
      ),
      ""
    )
  )
)</f>
        <v>45986</v>
      </c>
      <c r="G97" s="13">
        <v>45981</v>
      </c>
      <c r="H97" s="15">
        <f t="shared" si="30"/>
        <v>45991</v>
      </c>
      <c r="I97" s="15"/>
      <c r="J97" s="15"/>
      <c r="K97" s="15">
        <f t="shared" si="31"/>
        <v>46001</v>
      </c>
      <c r="L97" s="15"/>
      <c r="M97" s="15">
        <f t="shared" si="32"/>
        <v>46026</v>
      </c>
      <c r="N97" s="13">
        <v>46025</v>
      </c>
      <c r="O97" s="2">
        <f>IF(ISERROR(SEARCH("Poço",D97)),IF(N97="","Erro",IF(Q97="Reprovado","Reprovado",IF(D97="Operacional", WORKDAY(N97,10,FERIADOS!$A$3:$A$119),IF(D97="Óleo - Enxofre", "NA", G97+3)))),"")</f>
        <v>46038</v>
      </c>
      <c r="P97" s="13">
        <v>46028</v>
      </c>
      <c r="Q97" s="7" t="s">
        <v>37</v>
      </c>
      <c r="R97" s="13"/>
      <c r="S97" s="30"/>
      <c r="T97" s="34"/>
      <c r="W97" t="str">
        <f t="shared" si="23"/>
        <v>ADG771-AP-0202 (IP Flash Vessel)</v>
      </c>
      <c r="X9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8" spans="1:24" ht="12.5" x14ac:dyDescent="0.25">
      <c r="A98" s="10"/>
      <c r="B98" s="17" t="s">
        <v>145</v>
      </c>
      <c r="C98" s="6" t="s">
        <v>308</v>
      </c>
      <c r="D98" s="18" t="s">
        <v>267</v>
      </c>
      <c r="E98" s="36"/>
      <c r="F98" s="25" t="str" cm="1">
        <f t="array" ref="F98">IF(V98 &lt;&gt; "", V98,
  IF(NOT(ISERROR(SEARCH("Poço", D98))),
    IF(G98 = "", "", G98),
    IFERROR(_xlfn.SINGLE(INDEX($G$1:G97, SUMPRODUCT(MAX(($W$1:W97 = W98) * ROW($W$1:W97))))) +
      IF(
      D98 = "Fiscal", 30,
        IF(D98 = "Óleo - Densidade", IF(OR(B98 = "SEP", B98 = "ATD", B98 = "ADG"), 90, 365),
          IF(D98 = "Óleo - Enxofre", 365, 180)
        )
      ),
      ""
    )
  )
)</f>
        <v/>
      </c>
      <c r="G98" s="16">
        <v>45762</v>
      </c>
      <c r="H98" s="15">
        <f t="shared" ref="H98:H104" si="33">IF(G98="","Erro",IF(D98="Óleo - Densidade", "NA", G98+10))</f>
        <v>45772</v>
      </c>
      <c r="I98" s="15"/>
      <c r="J98" s="15"/>
      <c r="K98" s="15">
        <f t="shared" ref="K98:K104" si="34">IF(G98="","Erro",IF(D98="Óleo - Densidade", "NA", G98+20))</f>
        <v>45782</v>
      </c>
      <c r="L98" s="15"/>
      <c r="M98" s="15">
        <f t="shared" ref="M98:M104" si="35">IF(G98="","Erro",G98+IF(D98="Fiscal",25,IF(D98="Óleo - Densidade", 1, IF(D98="Óleo - Enxofre", 25, 45))))</f>
        <v>45807</v>
      </c>
      <c r="N98" s="12">
        <v>45807</v>
      </c>
      <c r="O98" s="1">
        <f>IF(ISERROR(SEARCH("Poço",D98)),IF(N98="","Erro",IF(Q98="Reprovado","Reprovado",IF(D98="Operacional", WORKDAY(N98,10,FERIADOS!$A$3:$A$119),IF(D98="Óleo - Enxofre", "NA", G98+3)))),"")</f>
        <v>45821</v>
      </c>
      <c r="P98" s="16">
        <v>45812</v>
      </c>
      <c r="Q98" s="7" t="s">
        <v>37</v>
      </c>
      <c r="R98" s="12"/>
      <c r="S98" s="27"/>
      <c r="T98" s="23"/>
      <c r="W98" t="str">
        <f t="shared" si="23"/>
        <v>ATD771-AP-0712A (FWKO Drum A)</v>
      </c>
      <c r="X9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99" spans="1:24" ht="12.5" x14ac:dyDescent="0.25">
      <c r="A99" s="10"/>
      <c r="B99" s="19" t="s">
        <v>145</v>
      </c>
      <c r="C99" s="5" t="s">
        <v>308</v>
      </c>
      <c r="D99" s="20" t="s">
        <v>267</v>
      </c>
      <c r="E99" s="36"/>
      <c r="F99" s="29" cm="1">
        <f t="array" ref="F99">IF(V99 &lt;&gt; "", V99,
  IF(NOT(ISERROR(SEARCH("Poço", D99))),
    IF(G99 = "", "", G99),
    IFERROR(_xlfn.SINGLE(INDEX($G$1:G98, SUMPRODUCT(MAX(($W$1:W98 = W99) * ROW($W$1:W98))))) +
      IF(
      D99 = "Fiscal", 30,
        IF(D99 = "Óleo - Densidade", IF(OR(B99 = "SEP", B99 = "ATD", B99 = "ADG"), 90, 365),
          IF(D99 = "Óleo - Enxofre", 365, 180)
        )
      ),
      ""
    )
  )
)</f>
        <v>45942</v>
      </c>
      <c r="G99" s="21">
        <v>45933</v>
      </c>
      <c r="H99" s="15">
        <f t="shared" si="33"/>
        <v>45943</v>
      </c>
      <c r="I99" s="15"/>
      <c r="J99" s="15"/>
      <c r="K99" s="15">
        <f t="shared" si="34"/>
        <v>45953</v>
      </c>
      <c r="L99" s="15"/>
      <c r="M99" s="15">
        <f t="shared" si="35"/>
        <v>45978</v>
      </c>
      <c r="N99" s="13">
        <v>45958</v>
      </c>
      <c r="O99" s="2">
        <f>IF(ISERROR(SEARCH("Poço",D99)),IF(N99="","Erro",IF(Q99="Reprovado","Reprovado",IF(D99="Operacional", WORKDAY(N99,10,FERIADOS!$A$3:$A$119),IF(D99="Óleo - Enxofre", "NA", G99+3)))),"")</f>
        <v>45972</v>
      </c>
      <c r="P99" s="21">
        <v>45961</v>
      </c>
      <c r="Q99" s="7" t="s">
        <v>37</v>
      </c>
      <c r="R99" s="13"/>
      <c r="S99" s="30"/>
      <c r="T99" s="34"/>
      <c r="W99" t="str">
        <f t="shared" si="23"/>
        <v>ATD771-AP-0712A (FWKO Drum A)</v>
      </c>
      <c r="X9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0" spans="1:24" ht="12.5" x14ac:dyDescent="0.25">
      <c r="A100" s="10"/>
      <c r="B100" s="8" t="s">
        <v>34</v>
      </c>
      <c r="C100" s="5" t="s">
        <v>290</v>
      </c>
      <c r="D100" s="9" t="s">
        <v>267</v>
      </c>
      <c r="E100" s="36"/>
      <c r="F100" s="29" cm="1">
        <f t="array" ref="F100">IF(V100 &lt;&gt; "", V100,
  IF(NOT(ISERROR(SEARCH("Poço", D100))),
    IF(G100 = "", "", G100),
    IFERROR(_xlfn.SINGLE(INDEX($G$1:G99, SUMPRODUCT(MAX(($W$1:W99 = W100) * ROW($W$1:W99))))) +
      IF(
      D100 = "Fiscal", 30,
        IF(D100 = "Óleo - Densidade", IF(OR(B100 = "SEP", B100 = "ATD", B100 = "ADG"), 90, 365),
          IF(D100 = "Óleo - Enxofre", 365, 180)
        )
      ),
      ""
    )
  )
)</f>
        <v>46001</v>
      </c>
      <c r="G100" s="13">
        <v>45988</v>
      </c>
      <c r="H100" s="15">
        <f t="shared" si="33"/>
        <v>45998</v>
      </c>
      <c r="I100" s="15"/>
      <c r="J100" s="15"/>
      <c r="K100" s="15">
        <f t="shared" si="34"/>
        <v>46008</v>
      </c>
      <c r="L100" s="15"/>
      <c r="M100" s="15">
        <f t="shared" si="35"/>
        <v>46033</v>
      </c>
      <c r="N100" s="13">
        <v>46013</v>
      </c>
      <c r="O100" s="2" t="str">
        <f>IF(ISERROR(SEARCH("Poço",D100)),IF(N100="","Erro",IF(Q100="Reprovado","Reprovado",IF(D100="Operacional", WORKDAY(N100,10,FERIADOS!$A$3:$A$119),IF(D100="Óleo - Enxofre", "NA", G100+3)))),"")</f>
        <v>Reprovado</v>
      </c>
      <c r="P100" s="13"/>
      <c r="Q100" s="7" t="s">
        <v>81</v>
      </c>
      <c r="R100" s="13"/>
      <c r="S100" s="30"/>
      <c r="T100" s="34"/>
      <c r="W100" t="str">
        <f t="shared" si="23"/>
        <v>CDST71-AX-0402 (LP Degasser)</v>
      </c>
      <c r="X10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1" spans="1:24" ht="12.5" x14ac:dyDescent="0.25">
      <c r="A101" s="10"/>
      <c r="B101" s="19" t="s">
        <v>52</v>
      </c>
      <c r="C101" s="5" t="s">
        <v>266</v>
      </c>
      <c r="D101" s="20" t="s">
        <v>267</v>
      </c>
      <c r="E101" s="36"/>
      <c r="F101" s="29" cm="1">
        <f t="array" ref="F101">IF(V101 &lt;&gt; "", V101,
  IF(NOT(ISERROR(SEARCH("Poço", D101))),
    IF(G101 = "", "", G101),
    IFERROR(_xlfn.SINGLE(INDEX($G$1:G100, SUMPRODUCT(MAX(($W$1:W100 = W101) * ROW($W$1:W100))))) +
      IF(
      D101 = "Fiscal", 30,
        IF(D101 = "Óleo - Densidade", IF(OR(B101 = "SEP", B101 = "ATD", B101 = "ADG"), 90, 365),
          IF(D101 = "Óleo - Enxofre", 365, 180)
        )
      ),
      ""
    )
  )
)</f>
        <v>46013</v>
      </c>
      <c r="G101" s="21">
        <v>45994</v>
      </c>
      <c r="H101" s="15">
        <f t="shared" si="33"/>
        <v>46004</v>
      </c>
      <c r="I101" s="15"/>
      <c r="J101" s="15"/>
      <c r="K101" s="15">
        <f t="shared" si="34"/>
        <v>46014</v>
      </c>
      <c r="L101" s="15"/>
      <c r="M101" s="15">
        <f t="shared" si="35"/>
        <v>46039</v>
      </c>
      <c r="N101" s="13">
        <v>46019</v>
      </c>
      <c r="O101" s="2">
        <f>IF(ISERROR(SEARCH("Poço",D101)),IF(N101="","Erro",IF(Q101="Reprovado","Reprovado",IF(D101="Operacional", WORKDAY(N101,10,FERIADOS!$A$3:$A$119),IF(D101="Óleo - Enxofre", "NA", G101+3)))),"")</f>
        <v>46034</v>
      </c>
      <c r="P101" s="21">
        <v>46031</v>
      </c>
      <c r="Q101" s="7" t="s">
        <v>37</v>
      </c>
      <c r="R101" s="13"/>
      <c r="S101" s="30"/>
      <c r="T101" s="34"/>
      <c r="W101" t="str">
        <f t="shared" si="23"/>
        <v>SEP771-AP-0102 (HP Separator)</v>
      </c>
      <c r="X10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2" spans="1:24" ht="12.5" x14ac:dyDescent="0.25">
      <c r="A102" s="10"/>
      <c r="B102" s="19" t="s">
        <v>52</v>
      </c>
      <c r="C102" s="5" t="s">
        <v>268</v>
      </c>
      <c r="D102" s="20" t="s">
        <v>267</v>
      </c>
      <c r="E102" s="36"/>
      <c r="F102" s="29" cm="1">
        <f t="array" ref="F102">IF(V102 &lt;&gt; "", V102,
  IF(NOT(ISERROR(SEARCH("Poço", D102))),
    IF(G102 = "", "", G102),
    IFERROR(_xlfn.SINGLE(INDEX($G$1:G101, SUMPRODUCT(MAX(($W$1:W101 = W102) * ROW($W$1:W101))))) +
      IF(
      D102 = "Fiscal", 30,
        IF(D102 = "Óleo - Densidade", IF(OR(B102 = "SEP", B102 = "ATD", B102 = "ADG"), 90, 365),
          IF(D102 = "Óleo - Enxofre", 365, 180)
        )
      ),
      ""
    )
  )
)</f>
        <v>46013</v>
      </c>
      <c r="G102" s="21">
        <v>45994</v>
      </c>
      <c r="H102" s="15">
        <f t="shared" si="33"/>
        <v>46004</v>
      </c>
      <c r="I102" s="15"/>
      <c r="J102" s="15"/>
      <c r="K102" s="15">
        <f t="shared" si="34"/>
        <v>46014</v>
      </c>
      <c r="L102" s="15"/>
      <c r="M102" s="15">
        <f t="shared" si="35"/>
        <v>46039</v>
      </c>
      <c r="N102" s="13">
        <v>46019</v>
      </c>
      <c r="O102" s="2">
        <f>IF(ISERROR(SEARCH("Poço",D102)),IF(N102="","Erro",IF(Q102="Reprovado","Reprovado",IF(D102="Operacional", WORKDAY(N102,10,FERIADOS!$A$3:$A$119),IF(D102="Óleo - Enxofre", "NA", G102+3)))),"")</f>
        <v>46034</v>
      </c>
      <c r="P102" s="21">
        <v>46031</v>
      </c>
      <c r="Q102" s="7" t="s">
        <v>37</v>
      </c>
      <c r="R102" s="13"/>
      <c r="S102" s="30"/>
      <c r="T102" s="34"/>
      <c r="W102" t="str">
        <f t="shared" si="23"/>
        <v>SEP771-AP-0123 (FWKO Drum)</v>
      </c>
      <c r="X10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3" spans="1:24" ht="12.5" x14ac:dyDescent="0.25">
      <c r="A103" s="10"/>
      <c r="B103" s="19" t="s">
        <v>52</v>
      </c>
      <c r="C103" s="5" t="s">
        <v>269</v>
      </c>
      <c r="D103" s="20" t="s">
        <v>267</v>
      </c>
      <c r="E103" s="36"/>
      <c r="F103" s="29" cm="1">
        <f t="array" ref="F103">IF(V103 &lt;&gt; "", V103,
  IF(NOT(ISERROR(SEARCH("Poço", D103))),
    IF(G103 = "", "", G103),
    IFERROR(_xlfn.SINGLE(INDEX($G$1:G102, SUMPRODUCT(MAX(($W$1:W102 = W103) * ROW($W$1:W102))))) +
      IF(
      D103 = "Fiscal", 30,
        IF(D103 = "Óleo - Densidade", IF(OR(B103 = "SEP", B103 = "ATD", B103 = "ADG"), 90, 365),
          IF(D103 = "Óleo - Enxofre", 365, 180)
        )
      ),
      ""
    )
  )
)</f>
        <v>46013</v>
      </c>
      <c r="G103" s="21">
        <v>45994</v>
      </c>
      <c r="H103" s="15">
        <f t="shared" si="33"/>
        <v>46004</v>
      </c>
      <c r="I103" s="15"/>
      <c r="J103" s="15"/>
      <c r="K103" s="15">
        <f t="shared" si="34"/>
        <v>46014</v>
      </c>
      <c r="L103" s="15"/>
      <c r="M103" s="15">
        <f t="shared" si="35"/>
        <v>46039</v>
      </c>
      <c r="N103" s="13">
        <v>46019</v>
      </c>
      <c r="O103" s="2">
        <f>IF(ISERROR(SEARCH("Poço",D103)),IF(N103="","Erro",IF(Q103="Reprovado","Reprovado",IF(D103="Operacional", WORKDAY(N103,10,FERIADOS!$A$3:$A$119),IF(D103="Óleo - Enxofre", "NA", G103+3)))),"")</f>
        <v>46034</v>
      </c>
      <c r="P103" s="21">
        <v>46031</v>
      </c>
      <c r="Q103" s="7" t="s">
        <v>37</v>
      </c>
      <c r="R103" s="13"/>
      <c r="S103" s="30"/>
      <c r="T103" s="34"/>
      <c r="W103" t="str">
        <f t="shared" si="23"/>
        <v>SEP771-AP-0202 (IP Flash Vessel)</v>
      </c>
      <c r="X10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4" spans="1:24" ht="12.5" x14ac:dyDescent="0.25">
      <c r="A104" s="10"/>
      <c r="B104" s="19" t="s">
        <v>52</v>
      </c>
      <c r="C104" s="5" t="s">
        <v>270</v>
      </c>
      <c r="D104" s="20" t="s">
        <v>267</v>
      </c>
      <c r="E104" s="36"/>
      <c r="F104" s="29" cm="1">
        <f t="array" ref="F104">IF(V104 &lt;&gt; "", V104,
  IF(NOT(ISERROR(SEARCH("Poço", D104))),
    IF(G104 = "", "", G104),
    IFERROR(_xlfn.SINGLE(INDEX($G$1:G103, SUMPRODUCT(MAX(($W$1:W103 = W104) * ROW($W$1:W103))))) +
      IF(
      D104 = "Fiscal", 30,
        IF(D104 = "Óleo - Densidade", IF(OR(B104 = "SEP", B104 = "ATD", B104 = "ADG"), 90, 365),
          IF(D104 = "Óleo - Enxofre", 365, 180)
        )
      ),
      ""
    )
  )
)</f>
        <v>46013</v>
      </c>
      <c r="G104" s="21">
        <v>45994</v>
      </c>
      <c r="H104" s="15">
        <f t="shared" si="33"/>
        <v>46004</v>
      </c>
      <c r="I104" s="15"/>
      <c r="J104" s="15"/>
      <c r="K104" s="15">
        <f t="shared" si="34"/>
        <v>46014</v>
      </c>
      <c r="L104" s="15"/>
      <c r="M104" s="15">
        <f t="shared" si="35"/>
        <v>46039</v>
      </c>
      <c r="N104" s="13">
        <v>46019</v>
      </c>
      <c r="O104" s="2">
        <f>IF(ISERROR(SEARCH("Poço",D104)),IF(N104="","Erro",IF(Q104="Reprovado","Reprovado",IF(D104="Operacional", WORKDAY(N104,10,FERIADOS!$A$3:$A$119),IF(D104="Óleo - Enxofre", "NA", G104+3)))),"")</f>
        <v>46034</v>
      </c>
      <c r="P104" s="21">
        <v>46031</v>
      </c>
      <c r="Q104" s="7" t="s">
        <v>37</v>
      </c>
      <c r="R104" s="13"/>
      <c r="S104" s="30"/>
      <c r="T104" s="34"/>
      <c r="W104" t="str">
        <f t="shared" si="23"/>
        <v>SEP771-AP-0213 (LP Degasser)</v>
      </c>
      <c r="X10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5" spans="1:24" ht="12.5" x14ac:dyDescent="0.25">
      <c r="A105" s="10"/>
      <c r="B105" s="19" t="s">
        <v>38</v>
      </c>
      <c r="C105" s="5" t="s">
        <v>271</v>
      </c>
      <c r="D105" s="20" t="s">
        <v>267</v>
      </c>
      <c r="E105" s="36"/>
      <c r="F105" s="29" cm="1">
        <f t="array" ref="F105">IF(V105 &lt;&gt; "", V105,
  IF(NOT(ISERROR(SEARCH("Poço", D105))),
    IF(G105 = "", "", G105),
    IFERROR(_xlfn.SINGLE(INDEX($G$1:G104, SUMPRODUCT(MAX(($W$1:W104 = W105) * ROW($W$1:W104))))) +
      IF(
      D105 = "Fiscal", 30,
        IF(D105 = "Óleo - Densidade", IF(OR(B105 = "SEP", B105 = "ATD", B105 = "ADG"), 90, 365),
          IF(D105 = "Óleo - Enxofre", 365, 180)
        )
      ),
      ""
    )
  )
)</f>
        <v>46018</v>
      </c>
      <c r="G105" s="21">
        <v>45895</v>
      </c>
      <c r="H105" s="15">
        <f t="shared" ref="H105:H113" si="36">IF(G105="","Erro",IF(D105="Óleo - Densidade", "NA", G105+10))</f>
        <v>45905</v>
      </c>
      <c r="I105" s="15"/>
      <c r="J105" s="15"/>
      <c r="K105" s="15">
        <f t="shared" ref="K105:K113" si="37">IF(G105="","Erro",IF(D105="Óleo - Densidade", "NA", G105+20))</f>
        <v>45915</v>
      </c>
      <c r="L105" s="15"/>
      <c r="M105" s="15">
        <f t="shared" ref="M105:M113" si="38">IF(G105="","Erro",G105+IF(D105="Fiscal",25,IF(D105="Óleo - Densidade", 1, IF(D105="Óleo - Enxofre", 25, 45))))</f>
        <v>45940</v>
      </c>
      <c r="N105" s="13">
        <v>45919</v>
      </c>
      <c r="O105" s="2">
        <f>IF(ISERROR(SEARCH("Poço",D105)),IF(N105="","Erro",IF(Q105="Reprovado","Reprovado",IF(D105="Operacional", WORKDAY(N105,10,FERIADOS!$A$3:$A$119),IF(D105="Óleo - Enxofre", "NA", G105+3)))),"")</f>
        <v>45933</v>
      </c>
      <c r="P105" s="21">
        <v>45923</v>
      </c>
      <c r="Q105" s="7" t="s">
        <v>37</v>
      </c>
      <c r="R105" s="13"/>
      <c r="S105" s="30"/>
      <c r="T105" s="34"/>
      <c r="W105" t="str">
        <f t="shared" si="23"/>
        <v>CDPT71-AP-0173 (LP Degasser)</v>
      </c>
      <c r="X10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6" spans="1:24" ht="12.5" x14ac:dyDescent="0.25">
      <c r="A106" s="10"/>
      <c r="B106" s="19" t="s">
        <v>38</v>
      </c>
      <c r="C106" s="5" t="s">
        <v>272</v>
      </c>
      <c r="D106" s="20" t="s">
        <v>267</v>
      </c>
      <c r="E106" s="36"/>
      <c r="F106" s="29" cm="1">
        <f t="array" ref="F106">IF(V106 &lt;&gt; "", V106,
  IF(NOT(ISERROR(SEARCH("Poço", D106))),
    IF(G106 = "", "", G106),
    IFERROR(_xlfn.SINGLE(INDEX($G$1:G105, SUMPRODUCT(MAX(($W$1:W105 = W106) * ROW($W$1:W105))))) +
      IF(
      D106 = "Fiscal", 30,
        IF(D106 = "Óleo - Densidade", IF(OR(B106 = "SEP", B106 = "ATD", B106 = "ADG"), 90, 365),
          IF(D106 = "Óleo - Enxofre", 365, 180)
        )
      ),
      ""
    )
  )
)</f>
        <v>46018</v>
      </c>
      <c r="G106" s="21">
        <v>45895</v>
      </c>
      <c r="H106" s="15">
        <f t="shared" si="36"/>
        <v>45905</v>
      </c>
      <c r="I106" s="15"/>
      <c r="J106" s="15"/>
      <c r="K106" s="15">
        <f t="shared" si="37"/>
        <v>45915</v>
      </c>
      <c r="L106" s="15"/>
      <c r="M106" s="15">
        <f t="shared" si="38"/>
        <v>45940</v>
      </c>
      <c r="N106" s="13">
        <v>45919</v>
      </c>
      <c r="O106" s="2">
        <f>IF(ISERROR(SEARCH("Poço",D106)),IF(N106="","Erro",IF(Q106="Reprovado","Reprovado",IF(D106="Operacional", WORKDAY(N106,10,FERIADOS!$A$3:$A$119),IF(D106="Óleo - Enxofre", "NA", G106+3)))),"")</f>
        <v>45933</v>
      </c>
      <c r="P106" s="21">
        <v>45923</v>
      </c>
      <c r="Q106" s="7" t="s">
        <v>37</v>
      </c>
      <c r="R106" s="13"/>
      <c r="S106" s="30"/>
      <c r="T106" s="34"/>
      <c r="W106" t="str">
        <f t="shared" si="23"/>
        <v>CDPT71-AP-0176 (HP Separator)</v>
      </c>
      <c r="X10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7" spans="1:24" ht="12.5" x14ac:dyDescent="0.25">
      <c r="A107" s="10"/>
      <c r="B107" s="19" t="s">
        <v>38</v>
      </c>
      <c r="C107" s="5" t="s">
        <v>273</v>
      </c>
      <c r="D107" s="20" t="s">
        <v>267</v>
      </c>
      <c r="E107" s="36"/>
      <c r="F107" s="29" cm="1">
        <f t="array" ref="F107">IF(V107 &lt;&gt; "", V107,
  IF(NOT(ISERROR(SEARCH("Poço", D107))),
    IF(G107 = "", "", G107),
    IFERROR(_xlfn.SINGLE(INDEX($G$1:G106, SUMPRODUCT(MAX(($W$1:W106 = W107) * ROW($W$1:W106))))) +
      IF(
      D107 = "Fiscal", 30,
        IF(D107 = "Óleo - Densidade", IF(OR(B107 = "SEP", B107 = "ATD", B107 = "ADG"), 90, 365),
          IF(D107 = "Óleo - Enxofre", 365, 180)
        )
      ),
      ""
    )
  )
)</f>
        <v>46018</v>
      </c>
      <c r="G107" s="21">
        <v>45895</v>
      </c>
      <c r="H107" s="15">
        <f t="shared" si="36"/>
        <v>45905</v>
      </c>
      <c r="I107" s="15"/>
      <c r="J107" s="15"/>
      <c r="K107" s="15">
        <f t="shared" si="37"/>
        <v>45915</v>
      </c>
      <c r="L107" s="15"/>
      <c r="M107" s="15">
        <f t="shared" si="38"/>
        <v>45940</v>
      </c>
      <c r="N107" s="13">
        <v>45919</v>
      </c>
      <c r="O107" s="2">
        <f>IF(ISERROR(SEARCH("Poço",D107)),IF(N107="","Erro",IF(Q107="Reprovado","Reprovado",IF(D107="Operacional", WORKDAY(N107,10,FERIADOS!$A$3:$A$119),IF(D107="Óleo - Enxofre", "NA", G107+3)))),"")</f>
        <v>45933</v>
      </c>
      <c r="P107" s="21">
        <v>45923</v>
      </c>
      <c r="Q107" s="7" t="s">
        <v>37</v>
      </c>
      <c r="R107" s="13"/>
      <c r="S107" s="30"/>
      <c r="T107" s="34"/>
      <c r="W107" t="str">
        <f t="shared" si="23"/>
        <v>CDPT71-AP-0163 (IP Flash Vessel)</v>
      </c>
      <c r="X10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8" spans="1:24" ht="12.5" x14ac:dyDescent="0.25">
      <c r="A108" s="10"/>
      <c r="B108" s="8" t="s">
        <v>46</v>
      </c>
      <c r="C108" s="5" t="s">
        <v>284</v>
      </c>
      <c r="D108" s="9" t="s">
        <v>267</v>
      </c>
      <c r="E108" s="36"/>
      <c r="F108" s="29" cm="1">
        <f t="array" ref="F108">IF(V108 &lt;&gt; "", V108,
  IF(NOT(ISERROR(SEARCH("Poço", D108))),
    IF(G108 = "", "", G108),
    IFERROR(_xlfn.SINGLE(INDEX($G$1:G107, SUMPRODUCT(MAX(($W$1:W107 = W108) * ROW($W$1:W107))))) +
      IF(
      D108 = "Fiscal", 30,
        IF(D108 = "Óleo - Densidade", IF(OR(B108 = "SEP", B108 = "ATD", B108 = "ADG"), 90, 365),
          IF(D108 = "Óleo - Enxofre", 365, 180)
        )
      ),
      ""
    )
  )
)</f>
        <v>46023</v>
      </c>
      <c r="G108" s="13">
        <v>45867</v>
      </c>
      <c r="H108" s="15">
        <f t="shared" si="36"/>
        <v>45877</v>
      </c>
      <c r="I108" s="15"/>
      <c r="J108" s="15"/>
      <c r="K108" s="15">
        <f t="shared" si="37"/>
        <v>45887</v>
      </c>
      <c r="L108" s="15"/>
      <c r="M108" s="15">
        <f t="shared" si="38"/>
        <v>45912</v>
      </c>
      <c r="N108" s="13">
        <v>45891</v>
      </c>
      <c r="O108" s="2">
        <f>IF(ISERROR(SEARCH("Poço",D108)),IF(N108="","Erro",IF(Q108="Reprovado","Reprovado",IF(D108="Operacional", WORKDAY(N108,10,FERIADOS!$A$3:$A$119),IF(D108="Óleo - Enxofre", "NA", G108+3)))),"")</f>
        <v>45905</v>
      </c>
      <c r="P108" s="13">
        <v>45895</v>
      </c>
      <c r="Q108" s="7" t="s">
        <v>37</v>
      </c>
      <c r="R108" s="13"/>
      <c r="S108" s="30"/>
      <c r="T108" s="34"/>
      <c r="W108" t="str">
        <f t="shared" si="23"/>
        <v>CDMT75-AX-1139 (Injection Gas)</v>
      </c>
      <c r="X10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09" spans="1:24" ht="12.5" x14ac:dyDescent="0.25">
      <c r="A109" s="10"/>
      <c r="B109" s="17" t="s">
        <v>192</v>
      </c>
      <c r="C109" s="6" t="s">
        <v>309</v>
      </c>
      <c r="D109" s="18" t="s">
        <v>267</v>
      </c>
      <c r="E109" s="36"/>
      <c r="F109" s="25" t="str" cm="1">
        <f t="array" ref="F109">IF(V109 &lt;&gt; "", V109,
  IF(NOT(ISERROR(SEARCH("Poço", D109))),
    IF(G109 = "", "", G109),
    IFERROR(_xlfn.SINGLE(INDEX($G$1:G108, SUMPRODUCT(MAX(($W$1:W108 = W109) * ROW($W$1:W108))))) +
      IF(
      D109 = "Fiscal", 30,
        IF(D109 = "Óleo - Densidade", IF(OR(B109 = "SEP", B109 = "ATD", B109 = "ADG"), 90, 365),
          IF(D109 = "Óleo - Enxofre", 365, 180)
        )
      ),
      ""
    )
  )
)</f>
        <v/>
      </c>
      <c r="G109" s="16">
        <v>45833</v>
      </c>
      <c r="H109" s="15">
        <f t="shared" si="36"/>
        <v>45843</v>
      </c>
      <c r="I109" s="15"/>
      <c r="J109" s="15"/>
      <c r="K109" s="15">
        <f t="shared" si="37"/>
        <v>45853</v>
      </c>
      <c r="L109" s="15"/>
      <c r="M109" s="15">
        <f t="shared" si="38"/>
        <v>45878</v>
      </c>
      <c r="N109" s="12">
        <v>45857</v>
      </c>
      <c r="O109" s="1">
        <f>IF(ISERROR(SEARCH("Poço",D109)),IF(N109="","Erro",IF(Q109="Reprovado","Reprovado",IF(D109="Operacional", WORKDAY(N109,10,FERIADOS!$A$3:$A$119),IF(D109="Óleo - Enxofre", "NA", G109+3)))),"")</f>
        <v>45870</v>
      </c>
      <c r="P109" s="16">
        <v>45861</v>
      </c>
      <c r="Q109" s="7" t="s">
        <v>37</v>
      </c>
      <c r="R109" s="12"/>
      <c r="S109" s="27"/>
      <c r="T109" s="23"/>
      <c r="W109" t="str">
        <f t="shared" si="23"/>
        <v>ADG772-AP-1710-1 (Gas Dehydration)</v>
      </c>
      <c r="X10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0" spans="1:24" ht="12.5" x14ac:dyDescent="0.25">
      <c r="A110" s="10"/>
      <c r="B110" s="17" t="s">
        <v>192</v>
      </c>
      <c r="C110" s="6" t="s">
        <v>289</v>
      </c>
      <c r="D110" s="18" t="s">
        <v>267</v>
      </c>
      <c r="E110" s="36"/>
      <c r="F110" s="25" t="str" cm="1">
        <f t="array" ref="F110">IF(V110 &lt;&gt; "", V110,
  IF(NOT(ISERROR(SEARCH("Poço", D110))),
    IF(G110 = "", "", G110),
    IFERROR(_xlfn.SINGLE(INDEX($G$1:G109, SUMPRODUCT(MAX(($W$1:W109 = W110) * ROW($W$1:W109))))) +
      IF(
      D110 = "Fiscal", 30,
        IF(D110 = "Óleo - Densidade", IF(OR(B110 = "SEP", B110 = "ATD", B110 = "ADG"), 90, 365),
          IF(D110 = "Óleo - Enxofre", 365, 180)
        )
      ),
      ""
    )
  )
)</f>
        <v/>
      </c>
      <c r="G110" s="16">
        <v>45833</v>
      </c>
      <c r="H110" s="15">
        <f t="shared" si="36"/>
        <v>45843</v>
      </c>
      <c r="I110" s="15"/>
      <c r="J110" s="15"/>
      <c r="K110" s="15">
        <f t="shared" si="37"/>
        <v>45853</v>
      </c>
      <c r="L110" s="15"/>
      <c r="M110" s="15">
        <f t="shared" si="38"/>
        <v>45878</v>
      </c>
      <c r="N110" s="12">
        <v>45857</v>
      </c>
      <c r="O110" s="1" t="str">
        <f>IF(ISERROR(SEARCH("Poço",D110)),IF(N110="","Erro",IF(Q110="Reprovado","Reprovado",IF(D110="Operacional", WORKDAY(N110,10,FERIADOS!$A$3:$A$119),IF(D110="Óleo - Enxofre", "NA", G110+3)))),"")</f>
        <v>Reprovado</v>
      </c>
      <c r="P110" s="16"/>
      <c r="Q110" s="7" t="s">
        <v>81</v>
      </c>
      <c r="R110" s="12"/>
      <c r="S110" s="28" t="s">
        <v>133</v>
      </c>
      <c r="T110" s="23"/>
      <c r="W110" t="str">
        <f t="shared" si="23"/>
        <v>ADG777-AP-1211 (Flare Pilot)</v>
      </c>
      <c r="X11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1" spans="1:24" ht="12.5" x14ac:dyDescent="0.25">
      <c r="A111" s="10"/>
      <c r="B111" s="19" t="s">
        <v>192</v>
      </c>
      <c r="C111" s="5" t="s">
        <v>268</v>
      </c>
      <c r="D111" s="20" t="s">
        <v>267</v>
      </c>
      <c r="E111" s="36"/>
      <c r="F111" s="29" cm="1">
        <f t="array" ref="F111">IF(V111 &lt;&gt; "", V111,
  IF(NOT(ISERROR(SEARCH("Poço", D111))),
    IF(G111 = "", "", G111),
    IFERROR(_xlfn.SINGLE(INDEX($G$1:G110, SUMPRODUCT(MAX(($W$1:W110 = W111) * ROW($W$1:W110))))) +
      IF(
      D111 = "Fiscal", 30,
        IF(D111 = "Óleo - Densidade", IF(OR(B111 = "SEP", B111 = "ATD", B111 = "ADG"), 90, 365),
          IF(D111 = "Óleo - Enxofre", 365, 180)
        )
      ),
      ""
    )
  )
)</f>
        <v>46013</v>
      </c>
      <c r="G111" s="21">
        <v>45999</v>
      </c>
      <c r="H111" s="15">
        <f t="shared" si="36"/>
        <v>46009</v>
      </c>
      <c r="I111" s="15"/>
      <c r="J111" s="15"/>
      <c r="K111" s="15">
        <f t="shared" si="37"/>
        <v>46019</v>
      </c>
      <c r="L111" s="15"/>
      <c r="M111" s="15">
        <f t="shared" si="38"/>
        <v>46044</v>
      </c>
      <c r="N111" s="13">
        <v>46021</v>
      </c>
      <c r="O111" s="2">
        <f>IF(ISERROR(SEARCH("Poço",D111)),IF(N111="","Erro",IF(Q111="Reprovado","Reprovado",IF(D111="Operacional", WORKDAY(N111,10,FERIADOS!$A$3:$A$119),IF(D111="Óleo - Enxofre", "NA", G111+3)))),"")</f>
        <v>46036</v>
      </c>
      <c r="P111" s="21">
        <v>46028</v>
      </c>
      <c r="Q111" s="7" t="s">
        <v>37</v>
      </c>
      <c r="R111" s="13"/>
      <c r="S111" s="30"/>
      <c r="T111" s="34"/>
      <c r="W111" t="str">
        <f t="shared" si="23"/>
        <v>ADG771-AP-0123 (FWKO Drum)</v>
      </c>
      <c r="X11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2" spans="1:24" ht="12.5" x14ac:dyDescent="0.25">
      <c r="A112" s="10"/>
      <c r="B112" s="19" t="s">
        <v>192</v>
      </c>
      <c r="C112" s="5" t="s">
        <v>309</v>
      </c>
      <c r="D112" s="20" t="s">
        <v>267</v>
      </c>
      <c r="E112" s="36"/>
      <c r="F112" s="29" cm="1">
        <f t="array" ref="F112">IF(V112 &lt;&gt; "", V112,
  IF(NOT(ISERROR(SEARCH("Poço", D112))),
    IF(G112 = "", "", G112),
    IFERROR(_xlfn.SINGLE(INDEX($G$1:G111, SUMPRODUCT(MAX(($W$1:W111 = W112) * ROW($W$1:W111))))) +
      IF(
      D112 = "Fiscal", 30,
        IF(D112 = "Óleo - Densidade", IF(OR(B112 = "SEP", B112 = "ATD", B112 = "ADG"), 90, 365),
          IF(D112 = "Óleo - Enxofre", 365, 180)
        )
      ),
      ""
    )
  )
)</f>
        <v>46013</v>
      </c>
      <c r="G112" s="21">
        <v>45999</v>
      </c>
      <c r="H112" s="15">
        <f t="shared" si="36"/>
        <v>46009</v>
      </c>
      <c r="I112" s="15"/>
      <c r="J112" s="15"/>
      <c r="K112" s="15">
        <f t="shared" si="37"/>
        <v>46019</v>
      </c>
      <c r="L112" s="15"/>
      <c r="M112" s="15">
        <f t="shared" si="38"/>
        <v>46044</v>
      </c>
      <c r="N112" s="13">
        <v>46021</v>
      </c>
      <c r="O112" s="2">
        <f>IF(ISERROR(SEARCH("Poço",D112)),IF(N112="","Erro",IF(Q112="Reprovado","Reprovado",IF(D112="Operacional", WORKDAY(N112,10,FERIADOS!$A$3:$A$119),IF(D112="Óleo - Enxofre", "NA", G112+3)))),"")</f>
        <v>46036</v>
      </c>
      <c r="P112" s="21">
        <v>46028</v>
      </c>
      <c r="Q112" s="7" t="s">
        <v>37</v>
      </c>
      <c r="R112" s="13"/>
      <c r="S112" s="30"/>
      <c r="T112" s="34"/>
      <c r="W112" t="str">
        <f t="shared" si="23"/>
        <v>ADG772-AP-1710-1 (Gas Dehydration)</v>
      </c>
      <c r="X11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3" spans="1:24" ht="12.5" x14ac:dyDescent="0.25">
      <c r="A113" s="10"/>
      <c r="B113" s="19" t="s">
        <v>192</v>
      </c>
      <c r="C113" s="5" t="s">
        <v>289</v>
      </c>
      <c r="D113" s="20" t="s">
        <v>267</v>
      </c>
      <c r="E113" s="36"/>
      <c r="F113" s="29" cm="1">
        <f t="array" ref="F113">IF(V113 &lt;&gt; "", V113,
  IF(NOT(ISERROR(SEARCH("Poço", D113))),
    IF(G113 = "", "", G113),
    IFERROR(_xlfn.SINGLE(INDEX($G$1:G112, SUMPRODUCT(MAX(($W$1:W112 = W113) * ROW($W$1:W112))))) +
      IF(
      D113 = "Fiscal", 30,
        IF(D113 = "Óleo - Densidade", IF(OR(B113 = "SEP", B113 = "ATD", B113 = "ADG"), 90, 365),
          IF(D113 = "Óleo - Enxofre", 365, 180)
        )
      ),
      ""
    )
  )
)</f>
        <v>46013</v>
      </c>
      <c r="G113" s="21">
        <v>45999</v>
      </c>
      <c r="H113" s="15">
        <f t="shared" si="36"/>
        <v>46009</v>
      </c>
      <c r="I113" s="15"/>
      <c r="J113" s="15"/>
      <c r="K113" s="15">
        <f t="shared" si="37"/>
        <v>46019</v>
      </c>
      <c r="L113" s="15"/>
      <c r="M113" s="15">
        <f t="shared" si="38"/>
        <v>46044</v>
      </c>
      <c r="N113" s="13">
        <v>46021</v>
      </c>
      <c r="O113" s="2">
        <f>IF(ISERROR(SEARCH("Poço",D113)),IF(N113="","Erro",IF(Q113="Reprovado","Reprovado",IF(D113="Operacional", WORKDAY(N113,10,FERIADOS!$A$3:$A$119),IF(D113="Óleo - Enxofre", "NA", G113+3)))),"")</f>
        <v>46036</v>
      </c>
      <c r="P113" s="21">
        <v>46028</v>
      </c>
      <c r="Q113" s="7" t="s">
        <v>37</v>
      </c>
      <c r="R113" s="13"/>
      <c r="S113" s="30"/>
      <c r="T113" s="34"/>
      <c r="W113" t="str">
        <f t="shared" si="23"/>
        <v>ADG777-AP-1211 (Flare Pilot)</v>
      </c>
      <c r="X11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4" spans="1:24" ht="12.5" x14ac:dyDescent="0.25">
      <c r="A114" s="10"/>
      <c r="B114" s="19" t="s">
        <v>34</v>
      </c>
      <c r="C114" s="5" t="s">
        <v>284</v>
      </c>
      <c r="D114" s="20" t="s">
        <v>267</v>
      </c>
      <c r="E114" s="36"/>
      <c r="F114" s="29" cm="1">
        <f t="array" ref="F114">IF(V114 &lt;&gt; "", V114,
  IF(NOT(ISERROR(SEARCH("Poço", D114))),
    IF(G114 = "", "", G114),
    IFERROR(_xlfn.SINGLE(INDEX($G$1:G113, SUMPRODUCT(MAX(($W$1:W113 = W114) * ROW($W$1:W113))))) +
      IF(
      D114 = "Fiscal", 30,
        IF(D114 = "Óleo - Densidade", IF(OR(B114 = "SEP", B114 = "ATD", B114 = "ADG"), 90, 365),
          IF(D114 = "Óleo - Enxofre", 365, 180)
        )
      ),
      ""
    )
  )
)</f>
        <v>46028</v>
      </c>
      <c r="G114" s="21">
        <v>46008</v>
      </c>
      <c r="H114" s="15">
        <f t="shared" ref="H114:H123" si="39">IF(G114="","Erro",IF(D114="Óleo - Densidade", "NA", G114+10))</f>
        <v>46018</v>
      </c>
      <c r="I114" s="15"/>
      <c r="J114" s="15"/>
      <c r="K114" s="15">
        <f t="shared" ref="K114:K123" si="40">IF(G114="","Erro",IF(D114="Óleo - Densidade", "NA", G114+20))</f>
        <v>46028</v>
      </c>
      <c r="L114" s="15"/>
      <c r="M114" s="15">
        <f t="shared" ref="M114:M123" si="41">IF(G114="","Erro",G114+IF(D114="Fiscal",25,IF(D114="Óleo - Densidade", 1, IF(D114="Óleo - Enxofre", 25, 45))))</f>
        <v>46053</v>
      </c>
      <c r="N114" s="13">
        <v>46031</v>
      </c>
      <c r="O114" s="2" t="str">
        <f>IF(ISERROR(SEARCH("Poço",D114)),IF(N114="","Erro",IF(Q114="Reprovado","Reprovado",IF(D114="Operacional", WORKDAY(N114,10,FERIADOS!$A$3:$A$119),IF(D114="Óleo - Enxofre", "NA", G114+3)))),"")</f>
        <v>Reprovado</v>
      </c>
      <c r="P114" s="21"/>
      <c r="Q114" s="7" t="s">
        <v>81</v>
      </c>
      <c r="R114" s="13"/>
      <c r="S114" s="30"/>
      <c r="T114" s="34"/>
      <c r="W114" t="str">
        <f t="shared" si="23"/>
        <v>CDST75-AX-1139 (Injection Gas)</v>
      </c>
      <c r="X11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5" spans="1:24" ht="12.5" x14ac:dyDescent="0.25">
      <c r="A115" s="10"/>
      <c r="B115" s="19" t="s">
        <v>145</v>
      </c>
      <c r="C115" s="5" t="s">
        <v>305</v>
      </c>
      <c r="D115" s="20" t="s">
        <v>267</v>
      </c>
      <c r="E115" s="36"/>
      <c r="F115" s="29" cm="1">
        <f t="array" ref="F115">IF(V115 &lt;&gt; "", V115,
  IF(NOT(ISERROR(SEARCH("Poço", D115))),
    IF(G115 = "", "", G115),
    IFERROR(_xlfn.SINGLE(INDEX($G$1:G114, SUMPRODUCT(MAX(($W$1:W114 = W115) * ROW($W$1:W114))))) +
      IF(
      D115 = "Fiscal", 30,
        IF(D115 = "Óleo - Densidade", IF(OR(B115 = "SEP", B115 = "ATD", B115 = "ADG"), 90, 365),
          IF(D115 = "Óleo - Enxofre", 365, 180)
        )
      ),
      ""
    )
  )
)</f>
        <v>46029</v>
      </c>
      <c r="G115" s="21">
        <v>46013</v>
      </c>
      <c r="H115" s="15">
        <f t="shared" si="39"/>
        <v>46023</v>
      </c>
      <c r="I115" s="15"/>
      <c r="J115" s="15"/>
      <c r="K115" s="15">
        <f t="shared" si="40"/>
        <v>46033</v>
      </c>
      <c r="L115" s="15"/>
      <c r="M115" s="15">
        <f t="shared" si="41"/>
        <v>46058</v>
      </c>
      <c r="N115" s="13">
        <v>46038</v>
      </c>
      <c r="O115" s="2">
        <f>IF(ISERROR(SEARCH("Poço",D115)),IF(N115="","Erro",IF(Q115="Reprovado","Reprovado",IF(D115="Operacional", WORKDAY(N115,10,FERIADOS!$A$3:$A$119),IF(D115="Óleo - Enxofre", "NA", G115+3)))),"")</f>
        <v>46052</v>
      </c>
      <c r="P115" s="21">
        <v>46049</v>
      </c>
      <c r="Q115" s="7"/>
      <c r="R115" s="13"/>
      <c r="S115" s="30"/>
      <c r="T115" s="34"/>
      <c r="W115" t="str">
        <f t="shared" si="23"/>
        <v>ATD771-AP-0202A (IP Degasser A)</v>
      </c>
      <c r="X11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6" spans="1:24" ht="12.5" x14ac:dyDescent="0.25">
      <c r="A116" s="10"/>
      <c r="B116" s="19" t="s">
        <v>145</v>
      </c>
      <c r="C116" s="5" t="s">
        <v>306</v>
      </c>
      <c r="D116" s="20" t="s">
        <v>267</v>
      </c>
      <c r="E116" s="36"/>
      <c r="F116" s="29" cm="1">
        <f t="array" ref="F116">IF(V116 &lt;&gt; "", V116,
  IF(NOT(ISERROR(SEARCH("Poço", D116))),
    IF(G116 = "", "", G116),
    IFERROR(_xlfn.SINGLE(INDEX($G$1:G115, SUMPRODUCT(MAX(($W$1:W115 = W116) * ROW($W$1:W115))))) +
      IF(
      D116 = "Fiscal", 30,
        IF(D116 = "Óleo - Densidade", IF(OR(B116 = "SEP", B116 = "ATD", B116 = "ADG"), 90, 365),
          IF(D116 = "Óleo - Enxofre", 365, 180)
        )
      ),
      ""
    )
  )
)</f>
        <v>46029</v>
      </c>
      <c r="G116" s="21">
        <v>46013</v>
      </c>
      <c r="H116" s="15">
        <f t="shared" si="39"/>
        <v>46023</v>
      </c>
      <c r="I116" s="15"/>
      <c r="J116" s="15"/>
      <c r="K116" s="15">
        <f t="shared" si="40"/>
        <v>46033</v>
      </c>
      <c r="L116" s="15"/>
      <c r="M116" s="15">
        <f t="shared" si="41"/>
        <v>46058</v>
      </c>
      <c r="N116" s="13">
        <v>46038</v>
      </c>
      <c r="O116" s="2">
        <f>IF(ISERROR(SEARCH("Poço",D116)),IF(N116="","Erro",IF(Q116="Reprovado","Reprovado",IF(D116="Operacional", WORKDAY(N116,10,FERIADOS!$A$3:$A$119),IF(D116="Óleo - Enxofre", "NA", G116+3)))),"")</f>
        <v>46052</v>
      </c>
      <c r="P116" s="21">
        <v>46049</v>
      </c>
      <c r="Q116" s="7"/>
      <c r="R116" s="13"/>
      <c r="S116" s="30"/>
      <c r="T116" s="34"/>
      <c r="W116" t="str">
        <f t="shared" si="23"/>
        <v>ATD771-AP-0253A (LP Degasser A)</v>
      </c>
      <c r="X11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7" spans="1:24" ht="12.5" x14ac:dyDescent="0.25">
      <c r="A117" s="10"/>
      <c r="B117" s="19" t="s">
        <v>145</v>
      </c>
      <c r="C117" s="5" t="s">
        <v>288</v>
      </c>
      <c r="D117" s="20" t="s">
        <v>267</v>
      </c>
      <c r="E117" s="36"/>
      <c r="F117" s="29" cm="1">
        <f t="array" ref="F117">IF(V117 &lt;&gt; "", V117,
  IF(NOT(ISERROR(SEARCH("Poço", D117))),
    IF(G117 = "", "", G117),
    IFERROR(_xlfn.SINGLE(INDEX($G$1:G116, SUMPRODUCT(MAX(($W$1:W116 = W117) * ROW($W$1:W116))))) +
      IF(
      D117 = "Fiscal", 30,
        IF(D117 = "Óleo - Densidade", IF(OR(B117 = "SEP", B117 = "ATD", B117 = "ADG"), 90, 365),
          IF(D117 = "Óleo - Enxofre", 365, 180)
        )
      ),
      ""
    )
  )
)</f>
        <v>46029</v>
      </c>
      <c r="G117" s="21">
        <v>46013</v>
      </c>
      <c r="H117" s="15">
        <f t="shared" si="39"/>
        <v>46023</v>
      </c>
      <c r="I117" s="15"/>
      <c r="J117" s="15"/>
      <c r="K117" s="15">
        <f t="shared" si="40"/>
        <v>46033</v>
      </c>
      <c r="L117" s="15"/>
      <c r="M117" s="15">
        <f t="shared" si="41"/>
        <v>46058</v>
      </c>
      <c r="N117" s="13">
        <v>46038</v>
      </c>
      <c r="O117" s="2">
        <f>IF(ISERROR(SEARCH("Poço",D117)),IF(N117="","Erro",IF(Q117="Reprovado","Reprovado",IF(D117="Operacional", WORKDAY(N117,10,FERIADOS!$A$3:$A$119),IF(D117="Óleo - Enxofre", "NA", G117+3)))),"")</f>
        <v>46052</v>
      </c>
      <c r="P117" s="21">
        <v>46049</v>
      </c>
      <c r="Q117" s="7"/>
      <c r="R117" s="13"/>
      <c r="S117" s="30"/>
      <c r="T117" s="34"/>
      <c r="W117" t="str">
        <f t="shared" si="23"/>
        <v>ATD772-AP-1710 (Gas Dehydration)</v>
      </c>
      <c r="X11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8" spans="1:24" ht="12.5" x14ac:dyDescent="0.25">
      <c r="A118" s="10"/>
      <c r="B118" s="17" t="s">
        <v>145</v>
      </c>
      <c r="C118" s="6" t="s">
        <v>310</v>
      </c>
      <c r="D118" s="18" t="s">
        <v>267</v>
      </c>
      <c r="E118" s="36"/>
      <c r="F118" s="25" t="str" cm="1">
        <f t="array" ref="F118">IF(V118 &lt;&gt; "", V118,
  IF(NOT(ISERROR(SEARCH("Poço", D118))),
    IF(G118 = "", "", G118),
    IFERROR(_xlfn.SINGLE(INDEX($G$1:G117, SUMPRODUCT(MAX(($W$1:W117 = W118) * ROW($W$1:W117))))) +
      IF(
      D118 = "Fiscal", 30,
        IF(D118 = "Óleo - Densidade", IF(OR(B118 = "SEP", B118 = "ATD", B118 = "ADG"), 90, 365),
          IF(D118 = "Óleo - Enxofre", 365, 180)
        )
      ),
      ""
    )
  )
)</f>
        <v/>
      </c>
      <c r="G118" s="16">
        <v>45849</v>
      </c>
      <c r="H118" s="15">
        <f t="shared" si="39"/>
        <v>45859</v>
      </c>
      <c r="I118" s="15"/>
      <c r="J118" s="15"/>
      <c r="K118" s="15">
        <f t="shared" si="40"/>
        <v>45869</v>
      </c>
      <c r="L118" s="15"/>
      <c r="M118" s="15">
        <f t="shared" si="41"/>
        <v>45894</v>
      </c>
      <c r="N118" s="12">
        <v>45873</v>
      </c>
      <c r="O118" s="1">
        <f>IF(ISERROR(SEARCH("Poço",D118)),IF(N118="","Erro",IF(Q118="Reprovado","Reprovado",IF(D118="Operacional", WORKDAY(N118,10,FERIADOS!$A$3:$A$119),IF(D118="Óleo - Enxofre", "NA", G118+3)))),"")</f>
        <v>45887</v>
      </c>
      <c r="P118" s="16">
        <v>45875</v>
      </c>
      <c r="Q118" s="7" t="s">
        <v>37</v>
      </c>
      <c r="R118" s="12"/>
      <c r="S118" s="27"/>
      <c r="T118" s="23"/>
      <c r="W118" t="str">
        <f t="shared" si="23"/>
        <v>ATD771-AP-0712B (FWKO Drum B)</v>
      </c>
      <c r="X11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19" spans="1:24" ht="12.5" x14ac:dyDescent="0.25">
      <c r="A119" s="10"/>
      <c r="B119" s="17" t="s">
        <v>145</v>
      </c>
      <c r="C119" s="6" t="s">
        <v>311</v>
      </c>
      <c r="D119" s="18" t="s">
        <v>267</v>
      </c>
      <c r="E119" s="36"/>
      <c r="F119" s="25" t="str" cm="1">
        <f t="array" ref="F119">IF(V119 &lt;&gt; "", V119,
  IF(NOT(ISERROR(SEARCH("Poço", D119))),
    IF(G119 = "", "", G119),
    IFERROR(_xlfn.SINGLE(INDEX($G$1:G118, SUMPRODUCT(MAX(($W$1:W118 = W119) * ROW($W$1:W118))))) +
      IF(
      D119 = "Fiscal", 30,
        IF(D119 = "Óleo - Densidade", IF(OR(B119 = "SEP", B119 = "ATD", B119 = "ADG"), 90, 365),
          IF(D119 = "Óleo - Enxofre", 365, 180)
        )
      ),
      ""
    )
  )
)</f>
        <v/>
      </c>
      <c r="G119" s="16">
        <v>45849</v>
      </c>
      <c r="H119" s="15">
        <f t="shared" si="39"/>
        <v>45859</v>
      </c>
      <c r="I119" s="15"/>
      <c r="J119" s="15"/>
      <c r="K119" s="15">
        <f t="shared" si="40"/>
        <v>45869</v>
      </c>
      <c r="L119" s="15"/>
      <c r="M119" s="15">
        <f t="shared" si="41"/>
        <v>45894</v>
      </c>
      <c r="N119" s="12">
        <v>45854</v>
      </c>
      <c r="O119" s="1">
        <f>IF(ISERROR(SEARCH("Poço",D119)),IF(N119="","Erro",IF(Q119="Reprovado","Reprovado",IF(D119="Operacional", WORKDAY(N119,10,FERIADOS!$A$3:$A$119),IF(D119="Óleo - Enxofre", "NA", G119+3)))),"")</f>
        <v>45868</v>
      </c>
      <c r="P119" s="16">
        <v>45867</v>
      </c>
      <c r="Q119" s="7" t="s">
        <v>37</v>
      </c>
      <c r="R119" s="12"/>
      <c r="S119" s="27"/>
      <c r="T119" s="23"/>
      <c r="W119" t="str">
        <f t="shared" si="23"/>
        <v>ATD771-AP-0202B (IP Degasser B)</v>
      </c>
      <c r="X11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0" spans="1:24" ht="12.5" x14ac:dyDescent="0.25">
      <c r="A120" s="10"/>
      <c r="B120" s="17" t="s">
        <v>145</v>
      </c>
      <c r="C120" s="6" t="s">
        <v>312</v>
      </c>
      <c r="D120" s="18" t="s">
        <v>267</v>
      </c>
      <c r="E120" s="36"/>
      <c r="F120" s="25" t="str" cm="1">
        <f t="array" ref="F120">IF(V120 &lt;&gt; "", V120,
  IF(NOT(ISERROR(SEARCH("Poço", D120))),
    IF(G120 = "", "", G120),
    IFERROR(_xlfn.SINGLE(INDEX($G$1:G119, SUMPRODUCT(MAX(($W$1:W119 = W120) * ROW($W$1:W119))))) +
      IF(
      D120 = "Fiscal", 30,
        IF(D120 = "Óleo - Densidade", IF(OR(B120 = "SEP", B120 = "ATD", B120 = "ADG"), 90, 365),
          IF(D120 = "Óleo - Enxofre", 365, 180)
        )
      ),
      ""
    )
  )
)</f>
        <v/>
      </c>
      <c r="G120" s="16">
        <v>45849</v>
      </c>
      <c r="H120" s="15">
        <f t="shared" si="39"/>
        <v>45859</v>
      </c>
      <c r="I120" s="15"/>
      <c r="J120" s="15"/>
      <c r="K120" s="15">
        <f t="shared" si="40"/>
        <v>45869</v>
      </c>
      <c r="L120" s="15"/>
      <c r="M120" s="15">
        <f t="shared" si="41"/>
        <v>45894</v>
      </c>
      <c r="N120" s="12">
        <v>45854</v>
      </c>
      <c r="O120" s="1">
        <f>IF(ISERROR(SEARCH("Poço",D120)),IF(N120="","Erro",IF(Q120="Reprovado","Reprovado",IF(D120="Operacional", WORKDAY(N120,10,FERIADOS!$A$3:$A$119),IF(D120="Óleo - Enxofre", "NA", G120+3)))),"")</f>
        <v>45868</v>
      </c>
      <c r="P120" s="16">
        <v>45867</v>
      </c>
      <c r="Q120" s="7" t="s">
        <v>37</v>
      </c>
      <c r="R120" s="12"/>
      <c r="S120" s="27"/>
      <c r="T120" s="23"/>
      <c r="W120" t="str">
        <f t="shared" si="23"/>
        <v>ATD771-AP-0253B (LP Degasser B)</v>
      </c>
      <c r="X12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1" spans="1:24" ht="12.5" x14ac:dyDescent="0.25">
      <c r="A121" s="10"/>
      <c r="B121" s="19" t="s">
        <v>145</v>
      </c>
      <c r="C121" s="5" t="s">
        <v>310</v>
      </c>
      <c r="D121" s="20" t="s">
        <v>267</v>
      </c>
      <c r="E121" s="36"/>
      <c r="F121" s="29" cm="1">
        <f t="array" ref="F121">IF(V121 &lt;&gt; "", V121,
  IF(NOT(ISERROR(SEARCH("Poço", D121))),
    IF(G121 = "", "", G121),
    IFERROR(_xlfn.SINGLE(INDEX($G$1:G120, SUMPRODUCT(MAX(($W$1:W120 = W121) * ROW($W$1:W120))))) +
      IF(
      D121 = "Fiscal", 30,
        IF(D121 = "Óleo - Densidade", IF(OR(B121 = "SEP", B121 = "ATD", B121 = "ADG"), 90, 365),
          IF(D121 = "Óleo - Enxofre", 365, 180)
        )
      ),
      ""
    )
  )
)</f>
        <v>46029</v>
      </c>
      <c r="G121" s="21">
        <v>46013</v>
      </c>
      <c r="H121" s="15">
        <f t="shared" si="39"/>
        <v>46023</v>
      </c>
      <c r="I121" s="15"/>
      <c r="J121" s="15"/>
      <c r="K121" s="15">
        <f t="shared" si="40"/>
        <v>46033</v>
      </c>
      <c r="L121" s="15"/>
      <c r="M121" s="15">
        <f t="shared" si="41"/>
        <v>46058</v>
      </c>
      <c r="N121" s="13">
        <v>46038</v>
      </c>
      <c r="O121" s="2">
        <f>IF(ISERROR(SEARCH("Poço",D121)),IF(N121="","Erro",IF(Q121="Reprovado","Reprovado",IF(D121="Operacional", WORKDAY(N121,10,FERIADOS!$A$3:$A$119),IF(D121="Óleo - Enxofre", "NA", G121+3)))),"")</f>
        <v>46052</v>
      </c>
      <c r="P121" s="21">
        <v>46049</v>
      </c>
      <c r="Q121" s="7"/>
      <c r="R121" s="13"/>
      <c r="S121" s="30"/>
      <c r="T121" s="34"/>
      <c r="W121" t="str">
        <f t="shared" si="23"/>
        <v>ATD771-AP-0712B (FWKO Drum B)</v>
      </c>
      <c r="X12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2" spans="1:24" ht="12.5" x14ac:dyDescent="0.25">
      <c r="A122" s="10"/>
      <c r="B122" s="19" t="s">
        <v>145</v>
      </c>
      <c r="C122" s="5" t="s">
        <v>311</v>
      </c>
      <c r="D122" s="20" t="s">
        <v>267</v>
      </c>
      <c r="E122" s="36"/>
      <c r="F122" s="29" cm="1">
        <f t="array" ref="F122">IF(V122 &lt;&gt; "", V122,
  IF(NOT(ISERROR(SEARCH("Poço", D122))),
    IF(G122 = "", "", G122),
    IFERROR(_xlfn.SINGLE(INDEX($G$1:G121, SUMPRODUCT(MAX(($W$1:W121 = W122) * ROW($W$1:W121))))) +
      IF(
      D122 = "Fiscal", 30,
        IF(D122 = "Óleo - Densidade", IF(OR(B122 = "SEP", B122 = "ATD", B122 = "ADG"), 90, 365),
          IF(D122 = "Óleo - Enxofre", 365, 180)
        )
      ),
      ""
    )
  )
)</f>
        <v>46029</v>
      </c>
      <c r="G122" s="21">
        <v>46013</v>
      </c>
      <c r="H122" s="15">
        <f t="shared" si="39"/>
        <v>46023</v>
      </c>
      <c r="I122" s="15"/>
      <c r="J122" s="15"/>
      <c r="K122" s="15">
        <f t="shared" si="40"/>
        <v>46033</v>
      </c>
      <c r="L122" s="15"/>
      <c r="M122" s="15">
        <f t="shared" si="41"/>
        <v>46058</v>
      </c>
      <c r="N122" s="13">
        <v>46038</v>
      </c>
      <c r="O122" s="2">
        <f>IF(ISERROR(SEARCH("Poço",D122)),IF(N122="","Erro",IF(Q122="Reprovado","Reprovado",IF(D122="Operacional", WORKDAY(N122,10,FERIADOS!$A$3:$A$119),IF(D122="Óleo - Enxofre", "NA", G122+3)))),"")</f>
        <v>46052</v>
      </c>
      <c r="P122" s="21">
        <v>46049</v>
      </c>
      <c r="Q122" s="7"/>
      <c r="R122" s="13"/>
      <c r="S122" s="30"/>
      <c r="T122" s="34"/>
      <c r="W122" t="str">
        <f t="shared" si="23"/>
        <v>ATD771-AP-0202B (IP Degasser B)</v>
      </c>
      <c r="X12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3" spans="1:24" ht="12.5" x14ac:dyDescent="0.25">
      <c r="A123" s="10"/>
      <c r="B123" s="19" t="s">
        <v>145</v>
      </c>
      <c r="C123" s="5" t="s">
        <v>312</v>
      </c>
      <c r="D123" s="20" t="s">
        <v>267</v>
      </c>
      <c r="E123" s="36"/>
      <c r="F123" s="29" cm="1">
        <f t="array" ref="F123">IF(V123 &lt;&gt; "", V123,
  IF(NOT(ISERROR(SEARCH("Poço", D123))),
    IF(G123 = "", "", G123),
    IFERROR(_xlfn.SINGLE(INDEX($G$1:G122, SUMPRODUCT(MAX(($W$1:W122 = W123) * ROW($W$1:W122))))) +
      IF(
      D123 = "Fiscal", 30,
        IF(D123 = "Óleo - Densidade", IF(OR(B123 = "SEP", B123 = "ATD", B123 = "ADG"), 90, 365),
          IF(D123 = "Óleo - Enxofre", 365, 180)
        )
      ),
      ""
    )
  )
)</f>
        <v>46029</v>
      </c>
      <c r="G123" s="21">
        <v>46013</v>
      </c>
      <c r="H123" s="15">
        <f t="shared" si="39"/>
        <v>46023</v>
      </c>
      <c r="I123" s="15"/>
      <c r="J123" s="15"/>
      <c r="K123" s="15">
        <f t="shared" si="40"/>
        <v>46033</v>
      </c>
      <c r="L123" s="15"/>
      <c r="M123" s="15">
        <f t="shared" si="41"/>
        <v>46058</v>
      </c>
      <c r="N123" s="13">
        <v>46038</v>
      </c>
      <c r="O123" s="2">
        <f>IF(ISERROR(SEARCH("Poço",D123)),IF(N123="","Erro",IF(Q123="Reprovado","Reprovado",IF(D123="Operacional", WORKDAY(N123,10,FERIADOS!$A$3:$A$119),IF(D123="Óleo - Enxofre", "NA", G123+3)))),"")</f>
        <v>46052</v>
      </c>
      <c r="P123" s="21">
        <v>46049</v>
      </c>
      <c r="Q123" s="7"/>
      <c r="R123" s="13"/>
      <c r="S123" s="30"/>
      <c r="T123" s="34"/>
      <c r="W123" t="str">
        <f t="shared" si="23"/>
        <v>ATD771-AP-0253B (LP Degasser B)</v>
      </c>
      <c r="X12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4" spans="1:24" ht="12.5" x14ac:dyDescent="0.25">
      <c r="A124" s="10"/>
      <c r="B124" s="19" t="s">
        <v>46</v>
      </c>
      <c r="C124" s="5" t="s">
        <v>284</v>
      </c>
      <c r="D124" s="20" t="s">
        <v>267</v>
      </c>
      <c r="E124" s="36"/>
      <c r="F124" s="29" cm="1">
        <f t="array" ref="F124">IF(V124 &lt;&gt; "", V124,
  IF(NOT(ISERROR(SEARCH("Poço", D124))),
    IF(G124 = "", "", G124),
    IFERROR(_xlfn.SINGLE(INDEX($G$1:G123, SUMPRODUCT(MAX(($W$1:W123 = W124) * ROW($W$1:W123))))) +
      IF(
      D124 = "Fiscal", 30,
        IF(D124 = "Óleo - Densidade", IF(OR(B124 = "SEP", B124 = "ATD", B124 = "ADG"), 90, 365),
          IF(D124 = "Óleo - Enxofre", 365, 180)
        )
      ),
      ""
    )
  )
)</f>
        <v>46047</v>
      </c>
      <c r="G124" s="21">
        <v>45894</v>
      </c>
      <c r="H124" s="15">
        <f t="shared" ref="H124:H129" si="42">IF(G124="","Erro",IF(D124="Óleo - Densidade", "NA", G124+10))</f>
        <v>45904</v>
      </c>
      <c r="I124" s="15"/>
      <c r="J124" s="15"/>
      <c r="K124" s="15">
        <f t="shared" ref="K124:K129" si="43">IF(G124="","Erro",IF(D124="Óleo - Densidade", "NA", G124+20))</f>
        <v>45914</v>
      </c>
      <c r="L124" s="15"/>
      <c r="M124" s="15">
        <f t="shared" ref="M124:M129" si="44">IF(G124="","Erro",G124+IF(D124="Fiscal",25,IF(D124="Óleo - Densidade", 1, IF(D124="Óleo - Enxofre", 25, 45))))</f>
        <v>45939</v>
      </c>
      <c r="N124" s="13">
        <v>45919</v>
      </c>
      <c r="O124" s="2">
        <f>IF(ISERROR(SEARCH("Poço",D124)),IF(N124="","Erro",IF(Q124="Reprovado","Reprovado",IF(D124="Operacional", WORKDAY(N124,10,FERIADOS!$A$3:$A$119),IF(D124="Óleo - Enxofre", "NA", G124+3)))),"")</f>
        <v>45933</v>
      </c>
      <c r="P124" s="21">
        <v>45923</v>
      </c>
      <c r="Q124" s="7" t="s">
        <v>37</v>
      </c>
      <c r="R124" s="13"/>
      <c r="S124" s="30"/>
      <c r="T124" s="34"/>
      <c r="W124" t="str">
        <f t="shared" si="23"/>
        <v>CDMT75-AX-1139 (Injection Gas)</v>
      </c>
      <c r="X12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5" spans="1:24" ht="12.5" x14ac:dyDescent="0.25">
      <c r="A125" s="8"/>
      <c r="B125" s="19" t="s">
        <v>52</v>
      </c>
      <c r="C125" s="5" t="s">
        <v>302</v>
      </c>
      <c r="D125" s="20" t="s">
        <v>303</v>
      </c>
      <c r="E125" s="36"/>
      <c r="F125" s="29" cm="1">
        <f t="array" ref="F125">IF(V125 &lt;&gt; "", V125,
  IF(NOT(ISERROR(SEARCH("Poço", D125))),
    IF(G125 = "", "", G125),
    IFERROR(_xlfn.SINGLE(INDEX($G$1:G124, SUMPRODUCT(MAX(($W$1:W124 = W125) * ROW($W$1:W124))))) +
      IF(
      D125 = "Fiscal", 30,
        IF(D125 = "Óleo - Densidade", IF(OR(B125 = "SEP", B125 = "ATD", B125 = "ADG"), 90, 365),
          IF(D125 = "Óleo - Enxofre", 365, 180)
        )
      ),
      ""
    )
  )
)</f>
        <v>45958</v>
      </c>
      <c r="G125" s="21">
        <v>45958</v>
      </c>
      <c r="H125" s="15" t="str">
        <f t="shared" si="42"/>
        <v>NA</v>
      </c>
      <c r="I125" s="15"/>
      <c r="J125" s="15"/>
      <c r="K125" s="15" t="str">
        <f t="shared" si="43"/>
        <v>NA</v>
      </c>
      <c r="L125" s="15"/>
      <c r="M125" s="15">
        <f t="shared" si="44"/>
        <v>45959</v>
      </c>
      <c r="N125" s="13">
        <v>45959</v>
      </c>
      <c r="O125" s="2">
        <f>IF(ISERROR(SEARCH("Poço",D125)),IF(N125="","Erro",IF(Q125="Reprovado","Reprovado",IF(D125="Operacional", WORKDAY(N125,10,FERIADOS!$A$3:$A$119),IF(D125="Óleo - Enxofre", "NA", G125+3)))),"")</f>
        <v>45961</v>
      </c>
      <c r="P125" s="21">
        <v>45959</v>
      </c>
      <c r="Q125" s="7"/>
      <c r="R125" s="13"/>
      <c r="S125" s="30"/>
      <c r="T125" s="34"/>
      <c r="W125" t="str">
        <f t="shared" si="23"/>
        <v>SEP662-AP-0162 (FWKO Drum)</v>
      </c>
      <c r="X12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6" spans="1:24" ht="12.5" x14ac:dyDescent="0.25">
      <c r="A126" s="8"/>
      <c r="B126" s="8" t="s">
        <v>31</v>
      </c>
      <c r="C126" s="5" t="s">
        <v>285</v>
      </c>
      <c r="D126" s="9" t="s">
        <v>267</v>
      </c>
      <c r="E126" s="36"/>
      <c r="F126" s="29" cm="1">
        <f t="array" ref="F126">IF(V126 &lt;&gt; "", V126,
  IF(NOT(ISERROR(SEARCH("Poço", D126))),
    IF(G126 = "", "", G126),
    IFERROR(_xlfn.SINGLE(INDEX($G$1:G125, SUMPRODUCT(MAX(($W$1:W125 = W126) * ROW($W$1:W125))))) +
      IF(
      D126 = "Fiscal", 30,
        IF(D126 = "Óleo - Densidade", IF(OR(B126 = "SEP", B126 = "ATD", B126 = "ADG"), 90, 365),
          IF(D126 = "Óleo - Enxofre", 365, 180)
        )
      ),
      ""
    )
  )
)</f>
        <v>46054</v>
      </c>
      <c r="G126" s="13">
        <v>46046</v>
      </c>
      <c r="H126" s="15">
        <f t="shared" si="42"/>
        <v>46056</v>
      </c>
      <c r="I126" s="15"/>
      <c r="J126" s="15"/>
      <c r="K126" s="15">
        <f t="shared" si="43"/>
        <v>46066</v>
      </c>
      <c r="L126" s="15"/>
      <c r="M126" s="15">
        <f t="shared" si="44"/>
        <v>46091</v>
      </c>
      <c r="N126" s="13"/>
      <c r="O126" s="2" t="str">
        <f>IF(ISERROR(SEARCH("Poço",D126)),IF(N126="","Erro",IF(Q126="Reprovado","Reprovado",IF(D126="Operacional", WORKDAY(N126,10,FERIADOS!$A$3:$A$119),IF(D126="Óleo - Enxofre", "NA", G126+3)))),"")</f>
        <v>Erro</v>
      </c>
      <c r="P126" s="13"/>
      <c r="Q126" s="7"/>
      <c r="R126" s="13"/>
      <c r="S126" s="30"/>
      <c r="T126" s="34"/>
      <c r="W126" t="str">
        <f t="shared" ref="W126:W131" si="45">B126&amp;C126</f>
        <v>CDIT71-AX-0102 (HP Separator)</v>
      </c>
      <c r="X12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7" spans="1:24" ht="12.5" x14ac:dyDescent="0.25">
      <c r="A127" s="8"/>
      <c r="B127" s="8" t="s">
        <v>31</v>
      </c>
      <c r="C127" s="5" t="s">
        <v>290</v>
      </c>
      <c r="D127" s="9" t="s">
        <v>267</v>
      </c>
      <c r="E127" s="36"/>
      <c r="F127" s="29" cm="1">
        <f t="array" ref="F127">IF(V127 &lt;&gt; "", V127,
  IF(NOT(ISERROR(SEARCH("Poço", D127))),
    IF(G127 = "", "", G127),
    IFERROR(_xlfn.SINGLE(INDEX($G$1:G126, SUMPRODUCT(MAX(($W$1:W126 = W127) * ROW($W$1:W126))))) +
      IF(
      D127 = "Fiscal", 30,
        IF(D127 = "Óleo - Densidade", IF(OR(B127 = "SEP", B127 = "ATD", B127 = "ADG"), 90, 365),
          IF(D127 = "Óleo - Enxofre", 365, 180)
        )
      ),
      ""
    )
  )
)</f>
        <v>46054</v>
      </c>
      <c r="G127" s="13">
        <v>46046</v>
      </c>
      <c r="H127" s="15">
        <f t="shared" si="42"/>
        <v>46056</v>
      </c>
      <c r="I127" s="15"/>
      <c r="J127" s="15"/>
      <c r="K127" s="15">
        <f t="shared" si="43"/>
        <v>46066</v>
      </c>
      <c r="L127" s="15"/>
      <c r="M127" s="15">
        <f t="shared" si="44"/>
        <v>46091</v>
      </c>
      <c r="N127" s="13"/>
      <c r="O127" s="2" t="str">
        <f>IF(ISERROR(SEARCH("Poço",D127)),IF(N127="","Erro",IF(Q127="Reprovado","Reprovado",IF(D127="Operacional", WORKDAY(N127,10,FERIADOS!$A$3:$A$119),IF(D127="Óleo - Enxofre", "NA", G127+3)))),"")</f>
        <v>Erro</v>
      </c>
      <c r="P127" s="13"/>
      <c r="Q127" s="7"/>
      <c r="R127" s="13"/>
      <c r="S127" s="30"/>
      <c r="T127" s="34"/>
      <c r="W127" t="str">
        <f t="shared" si="45"/>
        <v>CDIT71-AX-0402 (LP Degasser)</v>
      </c>
      <c r="X12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8" spans="1:24" ht="12.5" x14ac:dyDescent="0.25">
      <c r="A128" s="8"/>
      <c r="B128" s="8" t="s">
        <v>31</v>
      </c>
      <c r="C128" s="5" t="s">
        <v>291</v>
      </c>
      <c r="D128" s="9" t="s">
        <v>267</v>
      </c>
      <c r="E128" s="36"/>
      <c r="F128" s="29" cm="1">
        <f t="array" ref="F128">IF(V128 &lt;&gt; "", V128,
  IF(NOT(ISERROR(SEARCH("Poço", D128))),
    IF(G128 = "", "", G128),
    IFERROR(_xlfn.SINGLE(INDEX($G$1:G127, SUMPRODUCT(MAX(($W$1:W127 = W128) * ROW($W$1:W127))))) +
      IF(
      D128 = "Fiscal", 30,
        IF(D128 = "Óleo - Densidade", IF(OR(B128 = "SEP", B128 = "ATD", B128 = "ADG"), 90, 365),
          IF(D128 = "Óleo - Enxofre", 365, 180)
        )
      ),
      ""
    )
  )
)</f>
        <v>46054</v>
      </c>
      <c r="G128" s="13">
        <v>46046</v>
      </c>
      <c r="H128" s="15">
        <f t="shared" si="42"/>
        <v>46056</v>
      </c>
      <c r="I128" s="15"/>
      <c r="J128" s="15"/>
      <c r="K128" s="15">
        <f t="shared" si="43"/>
        <v>46066</v>
      </c>
      <c r="L128" s="15"/>
      <c r="M128" s="15">
        <f t="shared" si="44"/>
        <v>46091</v>
      </c>
      <c r="N128" s="13"/>
      <c r="O128" s="2" t="str">
        <f>IF(ISERROR(SEARCH("Poço",D128)),IF(N128="","Erro",IF(Q128="Reprovado","Reprovado",IF(D128="Operacional", WORKDAY(N128,10,FERIADOS!$A$3:$A$119),IF(D128="Óleo - Enxofre", "NA", G128+3)))),"")</f>
        <v>Erro</v>
      </c>
      <c r="P128" s="13"/>
      <c r="Q128" s="7"/>
      <c r="R128" s="13"/>
      <c r="S128" s="30"/>
      <c r="T128" s="34"/>
      <c r="W128" t="str">
        <f t="shared" si="45"/>
        <v>CDIT75-AP-1139 (Injection Gas)</v>
      </c>
      <c r="X12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29" spans="1:24" ht="12.5" x14ac:dyDescent="0.25">
      <c r="A129" s="8"/>
      <c r="B129" s="8" t="s">
        <v>31</v>
      </c>
      <c r="C129" s="5" t="s">
        <v>286</v>
      </c>
      <c r="D129" s="9" t="s">
        <v>267</v>
      </c>
      <c r="E129" s="36"/>
      <c r="F129" s="29" cm="1">
        <f t="array" ref="F129">IF(V129 &lt;&gt; "", V129,
  IF(NOT(ISERROR(SEARCH("Poço", D129))),
    IF(G129 = "", "", G129),
    IFERROR(_xlfn.SINGLE(INDEX($G$1:G128, SUMPRODUCT(MAX(($W$1:W128 = W129) * ROW($W$1:W128))))) +
      IF(
      D129 = "Fiscal", 30,
        IF(D129 = "Óleo - Densidade", IF(OR(B129 = "SEP", B129 = "ATD", B129 = "ADG"), 90, 365),
          IF(D129 = "Óleo - Enxofre", 365, 180)
        )
      ),
      ""
    )
  )
)</f>
        <v>46054</v>
      </c>
      <c r="G129" s="13">
        <v>46046</v>
      </c>
      <c r="H129" s="15">
        <f t="shared" si="42"/>
        <v>46056</v>
      </c>
      <c r="I129" s="15"/>
      <c r="J129" s="15"/>
      <c r="K129" s="15">
        <f t="shared" si="43"/>
        <v>46066</v>
      </c>
      <c r="L129" s="15"/>
      <c r="M129" s="15">
        <f t="shared" si="44"/>
        <v>46091</v>
      </c>
      <c r="N129" s="13"/>
      <c r="O129" s="2" t="str">
        <f>IF(ISERROR(SEARCH("Poço",D129)),IF(N129="","Erro",IF(Q129="Reprovado","Reprovado",IF(D129="Operacional", WORKDAY(N129,10,FERIADOS!$A$3:$A$119),IF(D129="Óleo - Enxofre", "NA", G129+3)))),"")</f>
        <v>Erro</v>
      </c>
      <c r="P129" s="13"/>
      <c r="Q129" s="7"/>
      <c r="R129" s="13"/>
      <c r="S129" s="30"/>
      <c r="T129" s="34"/>
      <c r="W129" t="str">
        <f t="shared" si="45"/>
        <v>CDIT71-AX-0202 (IP Flash Vessel)</v>
      </c>
      <c r="X12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0" spans="1:24" ht="12.5" x14ac:dyDescent="0.25">
      <c r="A130" s="10"/>
      <c r="B130" s="10" t="s">
        <v>145</v>
      </c>
      <c r="C130" s="6" t="s">
        <v>313</v>
      </c>
      <c r="D130" s="11" t="s">
        <v>267</v>
      </c>
      <c r="E130" s="36"/>
      <c r="F130" s="25" t="str" cm="1">
        <f t="array" ref="F130">IF(V130 &lt;&gt; "", V130,
  IF(NOT(ISERROR(SEARCH("Poço", D130))),
    IF(G130 = "", "", G130),
    IFERROR(_xlfn.SINGLE(INDEX($G$1:G129, SUMPRODUCT(MAX(($W$1:W129 = W130) * ROW($W$1:W129))))) +
      IF(
      D130 = "Fiscal", 30,
        IF(D130 = "Óleo - Densidade", IF(OR(B130 = "SEP", B130 = "ATD", B130 = "ADG"), 90, 365),
          IF(D130 = "Óleo - Enxofre", 365, 180)
        )
      ),
      ""
    )
  )
)</f>
        <v/>
      </c>
      <c r="G130" s="12">
        <v>45857</v>
      </c>
      <c r="H130" s="15">
        <f t="shared" ref="H130:H135" si="46">IF(G130="","Erro",IF(D130="Óleo - Densidade", "NA", G130+10))</f>
        <v>45867</v>
      </c>
      <c r="I130" s="15"/>
      <c r="J130" s="15"/>
      <c r="K130" s="15">
        <f t="shared" ref="K130:K135" si="47">IF(G130="","Erro",IF(D130="Óleo - Densidade", "NA", G130+20))</f>
        <v>45877</v>
      </c>
      <c r="L130" s="15"/>
      <c r="M130" s="15">
        <f t="shared" ref="M130:M135" si="48">IF(G130="","Erro",G130+IF(D130="Fiscal",25,IF(D130="Óleo - Densidade", 1, IF(D130="Óleo - Enxofre", 25, 45))))</f>
        <v>45902</v>
      </c>
      <c r="N130" s="12">
        <v>45882</v>
      </c>
      <c r="O130" s="1">
        <f>IF(ISERROR(SEARCH("Poço",D130)),IF(N130="","Erro",IF(Q130="Reprovado","Reprovado",IF(D130="Operacional", WORKDAY(N130,10,FERIADOS!$A$3:$A$119),IF(D130="Óleo - Enxofre", "NA", G130+3)))),"")</f>
        <v>45896</v>
      </c>
      <c r="P130" s="12">
        <v>45895</v>
      </c>
      <c r="Q130" s="7" t="s">
        <v>37</v>
      </c>
      <c r="R130" s="12"/>
      <c r="S130" s="27"/>
      <c r="T130" s="23"/>
      <c r="W130" t="str">
        <f t="shared" si="45"/>
        <v>ATD775-AP-6008 (Gas Injection)</v>
      </c>
      <c r="X13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1" spans="1:24" ht="12.5" x14ac:dyDescent="0.25">
      <c r="A131" s="8"/>
      <c r="B131" s="8" t="s">
        <v>145</v>
      </c>
      <c r="C131" s="5" t="s">
        <v>313</v>
      </c>
      <c r="D131" s="9" t="s">
        <v>267</v>
      </c>
      <c r="E131" s="36"/>
      <c r="F131" s="29" cm="1">
        <f t="array" ref="F131">IF(V131 &lt;&gt; "", V131,
  IF(NOT(ISERROR(SEARCH("Poço", D131))),
    IF(G131 = "", "", G131),
    IFERROR(_xlfn.SINGLE(INDEX($G$1:G130, SUMPRODUCT(MAX(($W$1:W130 = W131) * ROW($W$1:W130))))) +
      IF(
      D131 = "Fiscal", 30,
        IF(D131 = "Óleo - Densidade", IF(OR(B131 = "SEP", B131 = "ATD", B131 = "ADG"), 90, 365),
          IF(D131 = "Óleo - Enxofre", 365, 180)
        )
      ),
      ""
    )
  )
)</f>
        <v>46037</v>
      </c>
      <c r="G131" s="13">
        <v>46013</v>
      </c>
      <c r="H131" s="15">
        <f t="shared" si="46"/>
        <v>46023</v>
      </c>
      <c r="I131" s="15"/>
      <c r="J131" s="15"/>
      <c r="K131" s="15">
        <f t="shared" si="47"/>
        <v>46033</v>
      </c>
      <c r="L131" s="15"/>
      <c r="M131" s="15">
        <f t="shared" si="48"/>
        <v>46058</v>
      </c>
      <c r="N131" s="13">
        <v>46038</v>
      </c>
      <c r="O131" s="2">
        <f>IF(ISERROR(SEARCH("Poço",D131)),IF(N131="","Erro",IF(Q131="Reprovado","Reprovado",IF(D131="Operacional", WORKDAY(N131,10,FERIADOS!$A$3:$A$119),IF(D131="Óleo - Enxofre", "NA", G131+3)))),"")</f>
        <v>46052</v>
      </c>
      <c r="P131" s="13">
        <v>46051</v>
      </c>
      <c r="Q131" s="7" t="s">
        <v>37</v>
      </c>
      <c r="R131" s="13"/>
      <c r="S131" s="30"/>
      <c r="T131" s="34"/>
      <c r="W131" t="str">
        <f t="shared" si="45"/>
        <v>ATD775-AP-6008 (Gas Injection)</v>
      </c>
      <c r="X13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2" spans="1:24" ht="12.5" x14ac:dyDescent="0.25">
      <c r="A132" s="8"/>
      <c r="B132" s="8" t="s">
        <v>145</v>
      </c>
      <c r="C132" s="5" t="s">
        <v>289</v>
      </c>
      <c r="D132" s="9" t="s">
        <v>267</v>
      </c>
      <c r="E132" s="36"/>
      <c r="F132" s="29" cm="1">
        <f t="array" ref="F132">IF(V132 &lt;&gt; "", V132,
  IF(NOT(ISERROR(SEARCH("Poço", D132))),
    IF(G132 = "", "", G132),
    IFERROR(_xlfn.SINGLE(INDEX($G$1:G131, SUMPRODUCT(MAX(($W$1:W131 = W132) * ROW($W$1:W131))))) +
      IF(
      D132 = "Fiscal", 30,
        IF(D132 = "Óleo - Densidade", IF(OR(B132 = "SEP", B132 = "ATD", B132 = "ADG"), 90, 365),
          IF(D132 = "Óleo - Enxofre", 365, 180)
        )
      ),
      ""
    )
  )
)</f>
        <v>45944</v>
      </c>
      <c r="G132" s="13">
        <v>45933</v>
      </c>
      <c r="H132" s="15">
        <f t="shared" si="46"/>
        <v>45943</v>
      </c>
      <c r="I132" s="15"/>
      <c r="J132" s="15"/>
      <c r="K132" s="15">
        <f t="shared" si="47"/>
        <v>45953</v>
      </c>
      <c r="L132" s="15"/>
      <c r="M132" s="15">
        <f t="shared" si="48"/>
        <v>45978</v>
      </c>
      <c r="N132" s="13">
        <v>45958</v>
      </c>
      <c r="O132" s="2">
        <f>IF(ISERROR(SEARCH("Poço",D132)),IF(N132="","Erro",IF(Q132="Reprovado","Reprovado",IF(D132="Operacional", WORKDAY(N132,10,FERIADOS!$A$3:$A$119),IF(D132="Óleo - Enxofre", "NA", G132+3)))),"")</f>
        <v>45972</v>
      </c>
      <c r="P132" s="13">
        <v>45961</v>
      </c>
      <c r="Q132" s="7" t="s">
        <v>37</v>
      </c>
      <c r="R132" s="13"/>
      <c r="S132" s="30"/>
      <c r="T132" s="34"/>
      <c r="W132" t="str">
        <f t="shared" ref="W132:W138" si="49">B132&amp;C132</f>
        <v>ATD777-AP-1211 (Flare Pilot)</v>
      </c>
      <c r="X13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3" spans="1:24" ht="12.5" x14ac:dyDescent="0.25">
      <c r="A133" s="17"/>
      <c r="B133" s="17" t="s">
        <v>145</v>
      </c>
      <c r="C133" s="6" t="s">
        <v>314</v>
      </c>
      <c r="D133" s="18" t="s">
        <v>303</v>
      </c>
      <c r="E133" s="36"/>
      <c r="F133" s="25" t="str" cm="1">
        <f t="array" ref="F133">IF(V133 &lt;&gt; "", V133,
  IF(NOT(ISERROR(SEARCH("Poço", D133))),
    IF(G133 = "", "", G133),
    IFERROR(_xlfn.SINGLE(INDEX($G$1:G132, SUMPRODUCT(MAX(($W$1:W132 = W133) * ROW($W$1:W132))))) +
      IF(
      D133 = "Fiscal", 30,
        IF(D133 = "Óleo - Densidade", IF(OR(B133 = "SEP", B133 = "ATD", B133 = "ADG"), 90, 365),
          IF(D133 = "Óleo - Enxofre", 365, 180)
        )
      ),
      ""
    )
  )
)</f>
        <v/>
      </c>
      <c r="G133" s="16">
        <v>45825</v>
      </c>
      <c r="H133" s="15" t="str">
        <f t="shared" si="46"/>
        <v>NA</v>
      </c>
      <c r="I133" s="15"/>
      <c r="J133" s="15"/>
      <c r="K133" s="15" t="str">
        <f t="shared" si="47"/>
        <v>NA</v>
      </c>
      <c r="L133" s="15"/>
      <c r="M133" s="15">
        <f t="shared" si="48"/>
        <v>45826</v>
      </c>
      <c r="N133" s="12">
        <v>45826</v>
      </c>
      <c r="O133" s="1">
        <f>IF(ISERROR(SEARCH("Poço",D133)),IF(N133="","Erro",IF(Q133="Reprovado","Reprovado",IF(D133="Operacional", WORKDAY(N133,10,FERIADOS!$A$3:$A$119),IF(D133="Óleo - Enxofre", "NA", G133+3)))),"")</f>
        <v>45828</v>
      </c>
      <c r="P133" s="16">
        <v>45826</v>
      </c>
      <c r="Q133" s="7" t="s">
        <v>37</v>
      </c>
      <c r="R133" s="12"/>
      <c r="S133" s="27"/>
      <c r="T133" s="23"/>
      <c r="W133" t="str">
        <f t="shared" si="49"/>
        <v>ATD662-AP-0106 (FWKO Drum)</v>
      </c>
      <c r="X13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4" spans="1:24" ht="12.5" x14ac:dyDescent="0.25">
      <c r="A134" s="19"/>
      <c r="B134" s="19" t="s">
        <v>145</v>
      </c>
      <c r="C134" s="5" t="s">
        <v>314</v>
      </c>
      <c r="D134" s="20" t="s">
        <v>303</v>
      </c>
      <c r="E134" s="36"/>
      <c r="F134" s="29" cm="1">
        <f t="array" ref="F134">IF(V134 &lt;&gt; "", V134,
  IF(NOT(ISERROR(SEARCH("Poço", D134))),
    IF(G134 = "", "", G134),
    IFERROR(_xlfn.SINGLE(INDEX($G$1:G133, SUMPRODUCT(MAX(($W$1:W133 = W134) * ROW($W$1:W133))))) +
      IF(
      D134 = "Fiscal", 30,
        IF(D134 = "Óleo - Densidade", IF(OR(B134 = "SEP", B134 = "ATD", B134 = "ADG"), 90, 365),
          IF(D134 = "Óleo - Enxofre", 365, 180)
        )
      ),
      ""
    )
  )
)</f>
        <v>45915</v>
      </c>
      <c r="G134" s="21">
        <v>45887</v>
      </c>
      <c r="H134" s="15" t="str">
        <f t="shared" si="46"/>
        <v>NA</v>
      </c>
      <c r="I134" s="15"/>
      <c r="J134" s="15"/>
      <c r="K134" s="15" t="str">
        <f t="shared" si="47"/>
        <v>NA</v>
      </c>
      <c r="L134" s="15"/>
      <c r="M134" s="15">
        <f t="shared" si="48"/>
        <v>45888</v>
      </c>
      <c r="N134" s="13">
        <v>45887</v>
      </c>
      <c r="O134" s="2">
        <f>IF(ISERROR(SEARCH("Poço",D134)),IF(N134="","Erro",IF(Q134="Reprovado","Reprovado",IF(D134="Operacional", WORKDAY(N134,10,FERIADOS!$A$3:$A$119),IF(D134="Óleo - Enxofre", "NA", G134+3)))),"")</f>
        <v>45890</v>
      </c>
      <c r="P134" s="21">
        <v>45890</v>
      </c>
      <c r="Q134" s="7" t="s">
        <v>37</v>
      </c>
      <c r="R134" s="13"/>
      <c r="S134" s="30"/>
      <c r="T134" s="34"/>
      <c r="W134" t="str">
        <f t="shared" si="49"/>
        <v>ATD662-AP-0106 (FWKO Drum)</v>
      </c>
      <c r="X13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5" spans="1:24" ht="12.5" x14ac:dyDescent="0.25">
      <c r="A135" s="19"/>
      <c r="B135" s="19" t="s">
        <v>52</v>
      </c>
      <c r="C135" s="5" t="s">
        <v>281</v>
      </c>
      <c r="D135" s="20" t="s">
        <v>267</v>
      </c>
      <c r="E135" s="36"/>
      <c r="F135" s="29" cm="1">
        <f t="array" ref="F135">IF(V135 &lt;&gt; "", V135,
  IF(NOT(ISERROR(SEARCH("Poço", D135))),
    IF(G135 = "", "", G135),
    IFERROR(_xlfn.SINGLE(INDEX($G$1:G134, SUMPRODUCT(MAX(($W$1:W134 = W135) * ROW($W$1:W134))))) +
      IF(
      D135 = "Fiscal", 30,
        IF(D135 = "Óleo - Densidade", IF(OR(B135 = "SEP", B135 = "ATD", B135 = "ADG"), 90, 365),
          IF(D135 = "Óleo - Enxofre", 365, 180)
        )
      ),
      ""
    )
  )
)</f>
        <v>46062</v>
      </c>
      <c r="G135" s="21">
        <v>46047</v>
      </c>
      <c r="H135" s="15">
        <f t="shared" si="46"/>
        <v>46057</v>
      </c>
      <c r="I135" s="15"/>
      <c r="J135" s="15"/>
      <c r="K135" s="15">
        <f t="shared" si="47"/>
        <v>46067</v>
      </c>
      <c r="L135" s="15"/>
      <c r="M135" s="15">
        <f t="shared" si="48"/>
        <v>46092</v>
      </c>
      <c r="N135" s="13"/>
      <c r="O135" s="2" t="str">
        <f>IF(ISERROR(SEARCH("Poço",D135)),IF(N135="","Erro",IF(Q135="Reprovado","Reprovado",IF(D135="Operacional", WORKDAY(N135,10,FERIADOS!$A$3:$A$119),IF(D135="Óleo - Enxofre", "NA", G135+3)))),"")</f>
        <v>Erro</v>
      </c>
      <c r="P135" s="21"/>
      <c r="Q135" s="7"/>
      <c r="R135" s="13"/>
      <c r="S135" s="30"/>
      <c r="T135" s="34"/>
      <c r="W135" t="str">
        <f t="shared" si="49"/>
        <v>SEP775-AP-6008 (Gas de Injeção)</v>
      </c>
      <c r="X13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6" spans="1:24" ht="12.5" x14ac:dyDescent="0.25">
      <c r="A136" s="8"/>
      <c r="B136" s="8" t="s">
        <v>145</v>
      </c>
      <c r="C136" s="5" t="s">
        <v>314</v>
      </c>
      <c r="D136" s="9" t="s">
        <v>303</v>
      </c>
      <c r="E136" s="36"/>
      <c r="F136" s="29" cm="1">
        <f t="array" ref="F136">IF(V136 &lt;&gt; "", V136,
  IF(NOT(ISERROR(SEARCH("Poço", D136))),
    IF(G136 = "", "", G136),
    IFERROR(_xlfn.SINGLE(INDEX($G$1:G135, SUMPRODUCT(MAX(($W$1:W135 = W136) * ROW($W$1:W135))))) +
      IF(
      D136 = "Fiscal", 30,
        IF(D136 = "Óleo - Densidade", IF(OR(B136 = "SEP", B136 = "ATD", B136 = "ADG"), 90, 365),
          IF(D136 = "Óleo - Enxofre", 365, 180)
        )
      ),
      ""
    )
  )
)</f>
        <v>45977</v>
      </c>
      <c r="G136" s="13">
        <v>45974</v>
      </c>
      <c r="H136" s="15" t="str">
        <f t="shared" ref="H136:H142" si="50">IF(G136="","Erro",IF(D136="Óleo - Densidade", "NA", G136+10))</f>
        <v>NA</v>
      </c>
      <c r="I136" s="15"/>
      <c r="J136" s="15"/>
      <c r="K136" s="15" t="str">
        <f t="shared" ref="K136:K142" si="51">IF(G136="","Erro",IF(D136="Óleo - Densidade", "NA", G136+20))</f>
        <v>NA</v>
      </c>
      <c r="L136" s="15"/>
      <c r="M136" s="15">
        <f t="shared" ref="M136:M142" si="52">IF(G136="","Erro",G136+IF(D136="Fiscal",25,IF(D136="Óleo - Densidade", 1, IF(D136="Óleo - Enxofre", 25, 45))))</f>
        <v>45975</v>
      </c>
      <c r="N136" s="13">
        <v>45975</v>
      </c>
      <c r="O136" s="2">
        <f>IF(ISERROR(SEARCH("Poço",D136)),IF(N136="","Erro",IF(Q136="Reprovado","Reprovado",IF(D136="Operacional", WORKDAY(N136,10,FERIADOS!$A$3:$A$119),IF(D136="Óleo - Enxofre", "NA", G136+3)))),"")</f>
        <v>45977</v>
      </c>
      <c r="P136" s="13">
        <v>45977</v>
      </c>
      <c r="Q136" s="7" t="s">
        <v>37</v>
      </c>
      <c r="R136" s="13"/>
      <c r="S136" s="30"/>
      <c r="T136" s="34"/>
      <c r="W136" t="str">
        <f t="shared" si="49"/>
        <v>ATD662-AP-0106 (FWKO Drum)</v>
      </c>
      <c r="X13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7" spans="1:24" ht="12.5" x14ac:dyDescent="0.25">
      <c r="A137" s="10"/>
      <c r="B137" s="10" t="s">
        <v>192</v>
      </c>
      <c r="C137" s="6" t="s">
        <v>315</v>
      </c>
      <c r="D137" s="11" t="s">
        <v>303</v>
      </c>
      <c r="E137" s="36"/>
      <c r="F137" s="25" t="str" cm="1">
        <f t="array" ref="F137">IF(V137 &lt;&gt; "", V137,
  IF(NOT(ISERROR(SEARCH("Poço", D137))),
    IF(G137 = "", "", G137),
    IFERROR(_xlfn.SINGLE(INDEX($G$1:G136, SUMPRODUCT(MAX(($W$1:W136 = W137) * ROW($W$1:W136))))) +
      IF(
      D137 = "Fiscal", 30,
        IF(D137 = "Óleo - Densidade", IF(OR(B137 = "SEP", B137 = "ATD", B137 = "ADG"), 90, 365),
          IF(D137 = "Óleo - Enxofre", 365, 180)
        )
      ),
      ""
    )
  )
)</f>
        <v/>
      </c>
      <c r="G137" s="12">
        <v>45888</v>
      </c>
      <c r="H137" s="15" t="str">
        <f t="shared" si="50"/>
        <v>NA</v>
      </c>
      <c r="I137" s="15"/>
      <c r="J137" s="15"/>
      <c r="K137" s="15" t="str">
        <f t="shared" si="51"/>
        <v>NA</v>
      </c>
      <c r="L137" s="15"/>
      <c r="M137" s="15">
        <f t="shared" si="52"/>
        <v>45889</v>
      </c>
      <c r="N137" s="12">
        <v>45888</v>
      </c>
      <c r="O137" s="1">
        <f>IF(ISERROR(SEARCH("Poço",D137)),IF(N137="","Erro",IF(Q137="Reprovado","Reprovado",IF(D137="Operacional", WORKDAY(N137,10,FERIADOS!$A$3:$A$119),IF(D137="Óleo - Enxofre", "NA", G137+3)))),"")</f>
        <v>45891</v>
      </c>
      <c r="P137" s="12">
        <v>45891</v>
      </c>
      <c r="Q137" s="7" t="s">
        <v>37</v>
      </c>
      <c r="R137" s="12"/>
      <c r="S137" s="27"/>
      <c r="T137" s="23"/>
      <c r="W137" t="str">
        <f t="shared" si="49"/>
        <v>ADG667-AP-2297 (FWKO Drum)</v>
      </c>
      <c r="X13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8" spans="1:24" ht="12.5" x14ac:dyDescent="0.25">
      <c r="A138" s="8"/>
      <c r="B138" s="8" t="s">
        <v>192</v>
      </c>
      <c r="C138" s="5" t="s">
        <v>315</v>
      </c>
      <c r="D138" s="9" t="s">
        <v>303</v>
      </c>
      <c r="E138" s="36"/>
      <c r="F138" s="29" cm="1">
        <f t="array" ref="F138">IF(V138 &lt;&gt; "", V138,
  IF(NOT(ISERROR(SEARCH("Poço", D138))),
    IF(G138 = "", "", G138),
    IFERROR(_xlfn.SINGLE(INDEX($G$1:G137, SUMPRODUCT(MAX(($W$1:W137 = W138) * ROW($W$1:W137))))) +
      IF(
      D138 = "Fiscal", 30,
        IF(D138 = "Óleo - Densidade", IF(OR(B138 = "SEP", B138 = "ATD", B138 = "ADG"), 90, 365),
          IF(D138 = "Óleo - Enxofre", 365, 180)
        )
      ),
      ""
    )
  )
)</f>
        <v>45978</v>
      </c>
      <c r="G138" s="13">
        <v>45978</v>
      </c>
      <c r="H138" s="15" t="str">
        <f t="shared" si="50"/>
        <v>NA</v>
      </c>
      <c r="I138" s="15"/>
      <c r="J138" s="15"/>
      <c r="K138" s="15" t="str">
        <f t="shared" si="51"/>
        <v>NA</v>
      </c>
      <c r="L138" s="15"/>
      <c r="M138" s="15">
        <f t="shared" si="52"/>
        <v>45979</v>
      </c>
      <c r="N138" s="13">
        <v>45979</v>
      </c>
      <c r="O138" s="2">
        <f>IF(ISERROR(SEARCH("Poço",D138)),IF(N138="","Erro",IF(Q138="Reprovado","Reprovado",IF(D138="Operacional", WORKDAY(N138,10,FERIADOS!$A$3:$A$119),IF(D138="Óleo - Enxofre", "NA", G138+3)))),"")</f>
        <v>45981</v>
      </c>
      <c r="P138" s="13">
        <v>45979</v>
      </c>
      <c r="Q138" s="7" t="s">
        <v>37</v>
      </c>
      <c r="R138" s="13"/>
      <c r="S138" s="30"/>
      <c r="T138" s="34"/>
      <c r="W138" t="str">
        <f t="shared" si="49"/>
        <v>ADG667-AP-2297 (FWKO Drum)</v>
      </c>
      <c r="X13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39" spans="1:24" ht="12.5" x14ac:dyDescent="0.25">
      <c r="A139" s="19"/>
      <c r="B139" s="19" t="s">
        <v>38</v>
      </c>
      <c r="C139" s="5" t="s">
        <v>271</v>
      </c>
      <c r="D139" s="20" t="s">
        <v>267</v>
      </c>
      <c r="E139" s="36"/>
      <c r="F139" s="29" cm="1">
        <f t="array" ref="F139">IF(V139 &lt;&gt; "", V139,
  IF(NOT(ISERROR(SEARCH("Poço", D139))),
    IF(G139 = "", "", G139),
    IFERROR(_xlfn.SINGLE(INDEX($G$1:G138, SUMPRODUCT(MAX(($W$1:W138 = W139) * ROW($W$1:W138))))) +
      IF(
      D139 = "Fiscal", 30,
        IF(D139 = "Óleo - Densidade", IF(OR(B139 = "SEP", B139 = "ATD", B139 = "ADG"), 90, 365),
          IF(D139 = "Óleo - Enxofre", 365, 180)
        )
      ),
      ""
    )
  )
)</f>
        <v>46075</v>
      </c>
      <c r="G139" s="21"/>
      <c r="H139" s="15" t="str">
        <f t="shared" si="50"/>
        <v>Erro</v>
      </c>
      <c r="I139" s="15"/>
      <c r="J139" s="15"/>
      <c r="K139" s="15" t="str">
        <f t="shared" si="51"/>
        <v>Erro</v>
      </c>
      <c r="L139" s="15"/>
      <c r="M139" s="15" t="str">
        <f t="shared" si="52"/>
        <v>Erro</v>
      </c>
      <c r="N139" s="13"/>
      <c r="O139" s="2" t="str">
        <f>IF(ISERROR(SEARCH("Poço",D139)),IF(N139="","Erro",IF(Q139="Reprovado","Reprovado",IF(D139="Operacional", WORKDAY(N139,10,FERIADOS!$A$3:$A$119),IF(D139="Óleo - Enxofre", "NA", G139+3)))),"")</f>
        <v>Erro</v>
      </c>
      <c r="P139" s="21"/>
      <c r="Q139" s="7"/>
      <c r="R139" s="13"/>
      <c r="S139" s="30"/>
      <c r="T139" s="34"/>
      <c r="W139" t="str">
        <f t="shared" ref="W139:W146" si="53">B139&amp;C139</f>
        <v>CDPT71-AP-0173 (LP Degasser)</v>
      </c>
      <c r="X13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0" spans="1:24" ht="12.5" x14ac:dyDescent="0.25">
      <c r="A140" s="19"/>
      <c r="B140" s="19" t="s">
        <v>38</v>
      </c>
      <c r="C140" s="5" t="s">
        <v>272</v>
      </c>
      <c r="D140" s="20" t="s">
        <v>267</v>
      </c>
      <c r="E140" s="36"/>
      <c r="F140" s="29" cm="1">
        <f t="array" ref="F140">IF(V140 &lt;&gt; "", V140,
  IF(NOT(ISERROR(SEARCH("Poço", D140))),
    IF(G140 = "", "", G140),
    IFERROR(_xlfn.SINGLE(INDEX($G$1:G139, SUMPRODUCT(MAX(($W$1:W139 = W140) * ROW($W$1:W139))))) +
      IF(
      D140 = "Fiscal", 30,
        IF(D140 = "Óleo - Densidade", IF(OR(B140 = "SEP", B140 = "ATD", B140 = "ADG"), 90, 365),
          IF(D140 = "Óleo - Enxofre", 365, 180)
        )
      ),
      ""
    )
  )
)</f>
        <v>46075</v>
      </c>
      <c r="G140" s="21"/>
      <c r="H140" s="15" t="str">
        <f t="shared" si="50"/>
        <v>Erro</v>
      </c>
      <c r="I140" s="15"/>
      <c r="J140" s="15"/>
      <c r="K140" s="15" t="str">
        <f t="shared" si="51"/>
        <v>Erro</v>
      </c>
      <c r="L140" s="15"/>
      <c r="M140" s="15" t="str">
        <f t="shared" si="52"/>
        <v>Erro</v>
      </c>
      <c r="N140" s="13"/>
      <c r="O140" s="2" t="str">
        <f>IF(ISERROR(SEARCH("Poço",D140)),IF(N140="","Erro",IF(Q140="Reprovado","Reprovado",IF(D140="Operacional", WORKDAY(N140,10,FERIADOS!$A$3:$A$119),IF(D140="Óleo - Enxofre", "NA", G140+3)))),"")</f>
        <v>Erro</v>
      </c>
      <c r="P140" s="21"/>
      <c r="Q140" s="7"/>
      <c r="R140" s="13"/>
      <c r="S140" s="30"/>
      <c r="T140" s="34"/>
      <c r="W140" t="str">
        <f t="shared" si="53"/>
        <v>CDPT71-AP-0176 (HP Separator)</v>
      </c>
      <c r="X14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1" spans="1:24" ht="12.5" x14ac:dyDescent="0.25">
      <c r="A141" s="19"/>
      <c r="B141" s="19" t="s">
        <v>38</v>
      </c>
      <c r="C141" s="5" t="s">
        <v>273</v>
      </c>
      <c r="D141" s="20" t="s">
        <v>267</v>
      </c>
      <c r="E141" s="36"/>
      <c r="F141" s="29" cm="1">
        <f t="array" ref="F141">IF(V141 &lt;&gt; "", V141,
  IF(NOT(ISERROR(SEARCH("Poço", D141))),
    IF(G141 = "", "", G141),
    IFERROR(_xlfn.SINGLE(INDEX($G$1:G140, SUMPRODUCT(MAX(($W$1:W140 = W141) * ROW($W$1:W140))))) +
      IF(
      D141 = "Fiscal", 30,
        IF(D141 = "Óleo - Densidade", IF(OR(B141 = "SEP", B141 = "ATD", B141 = "ADG"), 90, 365),
          IF(D141 = "Óleo - Enxofre", 365, 180)
        )
      ),
      ""
    )
  )
)</f>
        <v>46075</v>
      </c>
      <c r="G141" s="21"/>
      <c r="H141" s="15" t="str">
        <f t="shared" si="50"/>
        <v>Erro</v>
      </c>
      <c r="I141" s="15"/>
      <c r="J141" s="15"/>
      <c r="K141" s="15" t="str">
        <f t="shared" si="51"/>
        <v>Erro</v>
      </c>
      <c r="L141" s="15"/>
      <c r="M141" s="15" t="str">
        <f t="shared" si="52"/>
        <v>Erro</v>
      </c>
      <c r="N141" s="13"/>
      <c r="O141" s="2" t="str">
        <f>IF(ISERROR(SEARCH("Poço",D141)),IF(N141="","Erro",IF(Q141="Reprovado","Reprovado",IF(D141="Operacional", WORKDAY(N141,10,FERIADOS!$A$3:$A$119),IF(D141="Óleo - Enxofre", "NA", G141+3)))),"")</f>
        <v>Erro</v>
      </c>
      <c r="P141" s="21"/>
      <c r="Q141" s="7"/>
      <c r="R141" s="13"/>
      <c r="S141" s="30"/>
      <c r="T141" s="34"/>
      <c r="W141" t="str">
        <f t="shared" si="53"/>
        <v>CDPT71-AP-0163 (IP Flash Vessel)</v>
      </c>
      <c r="X14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2" spans="1:24" ht="12.5" x14ac:dyDescent="0.25">
      <c r="A142" s="19"/>
      <c r="B142" s="19" t="s">
        <v>38</v>
      </c>
      <c r="C142" s="5" t="s">
        <v>275</v>
      </c>
      <c r="D142" s="20" t="s">
        <v>267</v>
      </c>
      <c r="E142" s="36"/>
      <c r="F142" s="29" cm="1">
        <f t="array" ref="F142">IF(V142 &lt;&gt; "", V142,
  IF(NOT(ISERROR(SEARCH("Poço", D142))),
    IF(G142 = "", "", G142),
    IFERROR(_xlfn.SINGLE(INDEX($G$1:G141, SUMPRODUCT(MAX(($W$1:W141 = W142) * ROW($W$1:W141))))) +
      IF(
      D142 = "Fiscal", 30,
        IF(D142 = "Óleo - Densidade", IF(OR(B142 = "SEP", B142 = "ATD", B142 = "ADG"), 90, 365),
          IF(D142 = "Óleo - Enxofre", 365, 180)
        )
      ),
      ""
    )
  )
)</f>
        <v>46075</v>
      </c>
      <c r="G142" s="21"/>
      <c r="H142" s="15" t="str">
        <f t="shared" si="50"/>
        <v>Erro</v>
      </c>
      <c r="I142" s="15"/>
      <c r="J142" s="15"/>
      <c r="K142" s="15" t="str">
        <f t="shared" si="51"/>
        <v>Erro</v>
      </c>
      <c r="L142" s="15"/>
      <c r="M142" s="15" t="str">
        <f t="shared" si="52"/>
        <v>Erro</v>
      </c>
      <c r="N142" s="13"/>
      <c r="O142" s="2" t="str">
        <f>IF(ISERROR(SEARCH("Poço",D142)),IF(N142="","Erro",IF(Q142="Reprovado","Reprovado",IF(D142="Operacional", WORKDAY(N142,10,FERIADOS!$A$3:$A$119),IF(D142="Óleo - Enxofre", "NA", G142+3)))),"")</f>
        <v>Erro</v>
      </c>
      <c r="P142" s="21"/>
      <c r="Q142" s="7"/>
      <c r="R142" s="13"/>
      <c r="S142" s="30"/>
      <c r="T142" s="34"/>
      <c r="W142" t="str">
        <f t="shared" si="53"/>
        <v>CDPT75-AP-1109 (Injection Gas)</v>
      </c>
      <c r="X14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3" spans="1:24" ht="12.5" x14ac:dyDescent="0.25">
      <c r="A143" s="19"/>
      <c r="B143" s="19" t="s">
        <v>46</v>
      </c>
      <c r="C143" s="5" t="s">
        <v>284</v>
      </c>
      <c r="D143" s="20" t="s">
        <v>267</v>
      </c>
      <c r="E143" s="36"/>
      <c r="F143" s="29" cm="1">
        <f t="array" ref="F143">IF(V143 &lt;&gt; "", V143,
  IF(NOT(ISERROR(SEARCH("Poço", D143))),
    IF(G143 = "", "", G143),
    IFERROR(_xlfn.SINGLE(INDEX($G$1:G142, SUMPRODUCT(MAX(($W$1:W142 = W143) * ROW($W$1:W142))))) +
      IF(
      D143 = "Fiscal", 30,
        IF(D143 = "Óleo - Densidade", IF(OR(B143 = "SEP", B143 = "ATD", B143 = "ADG"), 90, 365),
          IF(D143 = "Óleo - Enxofre", 365, 180)
        )
      ),
      ""
    )
  )
)</f>
        <v>46074</v>
      </c>
      <c r="G143" s="21">
        <v>45925</v>
      </c>
      <c r="H143" s="15">
        <f t="shared" ref="H143:H148" si="54">IF(G143="","Erro",IF(D143="Óleo - Densidade", "NA", G143+10))</f>
        <v>45935</v>
      </c>
      <c r="I143" s="15"/>
      <c r="J143" s="15"/>
      <c r="K143" s="15">
        <f t="shared" ref="K143:K148" si="55">IF(G143="","Erro",IF(D143="Óleo - Densidade", "NA", G143+20))</f>
        <v>45945</v>
      </c>
      <c r="L143" s="15"/>
      <c r="M143" s="15">
        <f t="shared" ref="M143:M148" si="56">IF(G143="","Erro",G143+IF(D143="Fiscal",25,IF(D143="Óleo - Densidade", 1, IF(D143="Óleo - Enxofre", 25, 45))))</f>
        <v>45970</v>
      </c>
      <c r="N143" s="13">
        <v>45950</v>
      </c>
      <c r="O143" s="2">
        <f>IF(ISERROR(SEARCH("Poço",D143)),IF(N143="","Erro",IF(Q143="Reprovado","Reprovado",IF(D143="Operacional", WORKDAY(N143,10,FERIADOS!$A$3:$A$119),IF(D143="Óleo - Enxofre", "NA", G143+3)))),"")</f>
        <v>45964</v>
      </c>
      <c r="P143" s="21">
        <v>45964</v>
      </c>
      <c r="Q143" s="7" t="s">
        <v>37</v>
      </c>
      <c r="R143" s="13"/>
      <c r="S143" s="30"/>
      <c r="T143" s="34"/>
      <c r="W143" t="str">
        <f t="shared" si="53"/>
        <v>CDMT75-AX-1139 (Injection Gas)</v>
      </c>
      <c r="X14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4" spans="1:24" ht="12.5" x14ac:dyDescent="0.25">
      <c r="A144" s="19"/>
      <c r="B144" s="19" t="s">
        <v>24</v>
      </c>
      <c r="C144" s="5" t="s">
        <v>276</v>
      </c>
      <c r="D144" s="20" t="s">
        <v>267</v>
      </c>
      <c r="E144" s="36"/>
      <c r="F144" s="29" cm="1">
        <f t="array" ref="F144">IF(V144 &lt;&gt; "", V144,
  IF(NOT(ISERROR(SEARCH("Poço", D144))),
    IF(G144 = "", "", G144),
    IFERROR(_xlfn.SINGLE(INDEX($G$1:G143, SUMPRODUCT(MAX(($W$1:W143 = W144) * ROW($W$1:W143))))) +
      IF(
      D144 = "Fiscal", 30,
        IF(D144 = "Óleo - Densidade", IF(OR(B144 = "SEP", B144 = "ATD", B144 = "ADG"), 90, 365),
          IF(D144 = "Óleo - Enxofre", 365, 180)
        )
      ),
      ""
    )
  )
)</f>
        <v>46089</v>
      </c>
      <c r="G144" s="21"/>
      <c r="H144" s="15" t="str">
        <f t="shared" si="54"/>
        <v>Erro</v>
      </c>
      <c r="I144" s="15"/>
      <c r="J144" s="15"/>
      <c r="K144" s="15" t="str">
        <f t="shared" si="55"/>
        <v>Erro</v>
      </c>
      <c r="L144" s="15"/>
      <c r="M144" s="15" t="str">
        <f t="shared" si="56"/>
        <v>Erro</v>
      </c>
      <c r="N144" s="13"/>
      <c r="O144" s="2" t="str">
        <f>IF(ISERROR(SEARCH("Poço",D144)),IF(N144="","Erro",IF(Q144="Reprovado","Reprovado",IF(D144="Operacional", WORKDAY(N144,10,FERIADOS!$A$3:$A$119),IF(D144="Óleo - Enxofre", "NA", G144+3)))),"")</f>
        <v>Erro</v>
      </c>
      <c r="P144" s="21"/>
      <c r="Q144" s="7"/>
      <c r="R144" s="13"/>
      <c r="S144" s="30"/>
      <c r="T144" s="34"/>
      <c r="W144" t="str">
        <f t="shared" si="53"/>
        <v>CDAT71-SP-372 HP-A (CG)</v>
      </c>
      <c r="X14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5" spans="1:24" ht="12.5" x14ac:dyDescent="0.25">
      <c r="A145" s="19"/>
      <c r="B145" s="19" t="s">
        <v>24</v>
      </c>
      <c r="C145" s="5" t="s">
        <v>278</v>
      </c>
      <c r="D145" s="20" t="s">
        <v>267</v>
      </c>
      <c r="E145" s="36"/>
      <c r="F145" s="29" cm="1">
        <f t="array" ref="F145">IF(V145 &lt;&gt; "", V145,
  IF(NOT(ISERROR(SEARCH("Poço", D145))),
    IF(G145 = "", "", G145),
    IFERROR(_xlfn.SINGLE(INDEX($G$1:G144, SUMPRODUCT(MAX(($W$1:W144 = W145) * ROW($W$1:W144))))) +
      IF(
      D145 = "Fiscal", 30,
        IF(D145 = "Óleo - Densidade", IF(OR(B145 = "SEP", B145 = "ATD", B145 = "ADG"), 90, 365),
          IF(D145 = "Óleo - Enxofre", 365, 180)
        )
      ),
      ""
    )
  )
)</f>
        <v>46089</v>
      </c>
      <c r="G145" s="21"/>
      <c r="H145" s="15" t="str">
        <f t="shared" si="54"/>
        <v>Erro</v>
      </c>
      <c r="I145" s="15"/>
      <c r="J145" s="15"/>
      <c r="K145" s="15" t="str">
        <f t="shared" si="55"/>
        <v>Erro</v>
      </c>
      <c r="L145" s="15"/>
      <c r="M145" s="15" t="str">
        <f t="shared" si="56"/>
        <v>Erro</v>
      </c>
      <c r="N145" s="13"/>
      <c r="O145" s="2" t="str">
        <f>IF(ISERROR(SEARCH("Poço",D145)),IF(N145="","Erro",IF(Q145="Reprovado","Reprovado",IF(D145="Operacional", WORKDAY(N145,10,FERIADOS!$A$3:$A$119),IF(D145="Óleo - Enxofre", "NA", G145+3)))),"")</f>
        <v>Erro</v>
      </c>
      <c r="P145" s="21"/>
      <c r="Q145" s="7"/>
      <c r="R145" s="13"/>
      <c r="S145" s="30"/>
      <c r="T145" s="34"/>
      <c r="W145" t="str">
        <f t="shared" si="53"/>
        <v>CDAT71-SP-376 HP-B (CG)</v>
      </c>
      <c r="X14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6" spans="1:24" ht="12.5" x14ac:dyDescent="0.25">
      <c r="A146" s="19"/>
      <c r="B146" s="19" t="s">
        <v>24</v>
      </c>
      <c r="C146" s="5" t="s">
        <v>280</v>
      </c>
      <c r="D146" s="20" t="s">
        <v>267</v>
      </c>
      <c r="E146" s="36"/>
      <c r="F146" s="29" cm="1">
        <f t="array" ref="F146">IF(V146 &lt;&gt; "", V146,
  IF(NOT(ISERROR(SEARCH("Poço", D146))),
    IF(G146 = "", "", G146),
    IFERROR(_xlfn.SINGLE(INDEX($G$1:G145, SUMPRODUCT(MAX(($W$1:W145 = W146) * ROW($W$1:W145))))) +
      IF(
      D146 = "Fiscal", 30,
        IF(D146 = "Óleo - Densidade", IF(OR(B146 = "SEP", B146 = "ATD", B146 = "ADG"), 90, 365),
          IF(D146 = "Óleo - Enxofre", 365, 180)
        )
      ),
      ""
    )
  )
)</f>
        <v>46089</v>
      </c>
      <c r="G146" s="21"/>
      <c r="H146" s="15" t="str">
        <f t="shared" si="54"/>
        <v>Erro</v>
      </c>
      <c r="I146" s="15"/>
      <c r="J146" s="15"/>
      <c r="K146" s="15" t="str">
        <f t="shared" si="55"/>
        <v>Erro</v>
      </c>
      <c r="L146" s="15"/>
      <c r="M146" s="15" t="str">
        <f t="shared" si="56"/>
        <v>Erro</v>
      </c>
      <c r="N146" s="13"/>
      <c r="O146" s="2" t="str">
        <f>IF(ISERROR(SEARCH("Poço",D146)),IF(N146="","Erro",IF(Q146="Reprovado","Reprovado",IF(D146="Operacional", WORKDAY(N146,10,FERIADOS!$A$3:$A$119),IF(D146="Óleo - Enxofre", "NA", G146+3)))),"")</f>
        <v>Erro</v>
      </c>
      <c r="P146" s="21"/>
      <c r="Q146" s="7"/>
      <c r="R146" s="13"/>
      <c r="S146" s="30"/>
      <c r="T146" s="34"/>
      <c r="W146" t="str">
        <f t="shared" si="53"/>
        <v>CDAPST-223 2º SEP</v>
      </c>
      <c r="X14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7" spans="1:24" ht="12.5" x14ac:dyDescent="0.25">
      <c r="A147" s="19"/>
      <c r="B147" s="19" t="s">
        <v>52</v>
      </c>
      <c r="C147" s="5" t="s">
        <v>288</v>
      </c>
      <c r="D147" s="20" t="s">
        <v>267</v>
      </c>
      <c r="E147" s="36"/>
      <c r="F147" s="29" cm="1">
        <f t="array" ref="F147">IF(V147 &lt;&gt; "", V147,
  IF(NOT(ISERROR(SEARCH("Poço", D147))),
    IF(G147 = "", "", G147),
    IFERROR(_xlfn.SINGLE(INDEX($G$1:G146, SUMPRODUCT(MAX(($W$1:W146 = W147) * ROW($W$1:W146))))) +
      IF(
      D147 = "Fiscal", 30,
        IF(D147 = "Óleo - Densidade", IF(OR(B147 = "SEP", B147 = "ATD", B147 = "ADG"), 90, 365),
          IF(D147 = "Óleo - Enxofre", 365, 180)
        )
      ),
      ""
    )
  )
)</f>
        <v>46089</v>
      </c>
      <c r="G147" s="21"/>
      <c r="H147" s="15" t="str">
        <f t="shared" si="54"/>
        <v>Erro</v>
      </c>
      <c r="I147" s="15"/>
      <c r="J147" s="15"/>
      <c r="K147" s="15" t="str">
        <f t="shared" si="55"/>
        <v>Erro</v>
      </c>
      <c r="L147" s="15"/>
      <c r="M147" s="15" t="str">
        <f t="shared" si="56"/>
        <v>Erro</v>
      </c>
      <c r="N147" s="13"/>
      <c r="O147" s="2" t="str">
        <f>IF(ISERROR(SEARCH("Poço",D147)),IF(N147="","Erro",IF(Q147="Reprovado","Reprovado",IF(D147="Operacional", WORKDAY(N147,10,FERIADOS!$A$3:$A$119),IF(D147="Óleo - Enxofre", "NA", G147+3)))),"")</f>
        <v>Erro</v>
      </c>
      <c r="P147" s="21"/>
      <c r="Q147" s="7"/>
      <c r="R147" s="13"/>
      <c r="S147" s="30"/>
      <c r="T147" s="34"/>
      <c r="W147" t="str">
        <f t="shared" ref="W147:W153" si="57">B147&amp;C147</f>
        <v>SEP772-AP-1710 (Gas Dehydration)</v>
      </c>
      <c r="X14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8" spans="1:24" ht="12.5" x14ac:dyDescent="0.25">
      <c r="A148" s="19"/>
      <c r="B148" s="19" t="s">
        <v>38</v>
      </c>
      <c r="C148" s="5" t="s">
        <v>274</v>
      </c>
      <c r="D148" s="20" t="s">
        <v>267</v>
      </c>
      <c r="E148" s="36"/>
      <c r="F148" s="29" cm="1">
        <f t="array" ref="F148">IF(V148 &lt;&gt; "", V148,
  IF(NOT(ISERROR(SEARCH("Poço", D148))),
    IF(G148 = "", "", G148),
    IFERROR(_xlfn.SINGLE(INDEX($G$1:G147, SUMPRODUCT(MAX(($W$1:W147 = W148) * ROW($W$1:W147))))) +
      IF(
      D148 = "Fiscal", 30,
        IF(D148 = "Óleo - Densidade", IF(OR(B148 = "SEP", B148 = "ATD", B148 = "ADG"), 90, 365),
          IF(D148 = "Óleo - Enxofre", 365, 180)
        )
      ),
      ""
    )
  )
)</f>
        <v>46104</v>
      </c>
      <c r="G148" s="21">
        <v>45924</v>
      </c>
      <c r="H148" s="15">
        <f t="shared" si="54"/>
        <v>45934</v>
      </c>
      <c r="I148" s="15"/>
      <c r="J148" s="15"/>
      <c r="K148" s="15">
        <f t="shared" si="55"/>
        <v>45944</v>
      </c>
      <c r="L148" s="15"/>
      <c r="M148" s="15">
        <f t="shared" si="56"/>
        <v>45969</v>
      </c>
      <c r="N148" s="13">
        <v>45947</v>
      </c>
      <c r="O148" s="2" t="str">
        <f>IF(ISERROR(SEARCH("Poço",D148)),IF(N148="","Erro",IF(Q148="Reprovado","Reprovado",IF(D148="Operacional", WORKDAY(N148,10,FERIADOS!$A$3:$A$119),IF(D148="Óleo - Enxofre", "NA", G148+3)))),"")</f>
        <v>Reprovado</v>
      </c>
      <c r="P148" s="21"/>
      <c r="Q148" s="7" t="s">
        <v>81</v>
      </c>
      <c r="R148" s="13"/>
      <c r="S148" s="30"/>
      <c r="T148" s="34"/>
      <c r="W148" t="str">
        <f t="shared" si="57"/>
        <v>CDPT75-AP-3109 (CO2 to Flare)</v>
      </c>
      <c r="X14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49" spans="1:24" ht="12.5" x14ac:dyDescent="0.25">
      <c r="A149" s="19"/>
      <c r="B149" s="19" t="s">
        <v>46</v>
      </c>
      <c r="C149" s="5" t="s">
        <v>285</v>
      </c>
      <c r="D149" s="20" t="s">
        <v>267</v>
      </c>
      <c r="E149" s="36"/>
      <c r="F149" s="29" cm="1">
        <f t="array" ref="F149">IF(V149 &lt;&gt; "", V149,
  IF(NOT(ISERROR(SEARCH("Poço", D149))),
    IF(G149 = "", "", G149),
    IFERROR(_xlfn.SINGLE(INDEX($G$1:G148, SUMPRODUCT(MAX(($W$1:W148 = W149) * ROW($W$1:W148))))) +
      IF(
      D149 = "Fiscal", 30,
        IF(D149 = "Óleo - Densidade", IF(OR(B149 = "SEP", B149 = "ATD", B149 = "ADG"), 90, 365),
          IF(D149 = "Óleo - Enxofre", 365, 180)
        )
      ),
      ""
    )
  )
)</f>
        <v>46105</v>
      </c>
      <c r="G149" s="21"/>
      <c r="H149" s="15" t="str">
        <f t="shared" ref="H149:H155" si="58">IF(G149="","Erro",IF(D149="Óleo - Densidade", "NA", G149+10))</f>
        <v>Erro</v>
      </c>
      <c r="I149" s="15"/>
      <c r="J149" s="15"/>
      <c r="K149" s="15" t="str">
        <f t="shared" ref="K149:K155" si="59">IF(G149="","Erro",IF(D149="Óleo - Densidade", "NA", G149+20))</f>
        <v>Erro</v>
      </c>
      <c r="L149" s="15"/>
      <c r="M149" s="15" t="str">
        <f t="shared" ref="M149:M155" si="60">IF(G149="","Erro",G149+IF(D149="Fiscal",25,IF(D149="Óleo - Densidade", 1, IF(D149="Óleo - Enxofre", 25, 45))))</f>
        <v>Erro</v>
      </c>
      <c r="N149" s="13"/>
      <c r="O149" s="2" t="str">
        <f>IF(ISERROR(SEARCH("Poço",D149)),IF(N149="","Erro",IF(Q149="Reprovado","Reprovado",IF(D149="Operacional", WORKDAY(N149,10,FERIADOS!$A$3:$A$119),IF(D149="Óleo - Enxofre", "NA", G149+3)))),"")</f>
        <v>Erro</v>
      </c>
      <c r="P149" s="21"/>
      <c r="Q149" s="7"/>
      <c r="R149" s="13"/>
      <c r="S149" s="30"/>
      <c r="T149" s="34"/>
      <c r="W149" t="str">
        <f t="shared" si="57"/>
        <v>CDMT71-AX-0102 (HP Separator)</v>
      </c>
      <c r="X14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0" spans="1:24" ht="12.5" x14ac:dyDescent="0.25">
      <c r="A150" s="19"/>
      <c r="B150" s="19" t="s">
        <v>46</v>
      </c>
      <c r="C150" s="5" t="s">
        <v>286</v>
      </c>
      <c r="D150" s="20" t="s">
        <v>267</v>
      </c>
      <c r="E150" s="36"/>
      <c r="F150" s="29" cm="1">
        <f t="array" ref="F150">IF(V150 &lt;&gt; "", V150,
  IF(NOT(ISERROR(SEARCH("Poço", D150))),
    IF(G150 = "", "", G150),
    IFERROR(_xlfn.SINGLE(INDEX($G$1:G149, SUMPRODUCT(MAX(($W$1:W149 = W150) * ROW($W$1:W149))))) +
      IF(
      D150 = "Fiscal", 30,
        IF(D150 = "Óleo - Densidade", IF(OR(B150 = "SEP", B150 = "ATD", B150 = "ADG"), 90, 365),
          IF(D150 = "Óleo - Enxofre", 365, 180)
        )
      ),
      ""
    )
  )
)</f>
        <v>46105</v>
      </c>
      <c r="G150" s="21"/>
      <c r="H150" s="15" t="str">
        <f t="shared" si="58"/>
        <v>Erro</v>
      </c>
      <c r="I150" s="15"/>
      <c r="J150" s="15"/>
      <c r="K150" s="15" t="str">
        <f t="shared" si="59"/>
        <v>Erro</v>
      </c>
      <c r="L150" s="15"/>
      <c r="M150" s="15" t="str">
        <f t="shared" si="60"/>
        <v>Erro</v>
      </c>
      <c r="N150" s="13"/>
      <c r="O150" s="2" t="str">
        <f>IF(ISERROR(SEARCH("Poço",D150)),IF(N150="","Erro",IF(Q150="Reprovado","Reprovado",IF(D150="Operacional", WORKDAY(N150,10,FERIADOS!$A$3:$A$119),IF(D150="Óleo - Enxofre", "NA", G150+3)))),"")</f>
        <v>Erro</v>
      </c>
      <c r="P150" s="21"/>
      <c r="Q150" s="7"/>
      <c r="R150" s="13"/>
      <c r="S150" s="30"/>
      <c r="T150" s="34"/>
      <c r="W150" t="str">
        <f t="shared" si="57"/>
        <v>CDMT71-AX-0202 (IP Flash Vessel)</v>
      </c>
      <c r="X15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1" spans="1:24" ht="12.5" x14ac:dyDescent="0.25">
      <c r="A151" s="19"/>
      <c r="B151" s="19" t="s">
        <v>46</v>
      </c>
      <c r="C151" s="5" t="s">
        <v>287</v>
      </c>
      <c r="D151" s="20" t="s">
        <v>267</v>
      </c>
      <c r="E151" s="36"/>
      <c r="F151" s="29" cm="1">
        <f t="array" ref="F151">IF(V151 &lt;&gt; "", V151,
  IF(NOT(ISERROR(SEARCH("Poço", D151))),
    IF(G151 = "", "", G151),
    IFERROR(_xlfn.SINGLE(INDEX($G$1:G150, SUMPRODUCT(MAX(($W$1:W150 = W151) * ROW($W$1:W150))))) +
      IF(
      D151 = "Fiscal", 30,
        IF(D151 = "Óleo - Densidade", IF(OR(B151 = "SEP", B151 = "ATD", B151 = "ADG"), 90, 365),
          IF(D151 = "Óleo - Enxofre", 365, 180)
        )
      ),
      ""
    )
  )
)</f>
        <v>46105</v>
      </c>
      <c r="G151" s="21"/>
      <c r="H151" s="15" t="str">
        <f t="shared" si="58"/>
        <v>Erro</v>
      </c>
      <c r="I151" s="15"/>
      <c r="J151" s="15"/>
      <c r="K151" s="15" t="str">
        <f t="shared" si="59"/>
        <v>Erro</v>
      </c>
      <c r="L151" s="15"/>
      <c r="M151" s="15" t="str">
        <f t="shared" si="60"/>
        <v>Erro</v>
      </c>
      <c r="N151" s="13"/>
      <c r="O151" s="2" t="str">
        <f>IF(ISERROR(SEARCH("Poço",D151)),IF(N151="","Erro",IF(Q151="Reprovado","Reprovado",IF(D151="Operacional", WORKDAY(N151,10,FERIADOS!$A$3:$A$119),IF(D151="Óleo - Enxofre", "NA", G151+3)))),"")</f>
        <v>Erro</v>
      </c>
      <c r="P151" s="21"/>
      <c r="Q151" s="7"/>
      <c r="R151" s="13"/>
      <c r="S151" s="30"/>
      <c r="T151" s="34"/>
      <c r="W151" t="str">
        <f t="shared" si="57"/>
        <v>CDMT71-AX-0204 (LP Degasser)</v>
      </c>
      <c r="X15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2" spans="1:24" ht="12.5" x14ac:dyDescent="0.25">
      <c r="A152" s="19"/>
      <c r="B152" s="19" t="s">
        <v>46</v>
      </c>
      <c r="C152" s="5" t="s">
        <v>284</v>
      </c>
      <c r="D152" s="20" t="s">
        <v>267</v>
      </c>
      <c r="E152" s="36"/>
      <c r="F152" s="29" cm="1">
        <f t="array" ref="F152">IF(V152 &lt;&gt; "", V152,
  IF(NOT(ISERROR(SEARCH("Poço", D152))),
    IF(G152 = "", "", G152),
    IFERROR(_xlfn.SINGLE(INDEX($G$1:G151, SUMPRODUCT(MAX(($W$1:W151 = W152) * ROW($W$1:W151))))) +
      IF(
      D152 = "Fiscal", 30,
        IF(D152 = "Óleo - Densidade", IF(OR(B152 = "SEP", B152 = "ATD", B152 = "ADG"), 90, 365),
          IF(D152 = "Óleo - Enxofre", 365, 180)
        )
      ),
      ""
    )
  )
)</f>
        <v>46105</v>
      </c>
      <c r="G152" s="21">
        <v>45953</v>
      </c>
      <c r="H152" s="15">
        <f t="shared" si="58"/>
        <v>45963</v>
      </c>
      <c r="I152" s="15"/>
      <c r="J152" s="15"/>
      <c r="K152" s="15">
        <f t="shared" si="59"/>
        <v>45973</v>
      </c>
      <c r="L152" s="15"/>
      <c r="M152" s="15">
        <f t="shared" si="60"/>
        <v>45998</v>
      </c>
      <c r="N152" s="13">
        <v>45978</v>
      </c>
      <c r="O152" s="2">
        <f>IF(ISERROR(SEARCH("Poço",D152)),IF(N152="","Erro",IF(Q152="Reprovado","Reprovado",IF(D152="Operacional", WORKDAY(N152,10,FERIADOS!$A$3:$A$119),IF(D152="Óleo - Enxofre", "NA", G152+3)))),"")</f>
        <v>45993</v>
      </c>
      <c r="P152" s="21">
        <v>45980</v>
      </c>
      <c r="Q152" s="7" t="s">
        <v>37</v>
      </c>
      <c r="R152" s="13"/>
      <c r="S152" s="30"/>
      <c r="T152" s="34"/>
      <c r="W152" t="str">
        <f t="shared" si="57"/>
        <v>CDMT75-AX-1139 (Injection Gas)</v>
      </c>
      <c r="X15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3" spans="1:24" ht="12.5" x14ac:dyDescent="0.25">
      <c r="A153" s="19"/>
      <c r="B153" s="19" t="s">
        <v>38</v>
      </c>
      <c r="C153" s="5" t="s">
        <v>274</v>
      </c>
      <c r="D153" s="20" t="s">
        <v>267</v>
      </c>
      <c r="E153" s="36"/>
      <c r="F153" s="29" cm="1">
        <f t="array" ref="F153">IF(V153 &lt;&gt; "", V153,
  IF(NOT(ISERROR(SEARCH("Poço", D153))),
    IF(G153 = "", "", G153),
    IFERROR(_xlfn.SINGLE(INDEX($G$1:G152, SUMPRODUCT(MAX(($W$1:W152 = W153) * ROW($W$1:W152))))) +
      IF(
      D153 = "Fiscal", 30,
        IF(D153 = "Óleo - Densidade", IF(OR(B153 = "SEP", B153 = "ATD", B153 = "ADG"), 90, 365),
          IF(D153 = "Óleo - Enxofre", 365, 180)
        )
      ),
      ""
    )
  )
)</f>
        <v>46104</v>
      </c>
      <c r="G153" s="21"/>
      <c r="H153" s="15" t="str">
        <f t="shared" si="58"/>
        <v>Erro</v>
      </c>
      <c r="I153" s="15"/>
      <c r="J153" s="15"/>
      <c r="K153" s="15" t="str">
        <f t="shared" si="59"/>
        <v>Erro</v>
      </c>
      <c r="L153" s="15"/>
      <c r="M153" s="15" t="str">
        <f t="shared" si="60"/>
        <v>Erro</v>
      </c>
      <c r="N153" s="13"/>
      <c r="O153" s="2" t="str">
        <f>IF(ISERROR(SEARCH("Poço",D153)),IF(N153="","Erro",IF(Q153="Reprovado","Reprovado",IF(D153="Operacional", WORKDAY(N153,10,FERIADOS!$A$3:$A$119),IF(D153="Óleo - Enxofre", "NA", G153+3)))),"")</f>
        <v>Erro</v>
      </c>
      <c r="P153" s="21"/>
      <c r="Q153" s="7"/>
      <c r="R153" s="13"/>
      <c r="S153" s="30"/>
      <c r="T153" s="34"/>
      <c r="W153" t="str">
        <f t="shared" si="57"/>
        <v>CDPT75-AP-3109 (CO2 to Flare)</v>
      </c>
      <c r="X15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4" spans="1:24" ht="12.5" x14ac:dyDescent="0.25">
      <c r="A154" s="19"/>
      <c r="B154" s="19" t="s">
        <v>145</v>
      </c>
      <c r="C154" s="5" t="s">
        <v>308</v>
      </c>
      <c r="D154" s="20" t="s">
        <v>267</v>
      </c>
      <c r="E154" s="36"/>
      <c r="F154" s="29" cm="1">
        <f t="array" ref="F154">IF(V154 &lt;&gt; "", V154,
  IF(NOT(ISERROR(SEARCH("Poço", D154))),
    IF(G154 = "", "", G154),
    IFERROR(_xlfn.SINGLE(INDEX($G$1:G153, SUMPRODUCT(MAX(($W$1:W153 = W154) * ROW($W$1:W153))))) +
      IF(
      D154 = "Fiscal", 30,
        IF(D154 = "Óleo - Densidade", IF(OR(B154 = "SEP", B154 = "ATD", B154 = "ADG"), 90, 365),
          IF(D154 = "Óleo - Enxofre", 365, 180)
        )
      ),
      ""
    )
  )
)</f>
        <v>46113</v>
      </c>
      <c r="G154" s="21"/>
      <c r="H154" s="15" t="str">
        <f t="shared" si="58"/>
        <v>Erro</v>
      </c>
      <c r="I154" s="15"/>
      <c r="J154" s="15"/>
      <c r="K154" s="15" t="str">
        <f t="shared" si="59"/>
        <v>Erro</v>
      </c>
      <c r="L154" s="15"/>
      <c r="M154" s="15" t="str">
        <f t="shared" si="60"/>
        <v>Erro</v>
      </c>
      <c r="N154" s="13"/>
      <c r="O154" s="2" t="str">
        <f>IF(ISERROR(SEARCH("Poço",D154)),IF(N154="","Erro",IF(Q154="Reprovado","Reprovado",IF(D154="Operacional", WORKDAY(N154,10,FERIADOS!$A$3:$A$119),IF(D154="Óleo - Enxofre", "NA", G154+3)))),"")</f>
        <v>Erro</v>
      </c>
      <c r="P154" s="21"/>
      <c r="Q154" s="7"/>
      <c r="R154" s="13"/>
      <c r="S154" s="30"/>
      <c r="T154" s="34"/>
      <c r="W154" t="str">
        <f t="shared" ref="W154:W160" si="61">B154&amp;C154</f>
        <v>ATD771-AP-0712A (FWKO Drum A)</v>
      </c>
      <c r="X15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5" spans="1:24" ht="12.5" x14ac:dyDescent="0.25">
      <c r="A155" s="19"/>
      <c r="B155" s="19" t="s">
        <v>145</v>
      </c>
      <c r="C155" s="5" t="s">
        <v>289</v>
      </c>
      <c r="D155" s="20" t="s">
        <v>267</v>
      </c>
      <c r="E155" s="36"/>
      <c r="F155" s="29" cm="1">
        <f t="array" ref="F155">IF(V155 &lt;&gt; "", V155,
  IF(NOT(ISERROR(SEARCH("Poço", D155))),
    IF(G155 = "", "", G155),
    IFERROR(_xlfn.SINGLE(INDEX($G$1:G154, SUMPRODUCT(MAX(($W$1:W154 = W155) * ROW($W$1:W154))))) +
      IF(
      D155 = "Fiscal", 30,
        IF(D155 = "Óleo - Densidade", IF(OR(B155 = "SEP", B155 = "ATD", B155 = "ADG"), 90, 365),
          IF(D155 = "Óleo - Enxofre", 365, 180)
        )
      ),
      ""
    )
  )
)</f>
        <v>46113</v>
      </c>
      <c r="G155" s="21"/>
      <c r="H155" s="15" t="str">
        <f t="shared" si="58"/>
        <v>Erro</v>
      </c>
      <c r="I155" s="15"/>
      <c r="J155" s="15"/>
      <c r="K155" s="15" t="str">
        <f t="shared" si="59"/>
        <v>Erro</v>
      </c>
      <c r="L155" s="15"/>
      <c r="M155" s="15" t="str">
        <f t="shared" si="60"/>
        <v>Erro</v>
      </c>
      <c r="N155" s="13"/>
      <c r="O155" s="2" t="str">
        <f>IF(ISERROR(SEARCH("Poço",D155)),IF(N155="","Erro",IF(Q155="Reprovado","Reprovado",IF(D155="Operacional", WORKDAY(N155,10,FERIADOS!$A$3:$A$119),IF(D155="Óleo - Enxofre", "NA", G155+3)))),"")</f>
        <v>Erro</v>
      </c>
      <c r="P155" s="21"/>
      <c r="Q155" s="7"/>
      <c r="R155" s="13"/>
      <c r="S155" s="30"/>
      <c r="T155" s="34"/>
      <c r="W155" t="str">
        <f t="shared" si="61"/>
        <v>ATD777-AP-1211 (Flare Pilot)</v>
      </c>
      <c r="X15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6" spans="1:24" ht="12.5" x14ac:dyDescent="0.25">
      <c r="A156" s="19"/>
      <c r="B156" s="19" t="s">
        <v>52</v>
      </c>
      <c r="C156" s="5" t="s">
        <v>289</v>
      </c>
      <c r="D156" s="20" t="s">
        <v>267</v>
      </c>
      <c r="E156" s="36"/>
      <c r="F156" s="29" cm="1">
        <f t="array" ref="F156">IF(V156 &lt;&gt; "", V156,
  IF(NOT(ISERROR(SEARCH("Poço", D156))),
    IF(G156 = "", "", G156),
    IFERROR(_xlfn.SINGLE(INDEX($G$1:G155, SUMPRODUCT(MAX(($W$1:W155 = W156) * ROW($W$1:W155))))) +
      IF(
      D156 = "Fiscal", 30,
        IF(D156 = "Óleo - Densidade", IF(OR(B156 = "SEP", B156 = "ATD", B156 = "ADG"), 90, 365),
          IF(D156 = "Óleo - Enxofre", 365, 180)
        )
      ),
      ""
    )
  )
)</f>
        <v>46118</v>
      </c>
      <c r="G156" s="21"/>
      <c r="H156" s="15" t="str">
        <f t="shared" ref="H156:H161" si="62">IF(G156="","Erro",IF(D156="Óleo - Densidade", "NA", G156+10))</f>
        <v>Erro</v>
      </c>
      <c r="I156" s="15"/>
      <c r="J156" s="15"/>
      <c r="K156" s="15" t="str">
        <f t="shared" ref="K156:K161" si="63">IF(G156="","Erro",IF(D156="Óleo - Densidade", "NA", G156+20))</f>
        <v>Erro</v>
      </c>
      <c r="L156" s="15"/>
      <c r="M156" s="15" t="str">
        <f t="shared" ref="M156:M161" si="64">IF(G156="","Erro",G156+IF(D156="Fiscal",25,IF(D156="Óleo - Densidade", 1, IF(D156="Óleo - Enxofre", 25, 45))))</f>
        <v>Erro</v>
      </c>
      <c r="N156" s="13"/>
      <c r="O156" s="2" t="str">
        <f>IF(ISERROR(SEARCH("Poço",D156)),IF(N156="","Erro",IF(Q156="Reprovado","Reprovado",IF(D156="Operacional", WORKDAY(N156,10,FERIADOS!$A$3:$A$119),IF(D156="Óleo - Enxofre", "NA", G156+3)))),"")</f>
        <v>Erro</v>
      </c>
      <c r="P156" s="21"/>
      <c r="Q156" s="7"/>
      <c r="R156" s="13"/>
      <c r="S156" s="30"/>
      <c r="T156" s="34"/>
      <c r="W156" t="str">
        <f t="shared" si="61"/>
        <v>SEP777-AP-1211 (Flare Pilot)</v>
      </c>
      <c r="X15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7" spans="1:24" ht="12.5" x14ac:dyDescent="0.25">
      <c r="A157" s="17"/>
      <c r="B157" s="17" t="s">
        <v>192</v>
      </c>
      <c r="C157" s="6" t="s">
        <v>316</v>
      </c>
      <c r="D157" s="18" t="s">
        <v>267</v>
      </c>
      <c r="E157" s="36"/>
      <c r="F157" s="25" t="str" cm="1">
        <f t="array" ref="F157">IF(V157 &lt;&gt; "", V157,
  IF(NOT(ISERROR(SEARCH("Poço", D157))),
    IF(G157 = "", "", G157),
    IFERROR(_xlfn.SINGLE(INDEX($G$1:G156, SUMPRODUCT(MAX(($W$1:W156 = W157) * ROW($W$1:W156))))) +
      IF(
      D157 = "Fiscal", 30,
        IF(D157 = "Óleo - Densidade", IF(OR(B157 = "SEP", B157 = "ATD", B157 = "ADG"), 90, 365),
          IF(D157 = "Óleo - Enxofre", 365, 180)
        )
      ),
      ""
    )
  )
)</f>
        <v/>
      </c>
      <c r="G157" s="16">
        <v>45943</v>
      </c>
      <c r="H157" s="15">
        <f t="shared" si="62"/>
        <v>45953</v>
      </c>
      <c r="I157" s="15"/>
      <c r="J157" s="15"/>
      <c r="K157" s="15">
        <f t="shared" si="63"/>
        <v>45963</v>
      </c>
      <c r="L157" s="15"/>
      <c r="M157" s="15">
        <f t="shared" si="64"/>
        <v>45988</v>
      </c>
      <c r="N157" s="12">
        <v>45947</v>
      </c>
      <c r="O157" s="1">
        <f>IF(ISERROR(SEARCH("Poço",D157)),IF(N157="","Erro",IF(Q157="Reprovado","Reprovado",IF(D157="Operacional", WORKDAY(N157,10,FERIADOS!$A$3:$A$119),IF(D157="Óleo - Enxofre", "NA", G157+3)))),"")</f>
        <v>45961</v>
      </c>
      <c r="P157" s="16">
        <v>45950</v>
      </c>
      <c r="Q157" s="7" t="s">
        <v>37</v>
      </c>
      <c r="R157" s="12"/>
      <c r="S157" s="27"/>
      <c r="T157" s="23"/>
      <c r="W157" t="str">
        <f t="shared" si="61"/>
        <v>ADG775-AP-6014 (Gas Injection)</v>
      </c>
      <c r="X15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8" spans="1:24" ht="12.5" x14ac:dyDescent="0.25">
      <c r="A158" s="17"/>
      <c r="B158" s="17" t="s">
        <v>192</v>
      </c>
      <c r="C158" s="6" t="s">
        <v>266</v>
      </c>
      <c r="D158" s="18" t="s">
        <v>267</v>
      </c>
      <c r="E158" s="36"/>
      <c r="F158" s="25" t="str" cm="1">
        <f t="array" ref="F158">IF(V158 &lt;&gt; "", V158,
  IF(NOT(ISERROR(SEARCH("Poço", D158))),
    IF(G158 = "", "", G158),
    IFERROR(_xlfn.SINGLE(INDEX($G$1:G157, SUMPRODUCT(MAX(($W$1:W157 = W158) * ROW($W$1:W157))))) +
      IF(
      D158 = "Fiscal", 30,
        IF(D158 = "Óleo - Densidade", IF(OR(B158 = "SEP", B158 = "ATD", B158 = "ADG"), 90, 365),
          IF(D158 = "Óleo - Enxofre", 365, 180)
        )
      ),
      ""
    )
  )
)</f>
        <v/>
      </c>
      <c r="G158" s="16">
        <v>45942</v>
      </c>
      <c r="H158" s="15">
        <f t="shared" si="62"/>
        <v>45952</v>
      </c>
      <c r="I158" s="15"/>
      <c r="J158" s="15"/>
      <c r="K158" s="15">
        <f t="shared" si="63"/>
        <v>45962</v>
      </c>
      <c r="L158" s="15"/>
      <c r="M158" s="15">
        <f t="shared" si="64"/>
        <v>45987</v>
      </c>
      <c r="N158" s="12">
        <v>45967</v>
      </c>
      <c r="O158" s="1" t="str">
        <f>IF(ISERROR(SEARCH("Poço",D158)),IF(N158="","Erro",IF(Q158="Reprovado","Reprovado",IF(D158="Operacional", WORKDAY(N158,10,FERIADOS!$A$3:$A$119),IF(D158="Óleo - Enxofre", "NA", G158+3)))),"")</f>
        <v>Reprovado</v>
      </c>
      <c r="P158" s="16"/>
      <c r="Q158" s="7" t="s">
        <v>81</v>
      </c>
      <c r="R158" s="12"/>
      <c r="S158" s="27"/>
      <c r="T158" s="23"/>
      <c r="W158" t="str">
        <f t="shared" si="61"/>
        <v>ADG771-AP-0102 (HP Separator)</v>
      </c>
      <c r="X15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59" spans="1:24" ht="12.5" x14ac:dyDescent="0.25">
      <c r="A159" s="19"/>
      <c r="B159" s="19" t="s">
        <v>192</v>
      </c>
      <c r="C159" s="5" t="s">
        <v>316</v>
      </c>
      <c r="D159" s="20" t="s">
        <v>267</v>
      </c>
      <c r="E159" s="36"/>
      <c r="F159" s="29" cm="1">
        <f t="array" ref="F159">IF(V159 &lt;&gt; "", V159,
  IF(NOT(ISERROR(SEARCH("Poço", D159))),
    IF(G159 = "", "", G159),
    IFERROR(_xlfn.SINGLE(INDEX($G$1:G158, SUMPRODUCT(MAX(($W$1:W158 = W159) * ROW($W$1:W158))))) +
      IF(
      D159 = "Fiscal", 30,
        IF(D159 = "Óleo - Densidade", IF(OR(B159 = "SEP", B159 = "ATD", B159 = "ADG"), 90, 365),
          IF(D159 = "Óleo - Enxofre", 365, 180)
        )
      ),
      ""
    )
  )
)</f>
        <v>46123</v>
      </c>
      <c r="G159" s="21">
        <v>45972</v>
      </c>
      <c r="H159" s="15">
        <f t="shared" si="62"/>
        <v>45982</v>
      </c>
      <c r="I159" s="15"/>
      <c r="J159" s="15"/>
      <c r="K159" s="15">
        <f t="shared" si="63"/>
        <v>45992</v>
      </c>
      <c r="L159" s="15"/>
      <c r="M159" s="15">
        <f t="shared" si="64"/>
        <v>46017</v>
      </c>
      <c r="N159" s="13">
        <v>45995</v>
      </c>
      <c r="O159" s="2">
        <f>IF(ISERROR(SEARCH("Poço",D159)),IF(N159="","Erro",IF(Q159="Reprovado","Reprovado",IF(D159="Operacional", WORKDAY(N159,10,FERIADOS!$A$3:$A$119),IF(D159="Óleo - Enxofre", "NA", G159+3)))),"")</f>
        <v>46009</v>
      </c>
      <c r="P159" s="21">
        <v>45999</v>
      </c>
      <c r="Q159" s="7" t="s">
        <v>37</v>
      </c>
      <c r="R159" s="13"/>
      <c r="S159" s="30"/>
      <c r="T159" s="34"/>
      <c r="W159" t="str">
        <f t="shared" si="61"/>
        <v>ADG775-AP-6014 (Gas Injection)</v>
      </c>
      <c r="X15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0" spans="1:24" ht="12.5" x14ac:dyDescent="0.25">
      <c r="A160" s="19"/>
      <c r="B160" s="19" t="s">
        <v>192</v>
      </c>
      <c r="C160" s="5" t="s">
        <v>266</v>
      </c>
      <c r="D160" s="20" t="s">
        <v>267</v>
      </c>
      <c r="E160" s="36"/>
      <c r="F160" s="29" cm="1">
        <f t="array" ref="F160">IF(V160 &lt;&gt; "", V160,
  IF(NOT(ISERROR(SEARCH("Poço", D160))),
    IF(G160 = "", "", G160),
    IFERROR(_xlfn.SINGLE(INDEX($G$1:G159, SUMPRODUCT(MAX(($W$1:W159 = W160) * ROW($W$1:W159))))) +
      IF(
      D160 = "Fiscal", 30,
        IF(D160 = "Óleo - Densidade", IF(OR(B160 = "SEP", B160 = "ATD", B160 = "ADG"), 90, 365),
          IF(D160 = "Óleo - Enxofre", 365, 180)
        )
      ),
      ""
    )
  )
)</f>
        <v>46122</v>
      </c>
      <c r="G160" s="21">
        <v>45971</v>
      </c>
      <c r="H160" s="15">
        <f t="shared" si="62"/>
        <v>45981</v>
      </c>
      <c r="I160" s="15"/>
      <c r="J160" s="15"/>
      <c r="K160" s="15">
        <f t="shared" si="63"/>
        <v>45991</v>
      </c>
      <c r="L160" s="15"/>
      <c r="M160" s="15">
        <f t="shared" si="64"/>
        <v>46016</v>
      </c>
      <c r="N160" s="13">
        <v>45995</v>
      </c>
      <c r="O160" s="2">
        <f>IF(ISERROR(SEARCH("Poço",D160)),IF(N160="","Erro",IF(Q160="Reprovado","Reprovado",IF(D160="Operacional", WORKDAY(N160,10,FERIADOS!$A$3:$A$119),IF(D160="Óleo - Enxofre", "NA", G160+3)))),"")</f>
        <v>46009</v>
      </c>
      <c r="P160" s="21">
        <v>45999</v>
      </c>
      <c r="Q160" s="7" t="s">
        <v>37</v>
      </c>
      <c r="R160" s="13"/>
      <c r="S160" s="30"/>
      <c r="T160" s="34"/>
      <c r="W160" t="str">
        <f t="shared" si="61"/>
        <v>ADG771-AP-0102 (HP Separator)</v>
      </c>
      <c r="X16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1" spans="1:24" ht="12.5" x14ac:dyDescent="0.25">
      <c r="A161" s="8"/>
      <c r="B161" s="8" t="s">
        <v>52</v>
      </c>
      <c r="C161" s="5" t="s">
        <v>302</v>
      </c>
      <c r="D161" s="9" t="s">
        <v>303</v>
      </c>
      <c r="E161" s="36"/>
      <c r="F161" s="29" cm="1">
        <f t="array" ref="F161">IF(V161 &lt;&gt; "", V161,
  IF(NOT(ISERROR(SEARCH("Poço", D161))),
    IF(G161 = "", "", G161),
    IFERROR(_xlfn.SINGLE(INDEX($G$1:G160, SUMPRODUCT(MAX(($W$1:W160 = W161) * ROW($W$1:W160))))) +
      IF(
      D161 = "Fiscal", 30,
        IF(D161 = "Óleo - Densidade", IF(OR(B161 = "SEP", B161 = "ATD", B161 = "ADG"), 90, 365),
          IF(D161 = "Óleo - Enxofre", 365, 180)
        )
      ),
      ""
    )
  )
)</f>
        <v>46048</v>
      </c>
      <c r="G161" s="13">
        <v>46047</v>
      </c>
      <c r="H161" s="15" t="str">
        <f t="shared" si="62"/>
        <v>NA</v>
      </c>
      <c r="I161" s="15"/>
      <c r="J161" s="15"/>
      <c r="K161" s="15" t="str">
        <f t="shared" si="63"/>
        <v>NA</v>
      </c>
      <c r="L161" s="15"/>
      <c r="M161" s="15">
        <f t="shared" si="64"/>
        <v>46048</v>
      </c>
      <c r="N161" s="13">
        <v>46048</v>
      </c>
      <c r="O161" s="2">
        <f>IF(ISERROR(SEARCH("Poço",D161)),IF(N161="","Erro",IF(Q161="Reprovado","Reprovado",IF(D161="Operacional", WORKDAY(N161,10,FERIADOS!$A$3:$A$119),IF(D161="Óleo - Enxofre", "NA", G161+3)))),"")</f>
        <v>46050</v>
      </c>
      <c r="P161" s="13">
        <v>46048</v>
      </c>
      <c r="Q161" s="7" t="s">
        <v>37</v>
      </c>
      <c r="R161" s="13"/>
      <c r="S161" s="30"/>
      <c r="T161" s="34"/>
      <c r="W161" t="str">
        <f t="shared" ref="W161:W168" si="65">B161&amp;C161</f>
        <v>SEP662-AP-0162 (FWKO Drum)</v>
      </c>
      <c r="X16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2" spans="1:24" ht="12.5" x14ac:dyDescent="0.25">
      <c r="A162" s="8"/>
      <c r="B162" s="8" t="s">
        <v>46</v>
      </c>
      <c r="C162" s="5" t="s">
        <v>284</v>
      </c>
      <c r="D162" s="9" t="s">
        <v>267</v>
      </c>
      <c r="E162" s="36"/>
      <c r="F162" s="29" cm="1">
        <f t="array" ref="F162">IF(V162 &lt;&gt; "", V162,
  IF(NOT(ISERROR(SEARCH("Poço", D162))),
    IF(G162 = "", "", G162),
    IFERROR(_xlfn.SINGLE(INDEX($G$1:G161, SUMPRODUCT(MAX(($W$1:W161 = W162) * ROW($W$1:W161))))) +
      IF(
      D162 = "Fiscal", 30,
        IF(D162 = "Óleo - Densidade", IF(OR(B162 = "SEP", B162 = "ATD", B162 = "ADG"), 90, 365),
          IF(D162 = "Óleo - Enxofre", 365, 180)
        )
      ),
      ""
    )
  )
)</f>
        <v>46133</v>
      </c>
      <c r="G162" s="13">
        <v>45982</v>
      </c>
      <c r="H162" s="15">
        <f t="shared" ref="H162:H168" si="66">IF(G162="","Erro",IF(D162="Óleo - Densidade", "NA", G162+10))</f>
        <v>45992</v>
      </c>
      <c r="I162" s="15"/>
      <c r="J162" s="15"/>
      <c r="K162" s="15">
        <f t="shared" ref="K162:K168" si="67">IF(G162="","Erro",IF(D162="Óleo - Densidade", "NA", G162+20))</f>
        <v>46002</v>
      </c>
      <c r="L162" s="15"/>
      <c r="M162" s="15">
        <f t="shared" ref="M162:M168" si="68">IF(G162="","Erro",G162+IF(D162="Fiscal",25,IF(D162="Óleo - Densidade", 1, IF(D162="Óleo - Enxofre", 25, 45))))</f>
        <v>46027</v>
      </c>
      <c r="N162" s="13">
        <v>46006</v>
      </c>
      <c r="O162" s="2">
        <f>IF(ISERROR(SEARCH("Poço",D162)),IF(N162="","Erro",IF(Q162="Reprovado","Reprovado",IF(D162="Operacional", WORKDAY(N162,10,FERIADOS!$A$3:$A$119),IF(D162="Óleo - Enxofre", "NA", G162+3)))),"")</f>
        <v>46021</v>
      </c>
      <c r="P162" s="13">
        <v>46008</v>
      </c>
      <c r="Q162" s="7"/>
      <c r="R162" s="13"/>
      <c r="S162" s="30"/>
      <c r="T162" s="34"/>
      <c r="W162" t="str">
        <f t="shared" si="65"/>
        <v>CDMT75-AX-1139 (Injection Gas)</v>
      </c>
      <c r="X16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3" spans="1:24" ht="12.5" x14ac:dyDescent="0.25">
      <c r="A163" s="19"/>
      <c r="B163" s="19" t="s">
        <v>34</v>
      </c>
      <c r="C163" s="5" t="s">
        <v>285</v>
      </c>
      <c r="D163" s="20" t="s">
        <v>267</v>
      </c>
      <c r="E163" s="36"/>
      <c r="F163" s="29" cm="1">
        <f t="array" ref="F163">IF(V163 &lt;&gt; "", V163,
  IF(NOT(ISERROR(SEARCH("Poço", D163))),
    IF(G163 = "", "", G163),
    IFERROR(_xlfn.SINGLE(INDEX($G$1:G162, SUMPRODUCT(MAX(($W$1:W162 = W163) * ROW($W$1:W162))))) +
      IF(
      D163 = "Fiscal", 30,
        IF(D163 = "Óleo - Densidade", IF(OR(B163 = "SEP", B163 = "ATD", B163 = "ADG"), 90, 365),
          IF(D163 = "Óleo - Enxofre", 365, 180)
        )
      ),
      ""
    )
  )
)</f>
        <v>46139</v>
      </c>
      <c r="G163" s="21"/>
      <c r="H163" s="15" t="str">
        <f t="shared" si="66"/>
        <v>Erro</v>
      </c>
      <c r="I163" s="15"/>
      <c r="J163" s="15"/>
      <c r="K163" s="15" t="str">
        <f t="shared" si="67"/>
        <v>Erro</v>
      </c>
      <c r="L163" s="15"/>
      <c r="M163" s="15" t="str">
        <f t="shared" si="68"/>
        <v>Erro</v>
      </c>
      <c r="N163" s="13"/>
      <c r="O163" s="2" t="str">
        <f>IF(ISERROR(SEARCH("Poço",D163)),IF(N163="","Erro",IF(Q163="Reprovado","Reprovado",IF(D163="Operacional", WORKDAY(N163,10,FERIADOS!$A$3:$A$119),IF(D163="Óleo - Enxofre", "NA", G163+3)))),"")</f>
        <v>Erro</v>
      </c>
      <c r="P163" s="21"/>
      <c r="Q163" s="7"/>
      <c r="R163" s="13"/>
      <c r="S163" s="30"/>
      <c r="T163" s="34"/>
      <c r="W163" t="str">
        <f t="shared" si="65"/>
        <v>CDST71-AX-0102 (HP Separator)</v>
      </c>
      <c r="X16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4" spans="1:24" ht="12.5" x14ac:dyDescent="0.25">
      <c r="A164" s="19"/>
      <c r="B164" s="19" t="s">
        <v>34</v>
      </c>
      <c r="C164" s="5" t="s">
        <v>286</v>
      </c>
      <c r="D164" s="20" t="s">
        <v>267</v>
      </c>
      <c r="E164" s="36"/>
      <c r="F164" s="29" cm="1">
        <f t="array" ref="F164">IF(V164 &lt;&gt; "", V164,
  IF(NOT(ISERROR(SEARCH("Poço", D164))),
    IF(G164 = "", "", G164),
    IFERROR(_xlfn.SINGLE(INDEX($G$1:G163, SUMPRODUCT(MAX(($W$1:W163 = W164) * ROW($W$1:W163))))) +
      IF(
      D164 = "Fiscal", 30,
        IF(D164 = "Óleo - Densidade", IF(OR(B164 = "SEP", B164 = "ATD", B164 = "ADG"), 90, 365),
          IF(D164 = "Óleo - Enxofre", 365, 180)
        )
      ),
      ""
    )
  )
)</f>
        <v>46139</v>
      </c>
      <c r="G164" s="21"/>
      <c r="H164" s="15" t="str">
        <f t="shared" si="66"/>
        <v>Erro</v>
      </c>
      <c r="I164" s="15"/>
      <c r="J164" s="15"/>
      <c r="K164" s="15" t="str">
        <f t="shared" si="67"/>
        <v>Erro</v>
      </c>
      <c r="L164" s="15"/>
      <c r="M164" s="15" t="str">
        <f t="shared" si="68"/>
        <v>Erro</v>
      </c>
      <c r="N164" s="13"/>
      <c r="O164" s="2" t="str">
        <f>IF(ISERROR(SEARCH("Poço",D164)),IF(N164="","Erro",IF(Q164="Reprovado","Reprovado",IF(D164="Operacional", WORKDAY(N164,10,FERIADOS!$A$3:$A$119),IF(D164="Óleo - Enxofre", "NA", G164+3)))),"")</f>
        <v>Erro</v>
      </c>
      <c r="P164" s="21"/>
      <c r="Q164" s="7"/>
      <c r="R164" s="13"/>
      <c r="S164" s="30"/>
      <c r="T164" s="34"/>
      <c r="W164" t="str">
        <f t="shared" si="65"/>
        <v>CDST71-AX-0202 (IP Flash Vessel)</v>
      </c>
      <c r="X16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5" spans="1:24" ht="12.5" x14ac:dyDescent="0.25">
      <c r="A165" s="19"/>
      <c r="B165" s="19" t="s">
        <v>31</v>
      </c>
      <c r="C165" s="5" t="s">
        <v>299</v>
      </c>
      <c r="D165" s="20" t="s">
        <v>297</v>
      </c>
      <c r="E165" s="36"/>
      <c r="F165" s="29" cm="1">
        <f t="array" ref="F165">IF(V165 &lt;&gt; "", V165,
  IF(NOT(ISERROR(SEARCH("Poço", D165))),
    IF(G165 = "", "", G165),
    IFERROR(_xlfn.SINGLE(INDEX($G$1:G164, SUMPRODUCT(MAX(($W$1:W164 = W165) * ROW($W$1:W164))))) +
      IF(
      D165 = "Fiscal", 30,
        IF(D165 = "Óleo - Densidade", IF(OR(B165 = "SEP", B165 = "ATD", B165 = "ADG"), 90, 365),
          IF(D165 = "Óleo - Enxofre", 365, 180)
        )
      ),
      ""
    )
  )
)</f>
        <v>46332</v>
      </c>
      <c r="G165" s="21"/>
      <c r="H165" s="15" t="str">
        <f t="shared" si="66"/>
        <v>Erro</v>
      </c>
      <c r="I165" s="15"/>
      <c r="J165" s="15"/>
      <c r="K165" s="15" t="str">
        <f t="shared" si="67"/>
        <v>Erro</v>
      </c>
      <c r="L165" s="15"/>
      <c r="M165" s="15" t="str">
        <f t="shared" si="68"/>
        <v>Erro</v>
      </c>
      <c r="N165" s="13"/>
      <c r="O165" s="2" t="str">
        <f>IF(ISERROR(SEARCH("Poço",D165)),IF(N165="","Erro",IF(Q165="Reprovado","Reprovado",IF(D165="Operacional", WORKDAY(N165,10,FERIADOS!$A$3:$A$119),IF(D165="Óleo - Enxofre", "NA", G165+3)))),"")</f>
        <v>Erro</v>
      </c>
      <c r="P165" s="21"/>
      <c r="Q165" s="7"/>
      <c r="R165" s="13"/>
      <c r="S165" s="30"/>
      <c r="T165" s="34"/>
      <c r="W165" t="str">
        <f t="shared" si="65"/>
        <v>CDIOil Fiscal</v>
      </c>
      <c r="X16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6" spans="1:24" ht="12.5" x14ac:dyDescent="0.25">
      <c r="A166" s="19"/>
      <c r="B166" s="19" t="s">
        <v>38</v>
      </c>
      <c r="C166" s="5" t="s">
        <v>298</v>
      </c>
      <c r="D166" s="20" t="s">
        <v>297</v>
      </c>
      <c r="E166" s="36"/>
      <c r="F166" s="29" cm="1">
        <f t="array" ref="F166">IF(V166 &lt;&gt; "", V166,
  IF(NOT(ISERROR(SEARCH("Poço", D166))),
    IF(G166 = "", "", G166),
    IFERROR(_xlfn.SINGLE(INDEX($G$1:G165, SUMPRODUCT(MAX(($W$1:W165 = W166) * ROW($W$1:W165))))) +
      IF(
      D166 = "Fiscal", 30,
        IF(D166 = "Óleo - Densidade", IF(OR(B166 = "SEP", B166 = "ATD", B166 = "ADG"), 90, 365),
          IF(D166 = "Óleo - Enxofre", 365, 180)
        )
      ),
      ""
    )
  )
)</f>
        <v>46332</v>
      </c>
      <c r="G166" s="21"/>
      <c r="H166" s="15" t="str">
        <f t="shared" si="66"/>
        <v>Erro</v>
      </c>
      <c r="I166" s="15"/>
      <c r="J166" s="15"/>
      <c r="K166" s="15" t="str">
        <f t="shared" si="67"/>
        <v>Erro</v>
      </c>
      <c r="L166" s="15"/>
      <c r="M166" s="15" t="str">
        <f t="shared" si="68"/>
        <v>Erro</v>
      </c>
      <c r="N166" s="13"/>
      <c r="O166" s="2" t="str">
        <f>IF(ISERROR(SEARCH("Poço",D166)),IF(N166="","Erro",IF(Q166="Reprovado","Reprovado",IF(D166="Operacional", WORKDAY(N166,10,FERIADOS!$A$3:$A$119),IF(D166="Óleo - Enxofre", "NA", G166+3)))),"")</f>
        <v>Erro</v>
      </c>
      <c r="P166" s="21"/>
      <c r="Q166" s="7"/>
      <c r="R166" s="13"/>
      <c r="S166" s="30"/>
      <c r="T166" s="34"/>
      <c r="W166" t="str">
        <f t="shared" si="65"/>
        <v>CDPT62-AP-1111 (Oil Fiscal)</v>
      </c>
      <c r="X16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7" spans="1:24" ht="12.5" x14ac:dyDescent="0.25">
      <c r="A167" s="19"/>
      <c r="B167" s="19" t="s">
        <v>34</v>
      </c>
      <c r="C167" s="5" t="s">
        <v>299</v>
      </c>
      <c r="D167" s="20" t="s">
        <v>297</v>
      </c>
      <c r="E167" s="36"/>
      <c r="F167" s="29" cm="1">
        <f t="array" ref="F167">IF(V167 &lt;&gt; "", V167,
  IF(NOT(ISERROR(SEARCH("Poço", D167))),
    IF(G167 = "", "", G167),
    IFERROR(_xlfn.SINGLE(INDEX($G$1:G166, SUMPRODUCT(MAX(($W$1:W166 = W167) * ROW($W$1:W166))))) +
      IF(
      D167 = "Fiscal", 30,
        IF(D167 = "Óleo - Densidade", IF(OR(B167 = "SEP", B167 = "ATD", B167 = "ADG"), 90, 365),
          IF(D167 = "Óleo - Enxofre", 365, 180)
        )
      ),
      ""
    )
  )
)</f>
        <v>46333</v>
      </c>
      <c r="G167" s="21"/>
      <c r="H167" s="15" t="str">
        <f t="shared" si="66"/>
        <v>Erro</v>
      </c>
      <c r="I167" s="15"/>
      <c r="J167" s="15"/>
      <c r="K167" s="15" t="str">
        <f t="shared" si="67"/>
        <v>Erro</v>
      </c>
      <c r="L167" s="15"/>
      <c r="M167" s="15" t="str">
        <f t="shared" si="68"/>
        <v>Erro</v>
      </c>
      <c r="N167" s="13"/>
      <c r="O167" s="2" t="str">
        <f>IF(ISERROR(SEARCH("Poço",D167)),IF(N167="","Erro",IF(Q167="Reprovado","Reprovado",IF(D167="Operacional", WORKDAY(N167,10,FERIADOS!$A$3:$A$119),IF(D167="Óleo - Enxofre", "NA", G167+3)))),"")</f>
        <v>Erro</v>
      </c>
      <c r="P167" s="21"/>
      <c r="Q167" s="7"/>
      <c r="R167" s="13"/>
      <c r="S167" s="30"/>
      <c r="T167" s="34"/>
      <c r="W167" t="str">
        <f t="shared" si="65"/>
        <v>CDSOil Fiscal</v>
      </c>
      <c r="X16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8" spans="1:24" ht="12.5" x14ac:dyDescent="0.25">
      <c r="A168" s="19"/>
      <c r="B168" s="19" t="s">
        <v>46</v>
      </c>
      <c r="C168" s="5" t="s">
        <v>299</v>
      </c>
      <c r="D168" s="20" t="s">
        <v>297</v>
      </c>
      <c r="E168" s="36"/>
      <c r="F168" s="29" cm="1">
        <f t="array" ref="F168">IF(V168 &lt;&gt; "", V168,
  IF(NOT(ISERROR(SEARCH("Poço", D168))),
    IF(G168 = "", "", G168),
    IFERROR(_xlfn.SINGLE(INDEX($G$1:G167, SUMPRODUCT(MAX(($W$1:W167 = W168) * ROW($W$1:W167))))) +
      IF(
      D168 = "Fiscal", 30,
        IF(D168 = "Óleo - Densidade", IF(OR(B168 = "SEP", B168 = "ATD", B168 = "ADG"), 90, 365),
          IF(D168 = "Óleo - Enxofre", 365, 180)
        )
      ),
      ""
    )
  )
)</f>
        <v>46332</v>
      </c>
      <c r="G168" s="21"/>
      <c r="H168" s="15" t="str">
        <f t="shared" si="66"/>
        <v>Erro</v>
      </c>
      <c r="I168" s="15"/>
      <c r="J168" s="15"/>
      <c r="K168" s="15" t="str">
        <f t="shared" si="67"/>
        <v>Erro</v>
      </c>
      <c r="L168" s="15"/>
      <c r="M168" s="15" t="str">
        <f t="shared" si="68"/>
        <v>Erro</v>
      </c>
      <c r="N168" s="13"/>
      <c r="O168" s="2" t="str">
        <f>IF(ISERROR(SEARCH("Poço",D168)),IF(N168="","Erro",IF(Q168="Reprovado","Reprovado",IF(D168="Operacional", WORKDAY(N168,10,FERIADOS!$A$3:$A$119),IF(D168="Óleo - Enxofre", "NA", G168+3)))),"")</f>
        <v>Erro</v>
      </c>
      <c r="P168" s="21"/>
      <c r="Q168" s="7"/>
      <c r="R168" s="13"/>
      <c r="S168" s="30"/>
      <c r="T168" s="34"/>
      <c r="W168" t="str">
        <f t="shared" si="65"/>
        <v>CDMOil Fiscal</v>
      </c>
      <c r="X16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69" spans="1:24" ht="12.5" x14ac:dyDescent="0.25">
      <c r="A169" s="19"/>
      <c r="B169" s="19" t="s">
        <v>192</v>
      </c>
      <c r="C169" s="5" t="s">
        <v>316</v>
      </c>
      <c r="D169" s="20" t="s">
        <v>267</v>
      </c>
      <c r="E169" s="36"/>
      <c r="F169" s="29" cm="1">
        <f t="array" ref="F169">IF(V169 &lt;&gt; "", V169,
  IF(NOT(ISERROR(SEARCH("Poço", D169))),
    IF(G169 = "", "", G169),
    IFERROR(_xlfn.SINGLE(INDEX($G$1:G168, SUMPRODUCT(MAX(($W$1:W168 = W169) * ROW($W$1:W168))))) +
      IF(
      D169 = "Fiscal", 30,
        IF(D169 = "Óleo - Densidade", IF(OR(B169 = "SEP", B169 = "ATD", B169 = "ADG"), 90, 365),
          IF(D169 = "Óleo - Enxofre", 365, 180)
        )
      ),
      ""
    )
  )
)</f>
        <v>46152</v>
      </c>
      <c r="G169" s="21">
        <v>46000</v>
      </c>
      <c r="H169" s="15">
        <f t="shared" ref="H169:H174" si="69">IF(G169="","Erro",IF(D169="Óleo - Densidade", "NA", G169+10))</f>
        <v>46010</v>
      </c>
      <c r="I169" s="15"/>
      <c r="J169" s="15"/>
      <c r="K169" s="15">
        <f t="shared" ref="K169:K174" si="70">IF(G169="","Erro",IF(D169="Óleo - Densidade", "NA", G169+20))</f>
        <v>46020</v>
      </c>
      <c r="L169" s="15"/>
      <c r="M169" s="15">
        <f t="shared" ref="M169:M174" si="71">IF(G169="","Erro",G169+IF(D169="Fiscal",25,IF(D169="Óleo - Densidade", 1, IF(D169="Óleo - Enxofre", 25, 45))))</f>
        <v>46045</v>
      </c>
      <c r="N169" s="13">
        <v>46021</v>
      </c>
      <c r="O169" s="2">
        <f>IF(ISERROR(SEARCH("Poço",D169)),IF(N169="","Erro",IF(Q169="Reprovado","Reprovado",IF(D169="Operacional", WORKDAY(N169,10,FERIADOS!$A$3:$A$119),IF(D169="Óleo - Enxofre", "NA", G169+3)))),"")</f>
        <v>46036</v>
      </c>
      <c r="P169" s="21">
        <v>46028</v>
      </c>
      <c r="Q169" s="7"/>
      <c r="R169" s="13"/>
      <c r="S169" s="30"/>
      <c r="T169" s="34"/>
      <c r="W169" t="str">
        <f t="shared" ref="W169:W174" si="72">B169&amp;C169</f>
        <v>ADG775-AP-6014 (Gas Injection)</v>
      </c>
      <c r="X16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0" spans="1:24" ht="12.5" x14ac:dyDescent="0.25">
      <c r="A170" s="19"/>
      <c r="B170" s="19" t="s">
        <v>192</v>
      </c>
      <c r="C170" s="5" t="s">
        <v>266</v>
      </c>
      <c r="D170" s="20" t="s">
        <v>267</v>
      </c>
      <c r="E170" s="36"/>
      <c r="F170" s="29" cm="1">
        <f t="array" ref="F170">IF(V170 &lt;&gt; "", V170,
  IF(NOT(ISERROR(SEARCH("Poço", D170))),
    IF(G170 = "", "", G170),
    IFERROR(_xlfn.SINGLE(INDEX($G$1:G169, SUMPRODUCT(MAX(($W$1:W169 = W170) * ROW($W$1:W169))))) +
      IF(
      D170 = "Fiscal", 30,
        IF(D170 = "Óleo - Densidade", IF(OR(B170 = "SEP", B170 = "ATD", B170 = "ADG"), 90, 365),
          IF(D170 = "Óleo - Enxofre", 365, 180)
        )
      ),
      ""
    )
  )
)</f>
        <v>46151</v>
      </c>
      <c r="G170" s="21"/>
      <c r="H170" s="15" t="str">
        <f t="shared" si="69"/>
        <v>Erro</v>
      </c>
      <c r="I170" s="15"/>
      <c r="J170" s="15"/>
      <c r="K170" s="15" t="str">
        <f t="shared" si="70"/>
        <v>Erro</v>
      </c>
      <c r="L170" s="15"/>
      <c r="M170" s="15" t="str">
        <f t="shared" si="71"/>
        <v>Erro</v>
      </c>
      <c r="N170" s="13"/>
      <c r="O170" s="2" t="str">
        <f>IF(ISERROR(SEARCH("Poço",D170)),IF(N170="","Erro",IF(Q170="Reprovado","Reprovado",IF(D170="Operacional", WORKDAY(N170,10,FERIADOS!$A$3:$A$119),IF(D170="Óleo - Enxofre", "NA", G170+3)))),"")</f>
        <v>Erro</v>
      </c>
      <c r="P170" s="21"/>
      <c r="Q170" s="7"/>
      <c r="R170" s="13"/>
      <c r="S170" s="30"/>
      <c r="T170" s="34"/>
      <c r="W170" t="str">
        <f t="shared" si="72"/>
        <v>ADG771-AP-0102 (HP Separator)</v>
      </c>
      <c r="X17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1" spans="1:24" ht="12.5" x14ac:dyDescent="0.25">
      <c r="A171" s="8"/>
      <c r="B171" s="8" t="s">
        <v>145</v>
      </c>
      <c r="C171" s="5" t="s">
        <v>314</v>
      </c>
      <c r="D171" s="9" t="s">
        <v>303</v>
      </c>
      <c r="E171" s="36"/>
      <c r="F171" s="29" cm="1">
        <f t="array" ref="F171">IF(V171 &lt;&gt; "", V171,
  IF(NOT(ISERROR(SEARCH("Poço", D171))),
    IF(G171 = "", "", G171),
    IFERROR(_xlfn.SINGLE(INDEX($G$1:G170, SUMPRODUCT(MAX(($W$1:W170 = W171) * ROW($W$1:W170))))) +
      IF(
      D171 = "Fiscal", 30,
        IF(D171 = "Óleo - Densidade", IF(OR(B171 = "SEP", B171 = "ATD", B171 = "ADG"), 90, 365),
          IF(D171 = "Óleo - Enxofre", 365, 180)
        )
      ),
      ""
    )
  )
)</f>
        <v>46064</v>
      </c>
      <c r="G171" s="13">
        <v>46062</v>
      </c>
      <c r="H171" s="15" t="str">
        <f t="shared" si="69"/>
        <v>NA</v>
      </c>
      <c r="I171" s="15"/>
      <c r="J171" s="15"/>
      <c r="K171" s="15" t="str">
        <f t="shared" si="70"/>
        <v>NA</v>
      </c>
      <c r="L171" s="15"/>
      <c r="M171" s="15">
        <f t="shared" si="71"/>
        <v>46063</v>
      </c>
      <c r="N171" s="13">
        <v>46063</v>
      </c>
      <c r="O171" s="2">
        <f>IF(ISERROR(SEARCH("Poço",D171)),IF(N171="","Erro",IF(Q171="Reprovado","Reprovado",IF(D171="Operacional", WORKDAY(N171,10,FERIADOS!$A$3:$A$119),IF(D171="Óleo - Enxofre", "NA", G171+3)))),"")</f>
        <v>46065</v>
      </c>
      <c r="P171" s="13">
        <v>46063</v>
      </c>
      <c r="Q171" s="7" t="s">
        <v>37</v>
      </c>
      <c r="R171" s="13"/>
      <c r="S171" s="30"/>
      <c r="T171" s="34"/>
      <c r="W171" t="str">
        <f t="shared" si="72"/>
        <v>ATD662-AP-0106 (FWKO Drum)</v>
      </c>
      <c r="X17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2" spans="1:24" ht="12.5" x14ac:dyDescent="0.25">
      <c r="A172" s="8"/>
      <c r="B172" s="8" t="s">
        <v>192</v>
      </c>
      <c r="C172" s="5" t="s">
        <v>315</v>
      </c>
      <c r="D172" s="9" t="s">
        <v>303</v>
      </c>
      <c r="E172" s="36"/>
      <c r="F172" s="29" cm="1">
        <f t="array" ref="F172">IF(V172 &lt;&gt; "", V172,
  IF(NOT(ISERROR(SEARCH("Poço", D172))),
    IF(G172 = "", "", G172),
    IFERROR(_xlfn.SINGLE(INDEX($G$1:G171, SUMPRODUCT(MAX(($W$1:W171 = W172) * ROW($W$1:W171))))) +
      IF(
      D172 = "Fiscal", 30,
        IF(D172 = "Óleo - Densidade", IF(OR(B172 = "SEP", B172 = "ATD", B172 = "ADG"), 90, 365),
          IF(D172 = "Óleo - Enxofre", 365, 180)
        )
      ),
      ""
    )
  )
)</f>
        <v>46068</v>
      </c>
      <c r="G172" s="13"/>
      <c r="H172" s="15" t="str">
        <f t="shared" si="69"/>
        <v>Erro</v>
      </c>
      <c r="I172" s="15"/>
      <c r="J172" s="15"/>
      <c r="K172" s="15" t="str">
        <f t="shared" si="70"/>
        <v>Erro</v>
      </c>
      <c r="L172" s="15"/>
      <c r="M172" s="15" t="str">
        <f t="shared" si="71"/>
        <v>Erro</v>
      </c>
      <c r="N172" s="13"/>
      <c r="O172" s="2" t="str">
        <f>IF(ISERROR(SEARCH("Poço",D172)),IF(N172="","Erro",IF(Q172="Reprovado","Reprovado",IF(D172="Operacional", WORKDAY(N172,10,FERIADOS!$A$3:$A$119),IF(D172="Óleo - Enxofre", "NA", G172+3)))),"")</f>
        <v>Erro</v>
      </c>
      <c r="P172" s="13"/>
      <c r="Q172" s="7"/>
      <c r="R172" s="13"/>
      <c r="S172" s="30"/>
      <c r="T172" s="34"/>
      <c r="W172" t="str">
        <f t="shared" si="72"/>
        <v>ADG667-AP-2297 (FWKO Drum)</v>
      </c>
      <c r="X17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3" spans="1:24" ht="12.5" x14ac:dyDescent="0.25">
      <c r="A173" s="8"/>
      <c r="B173" s="8" t="s">
        <v>192</v>
      </c>
      <c r="C173" s="5" t="s">
        <v>270</v>
      </c>
      <c r="D173" s="9" t="s">
        <v>267</v>
      </c>
      <c r="E173" s="36"/>
      <c r="F173" s="29" cm="1">
        <f t="array" ref="F173">IF(V173 &lt;&gt; "", V173,
  IF(NOT(ISERROR(SEARCH("Poço", D173))),
    IF(G173 = "", "", G173),
    IFERROR(_xlfn.SINGLE(INDEX($G$1:G172, SUMPRODUCT(MAX(($W$1:W172 = W173) * ROW($W$1:W172))))) +
      IF(
      D173 = "Fiscal", 30,
        IF(D173 = "Óleo - Densidade", IF(OR(B173 = "SEP", B173 = "ATD", B173 = "ADG"), 90, 365),
          IF(D173 = "Óleo - Enxofre", 365, 180)
        )
      ),
      ""
    )
  )
)</f>
        <v>46161</v>
      </c>
      <c r="G173" s="13"/>
      <c r="H173" s="15" t="str">
        <f t="shared" si="69"/>
        <v>Erro</v>
      </c>
      <c r="I173" s="15"/>
      <c r="J173" s="15"/>
      <c r="K173" s="15" t="str">
        <f t="shared" si="70"/>
        <v>Erro</v>
      </c>
      <c r="L173" s="15"/>
      <c r="M173" s="15" t="str">
        <f t="shared" si="71"/>
        <v>Erro</v>
      </c>
      <c r="N173" s="13"/>
      <c r="O173" s="2" t="str">
        <f>IF(ISERROR(SEARCH("Poço",D173)),IF(N173="","Erro",IF(Q173="Reprovado","Reprovado",IF(D173="Operacional", WORKDAY(N173,10,FERIADOS!$A$3:$A$119),IF(D173="Óleo - Enxofre", "NA", G173+3)))),"")</f>
        <v>Erro</v>
      </c>
      <c r="P173" s="13"/>
      <c r="Q173" s="7"/>
      <c r="R173" s="13"/>
      <c r="S173" s="30"/>
      <c r="T173" s="34"/>
      <c r="W173" t="str">
        <f t="shared" si="72"/>
        <v>ADG771-AP-0213 (LP Degasser)</v>
      </c>
      <c r="X17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4" spans="1:24" ht="12.5" x14ac:dyDescent="0.25">
      <c r="A174" s="8"/>
      <c r="B174" s="8" t="s">
        <v>192</v>
      </c>
      <c r="C174" s="5" t="s">
        <v>269</v>
      </c>
      <c r="D174" s="9" t="s">
        <v>267</v>
      </c>
      <c r="E174" s="36"/>
      <c r="F174" s="29" cm="1">
        <f t="array" ref="F174">IF(V174 &lt;&gt; "", V174,
  IF(NOT(ISERROR(SEARCH("Poço", D174))),
    IF(G174 = "", "", G174),
    IFERROR(_xlfn.SINGLE(INDEX($G$1:G173, SUMPRODUCT(MAX(($W$1:W173 = W174) * ROW($W$1:W173))))) +
      IF(
      D174 = "Fiscal", 30,
        IF(D174 = "Óleo - Densidade", IF(OR(B174 = "SEP", B174 = "ATD", B174 = "ADG"), 90, 365),
          IF(D174 = "Óleo - Enxofre", 365, 180)
        )
      ),
      ""
    )
  )
)</f>
        <v>46161</v>
      </c>
      <c r="G174" s="13"/>
      <c r="H174" s="15" t="str">
        <f t="shared" si="69"/>
        <v>Erro</v>
      </c>
      <c r="I174" s="15"/>
      <c r="J174" s="15"/>
      <c r="K174" s="15" t="str">
        <f t="shared" si="70"/>
        <v>Erro</v>
      </c>
      <c r="L174" s="15"/>
      <c r="M174" s="15" t="str">
        <f t="shared" si="71"/>
        <v>Erro</v>
      </c>
      <c r="N174" s="13"/>
      <c r="O174" s="2" t="str">
        <f>IF(ISERROR(SEARCH("Poço",D174)),IF(N174="","Erro",IF(Q174="Reprovado","Reprovado",IF(D174="Operacional", WORKDAY(N174,10,FERIADOS!$A$3:$A$119),IF(D174="Óleo - Enxofre", "NA", G174+3)))),"")</f>
        <v>Erro</v>
      </c>
      <c r="P174" s="13"/>
      <c r="Q174" s="7"/>
      <c r="R174" s="13"/>
      <c r="S174" s="30"/>
      <c r="T174" s="34"/>
      <c r="W174" t="str">
        <f t="shared" si="72"/>
        <v>ADG771-AP-0202 (IP Flash Vessel)</v>
      </c>
      <c r="X17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5" spans="1:24" ht="12.5" x14ac:dyDescent="0.25">
      <c r="A175" s="19"/>
      <c r="B175" s="19" t="s">
        <v>46</v>
      </c>
      <c r="C175" s="5" t="s">
        <v>284</v>
      </c>
      <c r="D175" s="20" t="s">
        <v>267</v>
      </c>
      <c r="E175" s="36"/>
      <c r="F175" s="29" cm="1">
        <f t="array" ref="F175">IF(V175 &lt;&gt; "", V175,
  IF(NOT(ISERROR(SEARCH("Poço", D175))),
    IF(G175 = "", "", G175),
    IFERROR(_xlfn.SINGLE(INDEX($G$1:G174, SUMPRODUCT(MAX(($W$1:W174 = W175) * ROW($W$1:W174))))) +
      IF(
      D175 = "Fiscal", 30,
        IF(D175 = "Óleo - Densidade", IF(OR(B175 = "SEP", B175 = "ATD", B175 = "ADG"), 90, 365),
          IF(D175 = "Óleo - Enxofre", 365, 180)
        )
      ),
      ""
    )
  )
)</f>
        <v>46162</v>
      </c>
      <c r="G175" s="21">
        <v>46007</v>
      </c>
      <c r="H175" s="15">
        <f t="shared" ref="H175:H182" si="73">IF(G175="","Erro",IF(D175="Óleo - Densidade", "NA", G175+10))</f>
        <v>46017</v>
      </c>
      <c r="I175" s="15"/>
      <c r="J175" s="15"/>
      <c r="K175" s="15">
        <f t="shared" ref="K175:K182" si="74">IF(G175="","Erro",IF(D175="Óleo - Densidade", "NA", G175+20))</f>
        <v>46027</v>
      </c>
      <c r="L175" s="15"/>
      <c r="M175" s="15">
        <f t="shared" ref="M175:M182" si="75">IF(G175="","Erro",G175+IF(D175="Fiscal",25,IF(D175="Óleo - Densidade", 1, IF(D175="Óleo - Enxofre", 25, 45))))</f>
        <v>46052</v>
      </c>
      <c r="N175" s="13">
        <v>46031</v>
      </c>
      <c r="O175" s="2">
        <f>IF(ISERROR(SEARCH("Poço",D175)),IF(N175="","Erro",IF(Q175="Reprovado","Reprovado",IF(D175="Operacional", WORKDAY(N175,10,FERIADOS!$A$3:$A$119),IF(D175="Óleo - Enxofre", "NA", G175+3)))),"")</f>
        <v>46045</v>
      </c>
      <c r="P175" s="21">
        <v>46035</v>
      </c>
      <c r="Q175" s="7" t="s">
        <v>37</v>
      </c>
      <c r="R175" s="13"/>
      <c r="S175" s="30"/>
      <c r="T175" s="34"/>
      <c r="W175" t="str">
        <f t="shared" ref="W175:W182" si="76">B175&amp;C175</f>
        <v>CDMT75-AX-1139 (Injection Gas)</v>
      </c>
      <c r="X17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6" spans="1:24" ht="12.5" x14ac:dyDescent="0.25">
      <c r="A176" s="8"/>
      <c r="B176" s="8" t="s">
        <v>34</v>
      </c>
      <c r="C176" s="5" t="s">
        <v>290</v>
      </c>
      <c r="D176" s="9" t="s">
        <v>267</v>
      </c>
      <c r="E176" s="36"/>
      <c r="F176" s="29" cm="1">
        <f t="array" ref="F176">IF(V176 &lt;&gt; "", V176,
  IF(NOT(ISERROR(SEARCH("Poço", D176))),
    IF(G176 = "", "", G176),
    IFERROR(_xlfn.SINGLE(INDEX($G$1:G175, SUMPRODUCT(MAX(($W$1:W175 = W176) * ROW($W$1:W175))))) +
      IF(
      D176 = "Fiscal", 30,
        IF(D176 = "Óleo - Densidade", IF(OR(B176 = "SEP", B176 = "ATD", B176 = "ADG"), 90, 365),
          IF(D176 = "Óleo - Enxofre", 365, 180)
        )
      ),
      ""
    )
  )
)</f>
        <v>46168</v>
      </c>
      <c r="G176" s="13"/>
      <c r="H176" s="15" t="str">
        <f t="shared" si="73"/>
        <v>Erro</v>
      </c>
      <c r="I176" s="15"/>
      <c r="J176" s="15"/>
      <c r="K176" s="15" t="str">
        <f t="shared" si="74"/>
        <v>Erro</v>
      </c>
      <c r="L176" s="15"/>
      <c r="M176" s="15" t="str">
        <f t="shared" si="75"/>
        <v>Erro</v>
      </c>
      <c r="N176" s="13"/>
      <c r="O176" s="2" t="str">
        <f>IF(ISERROR(SEARCH("Poço",D176)),IF(N176="","Erro",IF(Q176="Reprovado","Reprovado",IF(D176="Operacional", WORKDAY(N176,10,FERIADOS!$A$3:$A$119),IF(D176="Óleo - Enxofre", "NA", G176+3)))),"")</f>
        <v>Erro</v>
      </c>
      <c r="P176" s="13"/>
      <c r="Q176" s="7"/>
      <c r="R176" s="13"/>
      <c r="S176" s="30"/>
      <c r="T176" s="34"/>
      <c r="W176" t="str">
        <f t="shared" si="76"/>
        <v>CDST71-AX-0402 (LP Degasser)</v>
      </c>
      <c r="X17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7" spans="1:24" ht="12.5" x14ac:dyDescent="0.25">
      <c r="A177" s="19"/>
      <c r="B177" s="19" t="s">
        <v>24</v>
      </c>
      <c r="C177" s="5" t="s">
        <v>296</v>
      </c>
      <c r="D177" s="20" t="s">
        <v>297</v>
      </c>
      <c r="E177" s="36"/>
      <c r="F177" s="29" cm="1">
        <f t="array" ref="F177">IF(V177 &lt;&gt; "", V177,
  IF(NOT(ISERROR(SEARCH("Poço", D177))),
    IF(G177 = "", "", G177),
    IFERROR(_xlfn.SINGLE(INDEX($G$1:G176, SUMPRODUCT(MAX(($W$1:W176 = W177) * ROW($W$1:W176))))) +
      IF(
      D177 = "Fiscal", 30,
        IF(D177 = "Óleo - Densidade", IF(OR(B177 = "SEP", B177 = "ATD", B177 = "ADG"), 90, 365),
          IF(D177 = "Óleo - Enxofre", 365, 180)
        )
      ),
      ""
    )
  )
)</f>
        <v>46357</v>
      </c>
      <c r="G177" s="21"/>
      <c r="H177" s="15" t="str">
        <f t="shared" si="73"/>
        <v>Erro</v>
      </c>
      <c r="I177" s="15"/>
      <c r="J177" s="15"/>
      <c r="K177" s="15" t="str">
        <f t="shared" si="74"/>
        <v>Erro</v>
      </c>
      <c r="L177" s="15"/>
      <c r="M177" s="15" t="str">
        <f t="shared" si="75"/>
        <v>Erro</v>
      </c>
      <c r="N177" s="13"/>
      <c r="O177" s="2" t="str">
        <f>IF(ISERROR(SEARCH("Poço",D177)),IF(N177="","Erro",IF(Q177="Reprovado","Reprovado",IF(D177="Operacional", WORKDAY(N177,10,FERIADOS!$A$3:$A$119),IF(D177="Óleo - Enxofre", "NA", G177+3)))),"")</f>
        <v>Erro</v>
      </c>
      <c r="P177" s="21"/>
      <c r="Q177" s="7"/>
      <c r="R177" s="13"/>
      <c r="S177" s="30"/>
      <c r="T177" s="34"/>
      <c r="W177" t="str">
        <f t="shared" si="76"/>
        <v>CDACargo Tank</v>
      </c>
      <c r="X17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8" spans="1:24" ht="12.5" x14ac:dyDescent="0.25">
      <c r="A178" s="8"/>
      <c r="B178" s="8" t="s">
        <v>52</v>
      </c>
      <c r="C178" s="5" t="s">
        <v>266</v>
      </c>
      <c r="D178" s="9" t="s">
        <v>267</v>
      </c>
      <c r="E178" s="36"/>
      <c r="F178" s="29" cm="1">
        <f t="array" ref="F178">IF(V178 &lt;&gt; "", V178,
  IF(NOT(ISERROR(SEARCH("Poço", D178))),
    IF(G178 = "", "", G178),
    IFERROR(_xlfn.SINGLE(INDEX($G$1:G177, SUMPRODUCT(MAX(($W$1:W177 = W178) * ROW($W$1:W177))))) +
      IF(
      D178 = "Fiscal", 30,
        IF(D178 = "Óleo - Densidade", IF(OR(B178 = "SEP", B178 = "ATD", B178 = "ADG"), 90, 365),
          IF(D178 = "Óleo - Enxofre", 365, 180)
        )
      ),
      ""
    )
  )
)</f>
        <v>46174</v>
      </c>
      <c r="G178" s="13"/>
      <c r="H178" s="15" t="str">
        <f t="shared" si="73"/>
        <v>Erro</v>
      </c>
      <c r="I178" s="15"/>
      <c r="J178" s="15"/>
      <c r="K178" s="15" t="str">
        <f t="shared" si="74"/>
        <v>Erro</v>
      </c>
      <c r="L178" s="15"/>
      <c r="M178" s="15" t="str">
        <f t="shared" si="75"/>
        <v>Erro</v>
      </c>
      <c r="N178" s="13"/>
      <c r="O178" s="2" t="str">
        <f>IF(ISERROR(SEARCH("Poço",D178)),IF(N178="","Erro",IF(Q178="Reprovado","Reprovado",IF(D178="Operacional", WORKDAY(N178,10,FERIADOS!$A$3:$A$119),IF(D178="Óleo - Enxofre", "NA", G178+3)))),"")</f>
        <v>Erro</v>
      </c>
      <c r="P178" s="13"/>
      <c r="Q178" s="7"/>
      <c r="R178" s="13"/>
      <c r="S178" s="30"/>
      <c r="T178" s="34"/>
      <c r="W178" t="str">
        <f t="shared" si="76"/>
        <v>SEP771-AP-0102 (HP Separator)</v>
      </c>
      <c r="X17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79" spans="1:24" ht="12.5" x14ac:dyDescent="0.25">
      <c r="A179" s="8"/>
      <c r="B179" s="8" t="s">
        <v>52</v>
      </c>
      <c r="C179" s="5" t="s">
        <v>268</v>
      </c>
      <c r="D179" s="9" t="s">
        <v>267</v>
      </c>
      <c r="E179" s="36"/>
      <c r="F179" s="29" cm="1">
        <f t="array" ref="F179">IF(V179 &lt;&gt; "", V179,
  IF(NOT(ISERROR(SEARCH("Poço", D179))),
    IF(G179 = "", "", G179),
    IFERROR(_xlfn.SINGLE(INDEX($G$1:G178, SUMPRODUCT(MAX(($W$1:W178 = W179) * ROW($W$1:W178))))) +
      IF(
      D179 = "Fiscal", 30,
        IF(D179 = "Óleo - Densidade", IF(OR(B179 = "SEP", B179 = "ATD", B179 = "ADG"), 90, 365),
          IF(D179 = "Óleo - Enxofre", 365, 180)
        )
      ),
      ""
    )
  )
)</f>
        <v>46174</v>
      </c>
      <c r="G179" s="13"/>
      <c r="H179" s="15" t="str">
        <f t="shared" si="73"/>
        <v>Erro</v>
      </c>
      <c r="I179" s="15"/>
      <c r="J179" s="15"/>
      <c r="K179" s="15" t="str">
        <f t="shared" si="74"/>
        <v>Erro</v>
      </c>
      <c r="L179" s="15"/>
      <c r="M179" s="15" t="str">
        <f t="shared" si="75"/>
        <v>Erro</v>
      </c>
      <c r="N179" s="13"/>
      <c r="O179" s="2" t="str">
        <f>IF(ISERROR(SEARCH("Poço",D179)),IF(N179="","Erro",IF(Q179="Reprovado","Reprovado",IF(D179="Operacional", WORKDAY(N179,10,FERIADOS!$A$3:$A$119),IF(D179="Óleo - Enxofre", "NA", G179+3)))),"")</f>
        <v>Erro</v>
      </c>
      <c r="P179" s="13"/>
      <c r="Q179" s="7"/>
      <c r="R179" s="13"/>
      <c r="S179" s="30"/>
      <c r="T179" s="34"/>
      <c r="W179" t="str">
        <f t="shared" si="76"/>
        <v>SEP771-AP-0123 (FWKO Drum)</v>
      </c>
      <c r="X17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0" spans="1:24" ht="12.5" x14ac:dyDescent="0.25">
      <c r="A180" s="8"/>
      <c r="B180" s="8" t="s">
        <v>52</v>
      </c>
      <c r="C180" s="5" t="s">
        <v>269</v>
      </c>
      <c r="D180" s="9" t="s">
        <v>267</v>
      </c>
      <c r="E180" s="36"/>
      <c r="F180" s="29" cm="1">
        <f t="array" ref="F180">IF(V180 &lt;&gt; "", V180,
  IF(NOT(ISERROR(SEARCH("Poço", D180))),
    IF(G180 = "", "", G180),
    IFERROR(_xlfn.SINGLE(INDEX($G$1:G179, SUMPRODUCT(MAX(($W$1:W179 = W180) * ROW($W$1:W179))))) +
      IF(
      D180 = "Fiscal", 30,
        IF(D180 = "Óleo - Densidade", IF(OR(B180 = "SEP", B180 = "ATD", B180 = "ADG"), 90, 365),
          IF(D180 = "Óleo - Enxofre", 365, 180)
        )
      ),
      ""
    )
  )
)</f>
        <v>46174</v>
      </c>
      <c r="G180" s="13"/>
      <c r="H180" s="15" t="str">
        <f t="shared" si="73"/>
        <v>Erro</v>
      </c>
      <c r="I180" s="15"/>
      <c r="J180" s="15"/>
      <c r="K180" s="15" t="str">
        <f t="shared" si="74"/>
        <v>Erro</v>
      </c>
      <c r="L180" s="15"/>
      <c r="M180" s="15" t="str">
        <f t="shared" si="75"/>
        <v>Erro</v>
      </c>
      <c r="N180" s="13"/>
      <c r="O180" s="2" t="str">
        <f>IF(ISERROR(SEARCH("Poço",D180)),IF(N180="","Erro",IF(Q180="Reprovado","Reprovado",IF(D180="Operacional", WORKDAY(N180,10,FERIADOS!$A$3:$A$119),IF(D180="Óleo - Enxofre", "NA", G180+3)))),"")</f>
        <v>Erro</v>
      </c>
      <c r="P180" s="13"/>
      <c r="Q180" s="7"/>
      <c r="R180" s="13"/>
      <c r="S180" s="30"/>
      <c r="T180" s="34"/>
      <c r="W180" t="str">
        <f t="shared" si="76"/>
        <v>SEP771-AP-0202 (IP Flash Vessel)</v>
      </c>
      <c r="X18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1" spans="1:24" ht="12.5" x14ac:dyDescent="0.25">
      <c r="A181" s="8"/>
      <c r="B181" s="8" t="s">
        <v>52</v>
      </c>
      <c r="C181" s="5" t="s">
        <v>270</v>
      </c>
      <c r="D181" s="9" t="s">
        <v>267</v>
      </c>
      <c r="E181" s="36"/>
      <c r="F181" s="29" cm="1">
        <f t="array" ref="F181">IF(V181 &lt;&gt; "", V181,
  IF(NOT(ISERROR(SEARCH("Poço", D181))),
    IF(G181 = "", "", G181),
    IFERROR(_xlfn.SINGLE(INDEX($G$1:G180, SUMPRODUCT(MAX(($W$1:W180 = W181) * ROW($W$1:W180))))) +
      IF(
      D181 = "Fiscal", 30,
        IF(D181 = "Óleo - Densidade", IF(OR(B181 = "SEP", B181 = "ATD", B181 = "ADG"), 90, 365),
          IF(D181 = "Óleo - Enxofre", 365, 180)
        )
      ),
      ""
    )
  )
)</f>
        <v>46174</v>
      </c>
      <c r="G181" s="13"/>
      <c r="H181" s="15" t="str">
        <f t="shared" si="73"/>
        <v>Erro</v>
      </c>
      <c r="I181" s="15"/>
      <c r="J181" s="15"/>
      <c r="K181" s="15" t="str">
        <f t="shared" si="74"/>
        <v>Erro</v>
      </c>
      <c r="L181" s="15"/>
      <c r="M181" s="15" t="str">
        <f t="shared" si="75"/>
        <v>Erro</v>
      </c>
      <c r="N181" s="13"/>
      <c r="O181" s="2" t="str">
        <f>IF(ISERROR(SEARCH("Poço",D181)),IF(N181="","Erro",IF(Q181="Reprovado","Reprovado",IF(D181="Operacional", WORKDAY(N181,10,FERIADOS!$A$3:$A$119),IF(D181="Óleo - Enxofre", "NA", G181+3)))),"")</f>
        <v>Erro</v>
      </c>
      <c r="P181" s="13"/>
      <c r="Q181" s="7"/>
      <c r="R181" s="13"/>
      <c r="S181" s="30"/>
      <c r="T181" s="34"/>
      <c r="W181" t="str">
        <f t="shared" si="76"/>
        <v>SEP771-AP-0213 (LP Degasser)</v>
      </c>
      <c r="X18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2" spans="1:24" ht="12.5" x14ac:dyDescent="0.25">
      <c r="A182" s="8"/>
      <c r="B182" s="8" t="s">
        <v>52</v>
      </c>
      <c r="C182" s="5" t="s">
        <v>301</v>
      </c>
      <c r="D182" s="9" t="s">
        <v>297</v>
      </c>
      <c r="E182" s="36"/>
      <c r="F182" s="29" cm="1">
        <f t="array" ref="F182">IF(V182 &lt;&gt; "", V182,
  IF(NOT(ISERROR(SEARCH("Poço", D182))),
    IF(G182 = "", "", G182),
    IFERROR(_xlfn.SINGLE(INDEX($G$1:G181, SUMPRODUCT(MAX(($W$1:W181 = W182) * ROW($W$1:W181))))) +
      IF(
      D182 = "Fiscal", 30,
        IF(D182 = "Óleo - Densidade", IF(OR(B182 = "SEP", B182 = "ATD", B182 = "ADG"), 90, 365),
          IF(D182 = "Óleo - Enxofre", 365, 180)
        )
      ),
      ""
    )
  )
)</f>
        <v>46360</v>
      </c>
      <c r="G182" s="13"/>
      <c r="H182" s="15" t="str">
        <f t="shared" si="73"/>
        <v>Erro</v>
      </c>
      <c r="I182" s="15"/>
      <c r="J182" s="15"/>
      <c r="K182" s="15" t="str">
        <f t="shared" si="74"/>
        <v>Erro</v>
      </c>
      <c r="L182" s="15"/>
      <c r="M182" s="15" t="str">
        <f t="shared" si="75"/>
        <v>Erro</v>
      </c>
      <c r="N182" s="13"/>
      <c r="O182" s="2" t="str">
        <f>IF(ISERROR(SEARCH("Poço",D182)),IF(N182="","Erro",IF(Q182="Reprovado","Reprovado",IF(D182="Operacional", WORKDAY(N182,10,FERIADOS!$A$3:$A$119),IF(D182="Óleo - Enxofre", "NA", G182+3)))),"")</f>
        <v>Erro</v>
      </c>
      <c r="P182" s="13"/>
      <c r="Q182" s="7"/>
      <c r="R182" s="13"/>
      <c r="S182" s="30"/>
      <c r="T182" s="34"/>
      <c r="W182" t="str">
        <f t="shared" si="76"/>
        <v>SEP662-AP-1005 (Oil Fiscal)</v>
      </c>
      <c r="X18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3" spans="1:24" ht="12.5" x14ac:dyDescent="0.25">
      <c r="A183" s="8"/>
      <c r="B183" s="8" t="s">
        <v>192</v>
      </c>
      <c r="C183" s="5" t="s">
        <v>268</v>
      </c>
      <c r="D183" s="9" t="s">
        <v>267</v>
      </c>
      <c r="E183" s="36"/>
      <c r="F183" s="29" cm="1">
        <f t="array" ref="F183">IF(V183 &lt;&gt; "", V183,
  IF(NOT(ISERROR(SEARCH("Poço", D183))),
    IF(G183 = "", "", G183),
    IFERROR(_xlfn.SINGLE(INDEX($G$1:G182, SUMPRODUCT(MAX(($W$1:W182 = W183) * ROW($W$1:W182))))) +
      IF(
      D183 = "Fiscal", 30,
        IF(D183 = "Óleo - Densidade", IF(OR(B183 = "SEP", B183 = "ATD", B183 = "ADG"), 90, 365),
          IF(D183 = "Óleo - Enxofre", 365, 180)
        )
      ),
      ""
    )
  )
)</f>
        <v>46179</v>
      </c>
      <c r="G183" s="13"/>
      <c r="H183" s="15" t="str">
        <f t="shared" ref="H183:H188" si="77">IF(G183="","Erro",IF(D183="Óleo - Densidade", "NA", G183+10))</f>
        <v>Erro</v>
      </c>
      <c r="I183" s="15"/>
      <c r="J183" s="15"/>
      <c r="K183" s="15" t="str">
        <f t="shared" ref="K183:K188" si="78">IF(G183="","Erro",IF(D183="Óleo - Densidade", "NA", G183+20))</f>
        <v>Erro</v>
      </c>
      <c r="L183" s="15"/>
      <c r="M183" s="15" t="str">
        <f t="shared" ref="M183:M188" si="79">IF(G183="","Erro",G183+IF(D183="Fiscal",25,IF(D183="Óleo - Densidade", 1, IF(D183="Óleo - Enxofre", 25, 45))))</f>
        <v>Erro</v>
      </c>
      <c r="N183" s="13"/>
      <c r="O183" s="2" t="str">
        <f>IF(ISERROR(SEARCH("Poço",D183)),IF(N183="","Erro",IF(Q183="Reprovado","Reprovado",IF(D183="Operacional", WORKDAY(N183,10,FERIADOS!$A$3:$A$119),IF(D183="Óleo - Enxofre", "NA", G183+3)))),"")</f>
        <v>Erro</v>
      </c>
      <c r="P183" s="13"/>
      <c r="Q183" s="7"/>
      <c r="R183" s="13"/>
      <c r="S183" s="30"/>
      <c r="T183" s="34"/>
      <c r="W183" t="str">
        <f t="shared" ref="W183:W188" si="80">B183&amp;C183</f>
        <v>ADG771-AP-0123 (FWKO Drum)</v>
      </c>
      <c r="X18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4" spans="1:24" ht="12.5" x14ac:dyDescent="0.25">
      <c r="A184" s="8"/>
      <c r="B184" s="8" t="s">
        <v>192</v>
      </c>
      <c r="C184" s="5" t="s">
        <v>309</v>
      </c>
      <c r="D184" s="9" t="s">
        <v>267</v>
      </c>
      <c r="E184" s="36"/>
      <c r="F184" s="29" cm="1">
        <f t="array" ref="F184">IF(V184 &lt;&gt; "", V184,
  IF(NOT(ISERROR(SEARCH("Poço", D184))),
    IF(G184 = "", "", G184),
    IFERROR(_xlfn.SINGLE(INDEX($G$1:G183, SUMPRODUCT(MAX(($W$1:W183 = W184) * ROW($W$1:W183))))) +
      IF(
      D184 = "Fiscal", 30,
        IF(D184 = "Óleo - Densidade", IF(OR(B184 = "SEP", B184 = "ATD", B184 = "ADG"), 90, 365),
          IF(D184 = "Óleo - Enxofre", 365, 180)
        )
      ),
      ""
    )
  )
)</f>
        <v>46179</v>
      </c>
      <c r="G184" s="13"/>
      <c r="H184" s="15" t="str">
        <f t="shared" si="77"/>
        <v>Erro</v>
      </c>
      <c r="I184" s="15"/>
      <c r="J184" s="15"/>
      <c r="K184" s="15" t="str">
        <f t="shared" si="78"/>
        <v>Erro</v>
      </c>
      <c r="L184" s="15"/>
      <c r="M184" s="15" t="str">
        <f t="shared" si="79"/>
        <v>Erro</v>
      </c>
      <c r="N184" s="13"/>
      <c r="O184" s="2" t="str">
        <f>IF(ISERROR(SEARCH("Poço",D184)),IF(N184="","Erro",IF(Q184="Reprovado","Reprovado",IF(D184="Operacional", WORKDAY(N184,10,FERIADOS!$A$3:$A$119),IF(D184="Óleo - Enxofre", "NA", G184+3)))),"")</f>
        <v>Erro</v>
      </c>
      <c r="P184" s="13"/>
      <c r="Q184" s="7"/>
      <c r="R184" s="13"/>
      <c r="S184" s="30"/>
      <c r="T184" s="34"/>
      <c r="W184" t="str">
        <f t="shared" si="80"/>
        <v>ADG772-AP-1710-1 (Gas Dehydration)</v>
      </c>
      <c r="X18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5" spans="1:24" ht="12.5" x14ac:dyDescent="0.25">
      <c r="A185" s="8"/>
      <c r="B185" s="8" t="s">
        <v>192</v>
      </c>
      <c r="C185" s="5" t="s">
        <v>289</v>
      </c>
      <c r="D185" s="9" t="s">
        <v>267</v>
      </c>
      <c r="E185" s="36"/>
      <c r="F185" s="29" cm="1">
        <f t="array" ref="F185">IF(V185 &lt;&gt; "", V185,
  IF(NOT(ISERROR(SEARCH("Poço", D185))),
    IF(G185 = "", "", G185),
    IFERROR(_xlfn.SINGLE(INDEX($G$1:G184, SUMPRODUCT(MAX(($W$1:W184 = W185) * ROW($W$1:W184))))) +
      IF(
      D185 = "Fiscal", 30,
        IF(D185 = "Óleo - Densidade", IF(OR(B185 = "SEP", B185 = "ATD", B185 = "ADG"), 90, 365),
          IF(D185 = "Óleo - Enxofre", 365, 180)
        )
      ),
      ""
    )
  )
)</f>
        <v>46179</v>
      </c>
      <c r="G185" s="13"/>
      <c r="H185" s="15" t="str">
        <f t="shared" si="77"/>
        <v>Erro</v>
      </c>
      <c r="I185" s="15"/>
      <c r="J185" s="15"/>
      <c r="K185" s="15" t="str">
        <f t="shared" si="78"/>
        <v>Erro</v>
      </c>
      <c r="L185" s="15"/>
      <c r="M185" s="15" t="str">
        <f t="shared" si="79"/>
        <v>Erro</v>
      </c>
      <c r="N185" s="13"/>
      <c r="O185" s="2" t="str">
        <f>IF(ISERROR(SEARCH("Poço",D185)),IF(N185="","Erro",IF(Q185="Reprovado","Reprovado",IF(D185="Operacional", WORKDAY(N185,10,FERIADOS!$A$3:$A$119),IF(D185="Óleo - Enxofre", "NA", G185+3)))),"")</f>
        <v>Erro</v>
      </c>
      <c r="P185" s="13"/>
      <c r="Q185" s="7"/>
      <c r="R185" s="13"/>
      <c r="S185" s="30"/>
      <c r="T185" s="34"/>
      <c r="W185" t="str">
        <f t="shared" si="80"/>
        <v>ADG777-AP-1211 (Flare Pilot)</v>
      </c>
      <c r="X18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6" spans="1:24" ht="12.5" x14ac:dyDescent="0.25">
      <c r="A186" s="8"/>
      <c r="B186" s="8" t="s">
        <v>192</v>
      </c>
      <c r="C186" s="5" t="s">
        <v>316</v>
      </c>
      <c r="D186" s="9" t="s">
        <v>267</v>
      </c>
      <c r="E186" s="36"/>
      <c r="F186" s="29" cm="1">
        <f t="array" ref="F186">IF(V186 &lt;&gt; "", V186,
  IF(NOT(ISERROR(SEARCH("Poço", D186))),
    IF(G186 = "", "", G186),
    IFERROR(_xlfn.SINGLE(INDEX($G$1:G185, SUMPRODUCT(MAX(($W$1:W185 = W186) * ROW($W$1:W185))))) +
      IF(
      D186 = "Fiscal", 30,
        IF(D186 = "Óleo - Densidade", IF(OR(B186 = "SEP", B186 = "ATD", B186 = "ADG"), 90, 365),
          IF(D186 = "Óleo - Enxofre", 365, 180)
        )
      ),
      ""
    )
  )
)</f>
        <v>46180</v>
      </c>
      <c r="G186" s="13">
        <v>46028</v>
      </c>
      <c r="H186" s="15">
        <f t="shared" si="77"/>
        <v>46038</v>
      </c>
      <c r="I186" s="15"/>
      <c r="J186" s="15"/>
      <c r="K186" s="15">
        <f t="shared" si="78"/>
        <v>46048</v>
      </c>
      <c r="L186" s="15"/>
      <c r="M186" s="15">
        <f t="shared" si="79"/>
        <v>46073</v>
      </c>
      <c r="N186" s="13">
        <v>46031</v>
      </c>
      <c r="O186" s="2">
        <f>IF(ISERROR(SEARCH("Poço",D186)),IF(N186="","Erro",IF(Q186="Reprovado","Reprovado",IF(D186="Operacional", WORKDAY(N186,10,FERIADOS!$A$3:$A$119),IF(D186="Óleo - Enxofre", "NA", G186+3)))),"")</f>
        <v>46045</v>
      </c>
      <c r="P186" s="13">
        <v>46034</v>
      </c>
      <c r="Q186" s="7" t="s">
        <v>37</v>
      </c>
      <c r="R186" s="13"/>
      <c r="S186" s="30"/>
      <c r="T186" s="34"/>
      <c r="W186" t="str">
        <f t="shared" si="80"/>
        <v>ADG775-AP-6014 (Gas Injection)</v>
      </c>
      <c r="X18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7" spans="1:24" ht="12.5" x14ac:dyDescent="0.25">
      <c r="A187" s="19"/>
      <c r="B187" s="19" t="s">
        <v>46</v>
      </c>
      <c r="C187" s="5" t="s">
        <v>284</v>
      </c>
      <c r="D187" s="20" t="s">
        <v>267</v>
      </c>
      <c r="E187" s="36"/>
      <c r="F187" s="29" cm="1">
        <f t="array" ref="F187">IF(V187 &lt;&gt; "", V187,
  IF(NOT(ISERROR(SEARCH("Poço", D187))),
    IF(G187 = "", "", G187),
    IFERROR(_xlfn.SINGLE(INDEX($G$1:G186, SUMPRODUCT(MAX(($W$1:W186 = W187) * ROW($W$1:W186))))) +
      IF(
      D187 = "Fiscal", 30,
        IF(D187 = "Óleo - Densidade", IF(OR(B187 = "SEP", B187 = "ATD", B187 = "ADG"), 90, 365),
          IF(D187 = "Óleo - Enxofre", 365, 180)
        )
      ),
      ""
    )
  )
)</f>
        <v>46187</v>
      </c>
      <c r="G187" s="21">
        <v>46035</v>
      </c>
      <c r="H187" s="15">
        <f t="shared" si="77"/>
        <v>46045</v>
      </c>
      <c r="I187" s="15"/>
      <c r="J187" s="15"/>
      <c r="K187" s="15">
        <f t="shared" si="78"/>
        <v>46055</v>
      </c>
      <c r="L187" s="15"/>
      <c r="M187" s="15">
        <f t="shared" si="79"/>
        <v>46080</v>
      </c>
      <c r="N187" s="13">
        <v>46059</v>
      </c>
      <c r="O187" s="2">
        <f>IF(ISERROR(SEARCH("Poço",D187)),IF(N187="","Erro",IF(Q187="Reprovado","Reprovado",IF(D187="Operacional", WORKDAY(N187,10,FERIADOS!$A$3:$A$119),IF(D187="Óleo - Enxofre", "NA", G187+3)))),"")</f>
        <v>46073</v>
      </c>
      <c r="P187" s="21">
        <v>46063</v>
      </c>
      <c r="Q187" s="7" t="s">
        <v>37</v>
      </c>
      <c r="R187" s="13"/>
      <c r="S187" s="30"/>
      <c r="T187" s="34"/>
      <c r="W187" t="str">
        <f t="shared" si="80"/>
        <v>CDMT75-AX-1139 (Injection Gas)</v>
      </c>
      <c r="X18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8" spans="1:24" ht="12.5" x14ac:dyDescent="0.25">
      <c r="A188" s="19"/>
      <c r="B188" s="19" t="s">
        <v>34</v>
      </c>
      <c r="C188" s="5" t="s">
        <v>284</v>
      </c>
      <c r="D188" s="20" t="s">
        <v>267</v>
      </c>
      <c r="E188" s="36"/>
      <c r="F188" s="29" cm="1">
        <f t="array" ref="F188">IF(V188 &lt;&gt; "", V188,
  IF(NOT(ISERROR(SEARCH("Poço", D188))),
    IF(G188 = "", "", G188),
    IFERROR(_xlfn.SINGLE(INDEX($G$1:G187, SUMPRODUCT(MAX(($W$1:W187 = W188) * ROW($W$1:W187))))) +
      IF(
      D188 = "Fiscal", 30,
        IF(D188 = "Óleo - Densidade", IF(OR(B188 = "SEP", B188 = "ATD", B188 = "ADG"), 90, 365),
          IF(D188 = "Óleo - Enxofre", 365, 180)
        )
      ),
      ""
    )
  )
)</f>
        <v>46188</v>
      </c>
      <c r="G188" s="21"/>
      <c r="H188" s="15" t="str">
        <f t="shared" si="77"/>
        <v>Erro</v>
      </c>
      <c r="I188" s="15"/>
      <c r="J188" s="15"/>
      <c r="K188" s="15" t="str">
        <f t="shared" si="78"/>
        <v>Erro</v>
      </c>
      <c r="L188" s="15"/>
      <c r="M188" s="15" t="str">
        <f t="shared" si="79"/>
        <v>Erro</v>
      </c>
      <c r="N188" s="13"/>
      <c r="O188" s="2" t="str">
        <f>IF(ISERROR(SEARCH("Poço",D188)),IF(N188="","Erro",IF(Q188="Reprovado","Reprovado",IF(D188="Operacional", WORKDAY(N188,10,FERIADOS!$A$3:$A$119),IF(D188="Óleo - Enxofre", "NA", G188+3)))),"")</f>
        <v>Erro</v>
      </c>
      <c r="P188" s="21"/>
      <c r="Q188" s="7"/>
      <c r="R188" s="13"/>
      <c r="S188" s="30"/>
      <c r="T188" s="34"/>
      <c r="W188" t="str">
        <f t="shared" si="80"/>
        <v>CDST75-AX-1139 (Injection Gas)</v>
      </c>
      <c r="X18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89" spans="1:24" ht="12.5" x14ac:dyDescent="0.25">
      <c r="A189" s="8"/>
      <c r="B189" s="8" t="s">
        <v>145</v>
      </c>
      <c r="C189" s="5" t="s">
        <v>310</v>
      </c>
      <c r="D189" s="9" t="s">
        <v>267</v>
      </c>
      <c r="E189" s="36"/>
      <c r="F189" s="29" cm="1">
        <f t="array" ref="F189">IF(V189 &lt;&gt; "", V189,
  IF(NOT(ISERROR(SEARCH("Poço", D189))),
    IF(G189 = "", "", G189),
    IFERROR(_xlfn.SINGLE(INDEX($G$1:G188, SUMPRODUCT(MAX(($W$1:W188 = W189) * ROW($W$1:W188))))) +
      IF(
      D189 = "Fiscal", 30,
        IF(D189 = "Óleo - Densidade", IF(OR(B189 = "SEP", B189 = "ATD", B189 = "ADG"), 90, 365),
          IF(D189 = "Óleo - Enxofre", 365, 180)
        )
      ),
      ""
    )
  )
)</f>
        <v>46193</v>
      </c>
      <c r="G189" s="13"/>
      <c r="H189" s="15" t="str">
        <f t="shared" ref="H189:H195" si="81">IF(G189="","Erro",IF(D189="Óleo - Densidade", "NA", G189+10))</f>
        <v>Erro</v>
      </c>
      <c r="I189" s="15"/>
      <c r="J189" s="15"/>
      <c r="K189" s="15" t="str">
        <f t="shared" ref="K189:K195" si="82">IF(G189="","Erro",IF(D189="Óleo - Densidade", "NA", G189+20))</f>
        <v>Erro</v>
      </c>
      <c r="L189" s="15"/>
      <c r="M189" s="15" t="str">
        <f t="shared" ref="M189:M195" si="83">IF(G189="","Erro",G189+IF(D189="Fiscal",25,IF(D189="Óleo - Densidade", 1, IF(D189="Óleo - Enxofre", 25, 45))))</f>
        <v>Erro</v>
      </c>
      <c r="N189" s="13"/>
      <c r="O189" s="2" t="str">
        <f>IF(ISERROR(SEARCH("Poço",D189)),IF(N189="","Erro",IF(Q189="Reprovado","Reprovado",IF(D189="Operacional", WORKDAY(N189,10,FERIADOS!$A$3:$A$119),IF(D189="Óleo - Enxofre", "NA", G189+3)))),"")</f>
        <v>Erro</v>
      </c>
      <c r="P189" s="13"/>
      <c r="Q189" s="7"/>
      <c r="R189" s="13"/>
      <c r="S189" s="30"/>
      <c r="T189" s="34"/>
      <c r="W189" t="str">
        <f t="shared" ref="W189:W195" si="84">B189&amp;C189</f>
        <v>ATD771-AP-0712B (FWKO Drum B)</v>
      </c>
      <c r="X18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0" spans="1:24" ht="12.5" x14ac:dyDescent="0.25">
      <c r="A190" s="8"/>
      <c r="B190" s="8" t="s">
        <v>145</v>
      </c>
      <c r="C190" s="5" t="s">
        <v>311</v>
      </c>
      <c r="D190" s="9" t="s">
        <v>267</v>
      </c>
      <c r="E190" s="36"/>
      <c r="F190" s="29" cm="1">
        <f t="array" ref="F190">IF(V190 &lt;&gt; "", V190,
  IF(NOT(ISERROR(SEARCH("Poço", D190))),
    IF(G190 = "", "", G190),
    IFERROR(_xlfn.SINGLE(INDEX($G$1:G189, SUMPRODUCT(MAX(($W$1:W189 = W190) * ROW($W$1:W189))))) +
      IF(
      D190 = "Fiscal", 30,
        IF(D190 = "Óleo - Densidade", IF(OR(B190 = "SEP", B190 = "ATD", B190 = "ADG"), 90, 365),
          IF(D190 = "Óleo - Enxofre", 365, 180)
        )
      ),
      ""
    )
  )
)</f>
        <v>46193</v>
      </c>
      <c r="G190" s="13"/>
      <c r="H190" s="15" t="str">
        <f t="shared" si="81"/>
        <v>Erro</v>
      </c>
      <c r="I190" s="15"/>
      <c r="J190" s="15"/>
      <c r="K190" s="15" t="str">
        <f t="shared" si="82"/>
        <v>Erro</v>
      </c>
      <c r="L190" s="15"/>
      <c r="M190" s="15" t="str">
        <f t="shared" si="83"/>
        <v>Erro</v>
      </c>
      <c r="N190" s="13"/>
      <c r="O190" s="2" t="str">
        <f>IF(ISERROR(SEARCH("Poço",D190)),IF(N190="","Erro",IF(Q190="Reprovado","Reprovado",IF(D190="Operacional", WORKDAY(N190,10,FERIADOS!$A$3:$A$119),IF(D190="Óleo - Enxofre", "NA", G190+3)))),"")</f>
        <v>Erro</v>
      </c>
      <c r="P190" s="13"/>
      <c r="Q190" s="7"/>
      <c r="R190" s="13"/>
      <c r="S190" s="30"/>
      <c r="T190" s="34"/>
      <c r="W190" t="str">
        <f t="shared" si="84"/>
        <v>ATD771-AP-0202B (IP Degasser B)</v>
      </c>
      <c r="X19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1" spans="1:24" ht="12.5" x14ac:dyDescent="0.25">
      <c r="A191" s="8"/>
      <c r="B191" s="8" t="s">
        <v>145</v>
      </c>
      <c r="C191" s="5" t="s">
        <v>312</v>
      </c>
      <c r="D191" s="9" t="s">
        <v>267</v>
      </c>
      <c r="E191" s="36"/>
      <c r="F191" s="29" cm="1">
        <f t="array" ref="F191">IF(V191 &lt;&gt; "", V191,
  IF(NOT(ISERROR(SEARCH("Poço", D191))),
    IF(G191 = "", "", G191),
    IFERROR(_xlfn.SINGLE(INDEX($G$1:G190, SUMPRODUCT(MAX(($W$1:W190 = W191) * ROW($W$1:W190))))) +
      IF(
      D191 = "Fiscal", 30,
        IF(D191 = "Óleo - Densidade", IF(OR(B191 = "SEP", B191 = "ATD", B191 = "ADG"), 90, 365),
          IF(D191 = "Óleo - Enxofre", 365, 180)
        )
      ),
      ""
    )
  )
)</f>
        <v>46193</v>
      </c>
      <c r="G191" s="13"/>
      <c r="H191" s="15" t="str">
        <f t="shared" si="81"/>
        <v>Erro</v>
      </c>
      <c r="I191" s="15"/>
      <c r="J191" s="15"/>
      <c r="K191" s="15" t="str">
        <f t="shared" si="82"/>
        <v>Erro</v>
      </c>
      <c r="L191" s="15"/>
      <c r="M191" s="15" t="str">
        <f t="shared" si="83"/>
        <v>Erro</v>
      </c>
      <c r="N191" s="13"/>
      <c r="O191" s="2" t="str">
        <f>IF(ISERROR(SEARCH("Poço",D191)),IF(N191="","Erro",IF(Q191="Reprovado","Reprovado",IF(D191="Operacional", WORKDAY(N191,10,FERIADOS!$A$3:$A$119),IF(D191="Óleo - Enxofre", "NA", G191+3)))),"")</f>
        <v>Erro</v>
      </c>
      <c r="P191" s="13"/>
      <c r="Q191" s="7"/>
      <c r="R191" s="13"/>
      <c r="S191" s="30"/>
      <c r="T191" s="34"/>
      <c r="W191" t="str">
        <f t="shared" si="84"/>
        <v>ATD771-AP-0253B (LP Degasser B)</v>
      </c>
      <c r="X19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2" spans="1:24" ht="12.5" x14ac:dyDescent="0.25">
      <c r="A192" s="8"/>
      <c r="B192" s="8" t="s">
        <v>145</v>
      </c>
      <c r="C192" s="5" t="s">
        <v>305</v>
      </c>
      <c r="D192" s="9" t="s">
        <v>267</v>
      </c>
      <c r="E192" s="36"/>
      <c r="F192" s="29" cm="1">
        <f t="array" ref="F192">IF(V192 &lt;&gt; "", V192,
  IF(NOT(ISERROR(SEARCH("Poço", D192))),
    IF(G192 = "", "", G192),
    IFERROR(_xlfn.SINGLE(INDEX($G$1:G191, SUMPRODUCT(MAX(($W$1:W191 = W192) * ROW($W$1:W191))))) +
      IF(
      D192 = "Fiscal", 30,
        IF(D192 = "Óleo - Densidade", IF(OR(B192 = "SEP", B192 = "ATD", B192 = "ADG"), 90, 365),
          IF(D192 = "Óleo - Enxofre", 365, 180)
        )
      ),
      ""
    )
  )
)</f>
        <v>46193</v>
      </c>
      <c r="G192" s="13"/>
      <c r="H192" s="15" t="str">
        <f t="shared" si="81"/>
        <v>Erro</v>
      </c>
      <c r="I192" s="15"/>
      <c r="J192" s="15"/>
      <c r="K192" s="15" t="str">
        <f t="shared" si="82"/>
        <v>Erro</v>
      </c>
      <c r="L192" s="15"/>
      <c r="M192" s="15" t="str">
        <f t="shared" si="83"/>
        <v>Erro</v>
      </c>
      <c r="N192" s="13"/>
      <c r="O192" s="2" t="str">
        <f>IF(ISERROR(SEARCH("Poço",D192)),IF(N192="","Erro",IF(Q192="Reprovado","Reprovado",IF(D192="Operacional", WORKDAY(N192,10,FERIADOS!$A$3:$A$119),IF(D192="Óleo - Enxofre", "NA", G192+3)))),"")</f>
        <v>Erro</v>
      </c>
      <c r="P192" s="13"/>
      <c r="Q192" s="7"/>
      <c r="R192" s="13"/>
      <c r="S192" s="30"/>
      <c r="T192" s="34"/>
      <c r="W192" t="str">
        <f t="shared" si="84"/>
        <v>ATD771-AP-0202A (IP Degasser A)</v>
      </c>
      <c r="X19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3" spans="1:24" ht="12.5" x14ac:dyDescent="0.25">
      <c r="A193" s="8"/>
      <c r="B193" s="8" t="s">
        <v>145</v>
      </c>
      <c r="C193" s="5" t="s">
        <v>306</v>
      </c>
      <c r="D193" s="9" t="s">
        <v>267</v>
      </c>
      <c r="E193" s="36"/>
      <c r="F193" s="29" cm="1">
        <f t="array" ref="F193">IF(V193 &lt;&gt; "", V193,
  IF(NOT(ISERROR(SEARCH("Poço", D193))),
    IF(G193 = "", "", G193),
    IFERROR(_xlfn.SINGLE(INDEX($G$1:G192, SUMPRODUCT(MAX(($W$1:W192 = W193) * ROW($W$1:W192))))) +
      IF(
      D193 = "Fiscal", 30,
        IF(D193 = "Óleo - Densidade", IF(OR(B193 = "SEP", B193 = "ATD", B193 = "ADG"), 90, 365),
          IF(D193 = "Óleo - Enxofre", 365, 180)
        )
      ),
      ""
    )
  )
)</f>
        <v>46193</v>
      </c>
      <c r="G193" s="13"/>
      <c r="H193" s="15" t="str">
        <f t="shared" si="81"/>
        <v>Erro</v>
      </c>
      <c r="I193" s="15"/>
      <c r="J193" s="15"/>
      <c r="K193" s="15" t="str">
        <f t="shared" si="82"/>
        <v>Erro</v>
      </c>
      <c r="L193" s="15"/>
      <c r="M193" s="15" t="str">
        <f t="shared" si="83"/>
        <v>Erro</v>
      </c>
      <c r="N193" s="13"/>
      <c r="O193" s="2" t="str">
        <f>IF(ISERROR(SEARCH("Poço",D193)),IF(N193="","Erro",IF(Q193="Reprovado","Reprovado",IF(D193="Operacional", WORKDAY(N193,10,FERIADOS!$A$3:$A$119),IF(D193="Óleo - Enxofre", "NA", G193+3)))),"")</f>
        <v>Erro</v>
      </c>
      <c r="P193" s="13"/>
      <c r="Q193" s="7"/>
      <c r="R193" s="13"/>
      <c r="S193" s="30"/>
      <c r="T193" s="34"/>
      <c r="W193" t="str">
        <f t="shared" si="84"/>
        <v>ATD771-AP-0253A (LP Degasser A)</v>
      </c>
      <c r="X19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4" spans="1:24" ht="12.5" x14ac:dyDescent="0.25">
      <c r="A194" s="8"/>
      <c r="B194" s="8" t="s">
        <v>145</v>
      </c>
      <c r="C194" s="5" t="s">
        <v>288</v>
      </c>
      <c r="D194" s="9" t="s">
        <v>267</v>
      </c>
      <c r="E194" s="36"/>
      <c r="F194" s="29" cm="1">
        <f t="array" ref="F194">IF(V194 &lt;&gt; "", V194,
  IF(NOT(ISERROR(SEARCH("Poço", D194))),
    IF(G194 = "", "", G194),
    IFERROR(_xlfn.SINGLE(INDEX($G$1:G193, SUMPRODUCT(MAX(($W$1:W193 = W194) * ROW($W$1:W193))))) +
      IF(
      D194 = "Fiscal", 30,
        IF(D194 = "Óleo - Densidade", IF(OR(B194 = "SEP", B194 = "ATD", B194 = "ADG"), 90, 365),
          IF(D194 = "Óleo - Enxofre", 365, 180)
        )
      ),
      ""
    )
  )
)</f>
        <v>46193</v>
      </c>
      <c r="G194" s="13"/>
      <c r="H194" s="15" t="str">
        <f t="shared" si="81"/>
        <v>Erro</v>
      </c>
      <c r="I194" s="15"/>
      <c r="J194" s="15"/>
      <c r="K194" s="15" t="str">
        <f t="shared" si="82"/>
        <v>Erro</v>
      </c>
      <c r="L194" s="15"/>
      <c r="M194" s="15" t="str">
        <f t="shared" si="83"/>
        <v>Erro</v>
      </c>
      <c r="N194" s="13"/>
      <c r="O194" s="2" t="str">
        <f>IF(ISERROR(SEARCH("Poço",D194)),IF(N194="","Erro",IF(Q194="Reprovado","Reprovado",IF(D194="Operacional", WORKDAY(N194,10,FERIADOS!$A$3:$A$119),IF(D194="Óleo - Enxofre", "NA", G194+3)))),"")</f>
        <v>Erro</v>
      </c>
      <c r="P194" s="13"/>
      <c r="Q194" s="7"/>
      <c r="R194" s="13"/>
      <c r="S194" s="30"/>
      <c r="T194" s="34"/>
      <c r="W194" t="str">
        <f t="shared" si="84"/>
        <v>ATD772-AP-1710 (Gas Dehydration)</v>
      </c>
      <c r="X19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5" spans="1:24" ht="12.5" x14ac:dyDescent="0.25">
      <c r="A195" s="8"/>
      <c r="B195" s="8" t="s">
        <v>145</v>
      </c>
      <c r="C195" s="5" t="s">
        <v>313</v>
      </c>
      <c r="D195" s="9" t="s">
        <v>267</v>
      </c>
      <c r="E195" s="36"/>
      <c r="F195" s="29" cm="1">
        <f t="array" ref="F195">IF(V195 &lt;&gt; "", V195,
  IF(NOT(ISERROR(SEARCH("Poço", D195))),
    IF(G195 = "", "", G195),
    IFERROR(_xlfn.SINGLE(INDEX($G$1:G194, SUMPRODUCT(MAX(($W$1:W194 = W195) * ROW($W$1:W194))))) +
      IF(
      D195 = "Fiscal", 30,
        IF(D195 = "Óleo - Densidade", IF(OR(B195 = "SEP", B195 = "ATD", B195 = "ADG"), 90, 365),
          IF(D195 = "Óleo - Enxofre", 365, 180)
        )
      ),
      ""
    )
  )
)</f>
        <v>46193</v>
      </c>
      <c r="G195" s="13"/>
      <c r="H195" s="15" t="str">
        <f t="shared" si="81"/>
        <v>Erro</v>
      </c>
      <c r="I195" s="15"/>
      <c r="J195" s="15"/>
      <c r="K195" s="15" t="str">
        <f t="shared" si="82"/>
        <v>Erro</v>
      </c>
      <c r="L195" s="15"/>
      <c r="M195" s="15" t="str">
        <f t="shared" si="83"/>
        <v>Erro</v>
      </c>
      <c r="N195" s="13"/>
      <c r="O195" s="2" t="str">
        <f>IF(ISERROR(SEARCH("Poço",D195)),IF(N195="","Erro",IF(Q195="Reprovado","Reprovado",IF(D195="Operacional", WORKDAY(N195,10,FERIADOS!$A$3:$A$119),IF(D195="Óleo - Enxofre", "NA", G195+3)))),"")</f>
        <v>Erro</v>
      </c>
      <c r="P195" s="13"/>
      <c r="Q195" s="7"/>
      <c r="R195" s="13"/>
      <c r="S195" s="30"/>
      <c r="T195" s="34"/>
      <c r="W195" t="str">
        <f t="shared" si="84"/>
        <v>ATD775-AP-6008 (Gas Injection)</v>
      </c>
      <c r="X195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6" spans="1:24" ht="12.5" x14ac:dyDescent="0.25">
      <c r="A196" s="19"/>
      <c r="B196" s="19" t="s">
        <v>192</v>
      </c>
      <c r="C196" s="5" t="s">
        <v>316</v>
      </c>
      <c r="D196" s="20" t="s">
        <v>267</v>
      </c>
      <c r="E196" s="36"/>
      <c r="F196" s="29" cm="1">
        <f t="array" ref="F196">IF(V196 &lt;&gt; "", V196,
  IF(NOT(ISERROR(SEARCH("Poço", D196))),
    IF(G196 = "", "", G196),
    IFERROR(_xlfn.SINGLE(INDEX($G$1:G195, SUMPRODUCT(MAX(($W$1:W195 = W196) * ROW($W$1:W195))))) +
      IF(
      D196 = "Fiscal", 30,
        IF(D196 = "Óleo - Densidade", IF(OR(B196 = "SEP", B196 = "ATD", B196 = "ADG"), 90, 365),
          IF(D196 = "Óleo - Enxofre", 365, 180)
        )
      ),
      ""
    )
  )
)</f>
        <v>46208</v>
      </c>
      <c r="G196" s="21"/>
      <c r="H196" s="15" t="str">
        <f t="shared" ref="H196:H203" si="85">IF(G196="","Erro",IF(D196="Óleo - Densidade", "NA", G196+10))</f>
        <v>Erro</v>
      </c>
      <c r="I196" s="15"/>
      <c r="J196" s="15"/>
      <c r="K196" s="15" t="str">
        <f t="shared" ref="K196:K203" si="86">IF(G196="","Erro",IF(D196="Óleo - Densidade", "NA", G196+20))</f>
        <v>Erro</v>
      </c>
      <c r="L196" s="15"/>
      <c r="M196" s="15" t="str">
        <f t="shared" ref="M196:M203" si="87">IF(G196="","Erro",G196+IF(D196="Fiscal",25,IF(D196="Óleo - Densidade", 1, IF(D196="Óleo - Enxofre", 25, 45))))</f>
        <v>Erro</v>
      </c>
      <c r="N196" s="13"/>
      <c r="O196" s="2" t="str">
        <f>IF(ISERROR(SEARCH("Poço",D196)),IF(N196="","Erro",IF(Q196="Reprovado","Reprovado",IF(D196="Operacional", WORKDAY(N196,10,FERIADOS!$A$3:$A$119),IF(D196="Óleo - Enxofre", "NA", G196+3)))),"")</f>
        <v>Erro</v>
      </c>
      <c r="P196" s="21"/>
      <c r="Q196" s="7"/>
      <c r="R196" s="13"/>
      <c r="S196" s="30"/>
      <c r="T196" s="34"/>
      <c r="W196" t="str">
        <f t="shared" ref="W196:W203" si="88">B196&amp;C196</f>
        <v>ADG775-AP-6014 (Gas Injection)</v>
      </c>
      <c r="X196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7" spans="1:24" ht="12.5" x14ac:dyDescent="0.25">
      <c r="A197" s="19"/>
      <c r="B197" s="19" t="s">
        <v>46</v>
      </c>
      <c r="C197" s="5" t="s">
        <v>284</v>
      </c>
      <c r="D197" s="20" t="s">
        <v>267</v>
      </c>
      <c r="E197" s="35"/>
      <c r="F197" s="29" cm="1">
        <f t="array" ref="F197">IF(V197 &lt;&gt; "", V197,
  IF(NOT(ISERROR(SEARCH("Poço", D197))),
    IF(G197 = "", "", G197),
    IFERROR(_xlfn.SINGLE(INDEX($G$1:G196, SUMPRODUCT(MAX(($W$1:W196 = W197) * ROW($W$1:W196))))) +
      IF(
      D197 = "Fiscal", 30,
        IF(D197 = "Óleo - Densidade", IF(OR(B197 = "SEP", B197 = "ATD", B197 = "ADG"), 90, 365),
          IF(D197 = "Óleo - Enxofre", 365, 180)
        )
      ),
      ""
    )
  )
)</f>
        <v>46215</v>
      </c>
      <c r="G197" s="21">
        <v>46064</v>
      </c>
      <c r="H197" s="15">
        <f t="shared" si="85"/>
        <v>46074</v>
      </c>
      <c r="I197" s="15"/>
      <c r="J197" s="15"/>
      <c r="K197" s="15">
        <f t="shared" si="86"/>
        <v>46084</v>
      </c>
      <c r="L197" s="15"/>
      <c r="M197" s="15">
        <f t="shared" si="87"/>
        <v>46109</v>
      </c>
      <c r="N197" s="13"/>
      <c r="O197" s="2" t="str">
        <f>IF(ISERROR(SEARCH("Poço",D197)),IF(N197="","Erro",IF(Q197="Reprovado","Reprovado",IF(D197="Operacional", WORKDAY(N197,10,FERIADOS!$A$3:$A$119),IF(D197="Óleo - Enxofre", "NA", G197+3)))),"")</f>
        <v>Erro</v>
      </c>
      <c r="P197" s="21"/>
      <c r="Q197" s="7"/>
      <c r="R197" s="13"/>
      <c r="S197" s="30"/>
      <c r="T197" s="34"/>
      <c r="W197" t="str">
        <f t="shared" si="88"/>
        <v>CDMT75-AX-1139 (Injection Gas)</v>
      </c>
      <c r="X197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8" spans="1:24" ht="12.75" customHeight="1" x14ac:dyDescent="0.25">
      <c r="A198" s="19"/>
      <c r="B198" s="19" t="s">
        <v>52</v>
      </c>
      <c r="C198" s="5" t="s">
        <v>281</v>
      </c>
      <c r="D198" s="20" t="s">
        <v>267</v>
      </c>
      <c r="E198" s="35"/>
      <c r="F198" s="29" cm="1">
        <f t="array" ref="F198">IF(V198 &lt;&gt; "", V198,
  IF(NOT(ISERROR(SEARCH("Poço", D198))),
    IF(G198 = "", "", G198),
    IFERROR(_xlfn.SINGLE(INDEX($G$1:G197, SUMPRODUCT(MAX(($W$1:W197 = W198) * ROW($W$1:W197))))) +
      IF(
      D198 = "Fiscal", 30,
        IF(D198 = "Óleo - Densidade", IF(OR(B198 = "SEP", B198 = "ATD", B198 = "ADG"), 90, 365),
          IF(D198 = "Óleo - Enxofre", 365, 180)
        )
      ),
      ""
    )
  )
)</f>
        <v>46227</v>
      </c>
      <c r="G198" s="21"/>
      <c r="H198" s="15" t="str">
        <f t="shared" si="85"/>
        <v>Erro</v>
      </c>
      <c r="I198" s="15"/>
      <c r="J198" s="15"/>
      <c r="K198" s="15" t="str">
        <f t="shared" si="86"/>
        <v>Erro</v>
      </c>
      <c r="L198" s="15"/>
      <c r="M198" s="15" t="str">
        <f t="shared" si="87"/>
        <v>Erro</v>
      </c>
      <c r="N198" s="13"/>
      <c r="O198" s="2" t="str">
        <f>IF(ISERROR(SEARCH("Poço",D198)),IF(N198="","Erro",IF(Q198="Reprovado","Reprovado",IF(D198="Operacional", WORKDAY(N198,10,FERIADOS!$A$3:$A$119),IF(D198="Óleo - Enxofre", "NA", G198+3)))),"")</f>
        <v>Erro</v>
      </c>
      <c r="P198" s="21"/>
      <c r="Q198" s="7"/>
      <c r="R198" s="13"/>
      <c r="S198" s="30"/>
      <c r="T198" s="34"/>
      <c r="W198" t="str">
        <f t="shared" si="88"/>
        <v>SEP775-AP-6008 (Gas de Injeção)</v>
      </c>
      <c r="X198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199" spans="1:24" ht="12.75" customHeight="1" x14ac:dyDescent="0.25">
      <c r="A199" s="19"/>
      <c r="B199" s="19" t="s">
        <v>52</v>
      </c>
      <c r="C199" s="5" t="s">
        <v>302</v>
      </c>
      <c r="D199" s="20" t="s">
        <v>303</v>
      </c>
      <c r="E199" s="35"/>
      <c r="F199" s="29" cm="1">
        <f t="array" ref="F199">IF(V199 &lt;&gt; "", V199,
  IF(NOT(ISERROR(SEARCH("Poço", D199))),
    IF(G199 = "", "", G199),
    IFERROR(_xlfn.SINGLE(INDEX($G$1:G198, SUMPRODUCT(MAX(($W$1:W198 = W199) * ROW($W$1:W198))))) +
      IF(
      D199 = "Fiscal", 30,
        IF(D199 = "Óleo - Densidade", IF(OR(B199 = "SEP", B199 = "ATD", B199 = "ADG"), 90, 365),
          IF(D199 = "Óleo - Enxofre", 365, 180)
        )
      ),
      ""
    )
  )
)</f>
        <v>46137</v>
      </c>
      <c r="G199" s="21"/>
      <c r="H199" s="15" t="str">
        <f t="shared" si="85"/>
        <v>Erro</v>
      </c>
      <c r="I199" s="15"/>
      <c r="J199" s="15"/>
      <c r="K199" s="15" t="str">
        <f t="shared" si="86"/>
        <v>Erro</v>
      </c>
      <c r="L199" s="15"/>
      <c r="M199" s="15" t="str">
        <f t="shared" si="87"/>
        <v>Erro</v>
      </c>
      <c r="N199" s="13"/>
      <c r="O199" s="2" t="str">
        <f>IF(ISERROR(SEARCH("Poço",D199)),IF(N199="","Erro",IF(Q199="Reprovado","Reprovado",IF(D199="Operacional", WORKDAY(N199,10,FERIADOS!$A$3:$A$119),IF(D199="Óleo - Enxofre", "NA", G199+3)))),"")</f>
        <v>Erro</v>
      </c>
      <c r="P199" s="21"/>
      <c r="Q199" s="7"/>
      <c r="R199" s="13"/>
      <c r="S199" s="30"/>
      <c r="T199" s="34"/>
      <c r="W199" t="str">
        <f t="shared" si="88"/>
        <v>SEP662-AP-0162 (FWKO Drum)</v>
      </c>
      <c r="X199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0" spans="1:24" ht="12.75" customHeight="1" x14ac:dyDescent="0.25">
      <c r="A200" s="19"/>
      <c r="B200" s="19" t="s">
        <v>31</v>
      </c>
      <c r="C200" s="5" t="s">
        <v>285</v>
      </c>
      <c r="D200" s="20" t="s">
        <v>267</v>
      </c>
      <c r="E200" s="35"/>
      <c r="F200" s="29" cm="1">
        <f t="array" ref="F200">IF(V200 &lt;&gt; "", V200,
  IF(NOT(ISERROR(SEARCH("Poço", D200))),
    IF(G200 = "", "", G200),
    IFERROR(_xlfn.SINGLE(INDEX($G$1:G199, SUMPRODUCT(MAX(($W$1:W199 = W200) * ROW($W$1:W199))))) +
      IF(
      D200 = "Fiscal", 30,
        IF(D200 = "Óleo - Densidade", IF(OR(B200 = "SEP", B200 = "ATD", B200 = "ADG"), 90, 365),
          IF(D200 = "Óleo - Enxofre", 365, 180)
        )
      ),
      ""
    )
  )
)</f>
        <v>46226</v>
      </c>
      <c r="G200" s="21"/>
      <c r="H200" s="15" t="str">
        <f t="shared" si="85"/>
        <v>Erro</v>
      </c>
      <c r="I200" s="15"/>
      <c r="J200" s="15"/>
      <c r="K200" s="15" t="str">
        <f t="shared" si="86"/>
        <v>Erro</v>
      </c>
      <c r="L200" s="15"/>
      <c r="M200" s="15" t="str">
        <f t="shared" si="87"/>
        <v>Erro</v>
      </c>
      <c r="N200" s="13"/>
      <c r="O200" s="2" t="str">
        <f>IF(ISERROR(SEARCH("Poço",D200)),IF(N200="","Erro",IF(Q200="Reprovado","Reprovado",IF(D200="Operacional", WORKDAY(N200,10,FERIADOS!$A$3:$A$119),IF(D200="Óleo - Enxofre", "NA", G200+3)))),"")</f>
        <v>Erro</v>
      </c>
      <c r="P200" s="21"/>
      <c r="Q200" s="7"/>
      <c r="R200" s="13"/>
      <c r="S200" s="30"/>
      <c r="T200" s="34"/>
      <c r="W200" t="str">
        <f t="shared" si="88"/>
        <v>CDIT71-AX-0102 (HP Separator)</v>
      </c>
      <c r="X200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1" spans="1:24" ht="12.75" customHeight="1" x14ac:dyDescent="0.25">
      <c r="A201" s="19"/>
      <c r="B201" s="19" t="s">
        <v>31</v>
      </c>
      <c r="C201" s="5" t="s">
        <v>290</v>
      </c>
      <c r="D201" s="20" t="s">
        <v>267</v>
      </c>
      <c r="E201" s="35"/>
      <c r="F201" s="29" cm="1">
        <f t="array" ref="F201">IF(V201 &lt;&gt; "", V201,
  IF(NOT(ISERROR(SEARCH("Poço", D201))),
    IF(G201 = "", "", G201),
    IFERROR(_xlfn.SINGLE(INDEX($G$1:G200, SUMPRODUCT(MAX(($W$1:W200 = W201) * ROW($W$1:W200))))) +
      IF(
      D201 = "Fiscal", 30,
        IF(D201 = "Óleo - Densidade", IF(OR(B201 = "SEP", B201 = "ATD", B201 = "ADG"), 90, 365),
          IF(D201 = "Óleo - Enxofre", 365, 180)
        )
      ),
      ""
    )
  )
)</f>
        <v>46226</v>
      </c>
      <c r="G201" s="21"/>
      <c r="H201" s="15" t="str">
        <f t="shared" si="85"/>
        <v>Erro</v>
      </c>
      <c r="I201" s="15"/>
      <c r="J201" s="15"/>
      <c r="K201" s="15" t="str">
        <f t="shared" si="86"/>
        <v>Erro</v>
      </c>
      <c r="L201" s="15"/>
      <c r="M201" s="15" t="str">
        <f t="shared" si="87"/>
        <v>Erro</v>
      </c>
      <c r="N201" s="13"/>
      <c r="O201" s="2" t="str">
        <f>IF(ISERROR(SEARCH("Poço",D201)),IF(N201="","Erro",IF(Q201="Reprovado","Reprovado",IF(D201="Operacional", WORKDAY(N201,10,FERIADOS!$A$3:$A$119),IF(D201="Óleo - Enxofre", "NA", G201+3)))),"")</f>
        <v>Erro</v>
      </c>
      <c r="P201" s="21"/>
      <c r="Q201" s="7"/>
      <c r="R201" s="13"/>
      <c r="S201" s="30"/>
      <c r="T201" s="34"/>
      <c r="W201" t="str">
        <f t="shared" si="88"/>
        <v>CDIT71-AX-0402 (LP Degasser)</v>
      </c>
      <c r="X201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2" spans="1:24" ht="12.75" customHeight="1" x14ac:dyDescent="0.25">
      <c r="A202" s="19"/>
      <c r="B202" s="19" t="s">
        <v>31</v>
      </c>
      <c r="C202" s="5" t="s">
        <v>291</v>
      </c>
      <c r="D202" s="20" t="s">
        <v>267</v>
      </c>
      <c r="E202" s="35"/>
      <c r="F202" s="29" cm="1">
        <f t="array" ref="F202">IF(V202 &lt;&gt; "", V202,
  IF(NOT(ISERROR(SEARCH("Poço", D202))),
    IF(G202 = "", "", G202),
    IFERROR(_xlfn.SINGLE(INDEX($G$1:G201, SUMPRODUCT(MAX(($W$1:W201 = W202) * ROW($W$1:W201))))) +
      IF(
      D202 = "Fiscal", 30,
        IF(D202 = "Óleo - Densidade", IF(OR(B202 = "SEP", B202 = "ATD", B202 = "ADG"), 90, 365),
          IF(D202 = "Óleo - Enxofre", 365, 180)
        )
      ),
      ""
    )
  )
)</f>
        <v>46226</v>
      </c>
      <c r="G202" s="21"/>
      <c r="H202" s="15" t="str">
        <f t="shared" si="85"/>
        <v>Erro</v>
      </c>
      <c r="I202" s="15"/>
      <c r="J202" s="15"/>
      <c r="K202" s="15" t="str">
        <f t="shared" si="86"/>
        <v>Erro</v>
      </c>
      <c r="L202" s="15"/>
      <c r="M202" s="15" t="str">
        <f t="shared" si="87"/>
        <v>Erro</v>
      </c>
      <c r="N202" s="13"/>
      <c r="O202" s="2" t="str">
        <f>IF(ISERROR(SEARCH("Poço",D202)),IF(N202="","Erro",IF(Q202="Reprovado","Reprovado",IF(D202="Operacional", WORKDAY(N202,10,FERIADOS!$A$3:$A$119),IF(D202="Óleo - Enxofre", "NA", G202+3)))),"")</f>
        <v>Erro</v>
      </c>
      <c r="P202" s="21"/>
      <c r="Q202" s="7"/>
      <c r="R202" s="13"/>
      <c r="S202" s="30"/>
      <c r="T202" s="34"/>
      <c r="W202" t="str">
        <f t="shared" si="88"/>
        <v>CDIT75-AP-1139 (Injection Gas)</v>
      </c>
      <c r="X202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3" spans="1:24" ht="12.75" customHeight="1" x14ac:dyDescent="0.25">
      <c r="A203" s="19"/>
      <c r="B203" s="19" t="s">
        <v>31</v>
      </c>
      <c r="C203" s="5" t="s">
        <v>286</v>
      </c>
      <c r="D203" s="20" t="s">
        <v>267</v>
      </c>
      <c r="E203" s="35"/>
      <c r="F203" s="29" cm="1">
        <f t="array" ref="F203">IF(V203 &lt;&gt; "", V203,
  IF(NOT(ISERROR(SEARCH("Poço", D203))),
    IF(G203 = "", "", G203),
    IFERROR(_xlfn.SINGLE(INDEX($G$1:G202, SUMPRODUCT(MAX(($W$1:W202 = W203) * ROW($W$1:W202))))) +
      IF(
      D203 = "Fiscal", 30,
        IF(D203 = "Óleo - Densidade", IF(OR(B203 = "SEP", B203 = "ATD", B203 = "ADG"), 90, 365),
          IF(D203 = "Óleo - Enxofre", 365, 180)
        )
      ),
      ""
    )
  )
)</f>
        <v>46226</v>
      </c>
      <c r="G203" s="21"/>
      <c r="H203" s="15" t="str">
        <f t="shared" si="85"/>
        <v>Erro</v>
      </c>
      <c r="I203" s="15"/>
      <c r="J203" s="15"/>
      <c r="K203" s="15" t="str">
        <f t="shared" si="86"/>
        <v>Erro</v>
      </c>
      <c r="L203" s="15"/>
      <c r="M203" s="15" t="str">
        <f t="shared" si="87"/>
        <v>Erro</v>
      </c>
      <c r="N203" s="13"/>
      <c r="O203" s="2" t="str">
        <f>IF(ISERROR(SEARCH("Poço",D203)),IF(N203="","Erro",IF(Q203="Reprovado","Reprovado",IF(D203="Operacional", WORKDAY(N203,10,FERIADOS!$A$3:$A$119),IF(D203="Óleo - Enxofre", "NA", G203+3)))),"")</f>
        <v>Erro</v>
      </c>
      <c r="P203" s="21"/>
      <c r="Q203" s="7"/>
      <c r="R203" s="13"/>
      <c r="S203" s="30"/>
      <c r="T203" s="34"/>
      <c r="W203" t="str">
        <f t="shared" si="88"/>
        <v>CDIT71-AX-0202 (IP Flash Vessel)</v>
      </c>
      <c r="X203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  <row r="204" spans="1:24" ht="12.75" customHeight="1" x14ac:dyDescent="0.25">
      <c r="A204" s="19"/>
      <c r="B204" s="19" t="s">
        <v>46</v>
      </c>
      <c r="C204" s="5" t="s">
        <v>284</v>
      </c>
      <c r="D204" s="20" t="s">
        <v>267</v>
      </c>
      <c r="E204" s="35"/>
      <c r="F204" s="29" cm="1">
        <f t="array" ref="F204">IF(V204 &lt;&gt; "", V204,
  IF(NOT(ISERROR(SEARCH("Poço", D204))),
    IF(G204 = "", "", G204),
    IFERROR(_xlfn.SINGLE(INDEX($G$1:G203, SUMPRODUCT(MAX(($W$1:W203 = W204) * ROW($W$1:W203))))) +
      IF(
      D204 = "Fiscal", 30,
        IF(D204 = "Óleo - Densidade", IF(OR(B204 = "SEP", B204 = "ATD", B204 = "ADG"), 90, 365),
          IF(D204 = "Óleo - Enxofre", 365, 180)
        )
      ),
      ""
    )
  )
)</f>
        <v>46244</v>
      </c>
      <c r="G204" s="21"/>
      <c r="H204" s="15" t="str">
        <f>IF(G204="","Erro",IF(D204="Óleo - Densidade", "NA", G204+10))</f>
        <v>Erro</v>
      </c>
      <c r="I204" s="15"/>
      <c r="J204" s="15"/>
      <c r="K204" s="15" t="str">
        <f>IF(G204="","Erro",IF(D204="Óleo - Densidade", "NA", G204+20))</f>
        <v>Erro</v>
      </c>
      <c r="L204" s="15"/>
      <c r="M204" s="15" t="str">
        <f>IF(G204="","Erro",G204+IF(D204="Fiscal",25,IF(D204="Óleo - Densidade", 1, IF(D204="Óleo - Enxofre", 25, 45))))</f>
        <v>Erro</v>
      </c>
      <c r="N204" s="13"/>
      <c r="O204" s="2" t="str">
        <f>IF(ISERROR(SEARCH("Poço",D204)),IF(N204="","Erro",IF(Q204="Reprovado","Reprovado",IF(D204="Operacional", WORKDAY(N204,10,FERIADOS!$A$3:$A$119),IF(D204="Óleo - Enxofre", "NA", G204+3)))),"")</f>
        <v>Erro</v>
      </c>
      <c r="P204" s="21"/>
      <c r="Q204" s="7"/>
      <c r="R204" s="13"/>
      <c r="S204" s="30"/>
      <c r="T204" s="34"/>
      <c r="W204" t="str">
        <f>B204&amp;C204</f>
        <v>CDMT75-AX-1139 (Injection Gas)</v>
      </c>
      <c r="X204" t="str">
        <f ca="1">IF(OR(AND(tblColetas4[[#This Row],[Coleta - Prevista]]=TODAY(),tblColetas4[[#This Row],[Coleta - Realizado]]=""),AND(tblColetas4[[#This Row],[Laudo - Previsto]]=TODAY(),tblColetas4[[#This Row],[Laudo - Realizado]]=""),AND(tblColetas4[[#This Row],[CV - Previsto]]=TODAY(),tblColetas4[[#This Row],[CV - Realizado]]="")),"yes","no")</f>
        <v>no</v>
      </c>
    </row>
  </sheetData>
  <sheetProtection selectLockedCells="1"/>
  <phoneticPr fontId="4" type="noConversion"/>
  <conditionalFormatting sqref="P2:P204 G2:G204 N2:N204">
    <cfRule type="expression" dxfId="47" priority="30" stopIfTrue="1">
      <formula>G2&gt;F2</formula>
    </cfRule>
  </conditionalFormatting>
  <conditionalFormatting sqref="G2:G204 N2:P204">
    <cfRule type="expression" dxfId="46" priority="26" stopIfTrue="1">
      <formula>G2=""</formula>
    </cfRule>
  </conditionalFormatting>
  <conditionalFormatting sqref="G2:G204">
    <cfRule type="expression" dxfId="45" priority="23" stopIfTrue="1">
      <formula>AND(F2&lt;=TODAY()+7,G2="")</formula>
    </cfRule>
  </conditionalFormatting>
  <conditionalFormatting sqref="A2:E204">
    <cfRule type="expression" dxfId="44" priority="29" stopIfTrue="1">
      <formula>1</formula>
    </cfRule>
  </conditionalFormatting>
  <conditionalFormatting sqref="P2:P204">
    <cfRule type="expression" dxfId="43" priority="21">
      <formula>AND(O2&lt;=TODAY()+3,P2="",O2&lt;&gt;"")</formula>
    </cfRule>
  </conditionalFormatting>
  <conditionalFormatting sqref="F2:F204">
    <cfRule type="expression" dxfId="42" priority="104" stopIfTrue="1">
      <formula>AND($F2="",ISERROR(SEARCH("Poço",D2)))</formula>
    </cfRule>
  </conditionalFormatting>
  <conditionalFormatting sqref="Q2:Q195">
    <cfRule type="expression" dxfId="41" priority="31" stopIfTrue="1">
      <formula>Q2="Cilindro Vazio"</formula>
    </cfRule>
    <cfRule type="expression" dxfId="40" priority="102" stopIfTrue="1">
      <formula>Q2="Reprovado"</formula>
    </cfRule>
    <cfRule type="expression" dxfId="39" priority="103" stopIfTrue="1">
      <formula>Q2="Aprovado"</formula>
    </cfRule>
  </conditionalFormatting>
  <conditionalFormatting sqref="J2:J204">
    <cfRule type="expression" dxfId="38" priority="2">
      <formula>AND(I3&gt;H3,I3&lt;&gt;"")</formula>
    </cfRule>
  </conditionalFormatting>
  <conditionalFormatting sqref="N2:N204">
    <cfRule type="expression" dxfId="37" priority="146" stopIfTrue="1">
      <formula>AND(M2&lt;=TODAY()+3,N2="")</formula>
    </cfRule>
  </conditionalFormatting>
  <conditionalFormatting sqref="I2:I204 L2:L204">
    <cfRule type="expression" dxfId="36" priority="150">
      <formula>AND(I2&gt;H2, I2&lt;&gt;"")</formula>
    </cfRule>
  </conditionalFormatting>
  <dataValidations count="5">
    <dataValidation showInputMessage="1" showErrorMessage="1" sqref="R1:R204 T2:T1048576" xr:uid="{00000000-0002-0000-0100-000000000000}"/>
    <dataValidation type="list" allowBlank="1" showInputMessage="1" showErrorMessage="1" sqref="Q2:Q197" xr:uid="{00000000-0002-0000-0100-000004000000}">
      <formula1>"Aprovado,Reprovado,Cilindro Vazio,Pendente"</formula1>
    </dataValidation>
    <dataValidation type="list" allowBlank="1" showInputMessage="1" showErrorMessage="1" sqref="D2:D204" xr:uid="{00000000-0002-0000-0100-000001000000}">
      <formula1>"Operacional, Óleo - Densidade, Óleo - Enxofre"</formula1>
    </dataValidation>
    <dataValidation type="list" allowBlank="1" showInputMessage="1" showErrorMessage="1" sqref="C2:C204" xr:uid="{00000000-0002-0000-0100-000002000000}">
      <formula1>list_Pontos</formula1>
    </dataValidation>
    <dataValidation type="list" allowBlank="1" showInputMessage="1" showErrorMessage="1" sqref="A2:B204" xr:uid="{00000000-0002-0000-0100-000003000000}">
      <formula1>list_FPSOs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84" r:id="rId4" name="CDA">
              <controlPr defaultSize="0" print="0" autoFill="0" autoPict="0" macro="[0]!btnFPSO_Select">
                <anchor moveWithCells="1" sizeWithCells="1">
                  <from>
                    <xdr:col>1</xdr:col>
                    <xdr:colOff>146050</xdr:colOff>
                    <xdr:row>0</xdr:row>
                    <xdr:rowOff>69850</xdr:rowOff>
                  </from>
                  <to>
                    <xdr:col>2</xdr:col>
                    <xdr:colOff>76200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5" r:id="rId5" name="CDP">
              <controlPr defaultSize="0" print="0" autoFill="0" autoPict="0" macro="[0]!btnFPSO_Select">
                <anchor moveWithCells="1" sizeWithCells="1">
                  <from>
                    <xdr:col>2</xdr:col>
                    <xdr:colOff>190500</xdr:colOff>
                    <xdr:row>0</xdr:row>
                    <xdr:rowOff>69850</xdr:rowOff>
                  </from>
                  <to>
                    <xdr:col>2</xdr:col>
                    <xdr:colOff>723900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6" r:id="rId6" name="CDI">
              <controlPr defaultSize="0" print="0" autoFill="0" autoPict="0" macro="[0]!btnFPSO_Select">
                <anchor moveWithCells="1" sizeWithCells="1">
                  <from>
                    <xdr:col>2</xdr:col>
                    <xdr:colOff>838200</xdr:colOff>
                    <xdr:row>0</xdr:row>
                    <xdr:rowOff>69850</xdr:rowOff>
                  </from>
                  <to>
                    <xdr:col>2</xdr:col>
                    <xdr:colOff>1384300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7" r:id="rId7" name="CDM">
              <controlPr defaultSize="0" print="0" autoFill="0" autoPict="0" macro="[0]!btnFPSO_Select">
                <anchor moveWithCells="1" sizeWithCells="1">
                  <from>
                    <xdr:col>2</xdr:col>
                    <xdr:colOff>1498600</xdr:colOff>
                    <xdr:row>0</xdr:row>
                    <xdr:rowOff>69850</xdr:rowOff>
                  </from>
                  <to>
                    <xdr:col>3</xdr:col>
                    <xdr:colOff>495300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8" r:id="rId8" name="CDS">
              <controlPr defaultSize="0" print="0" autoFill="0" autoPict="0" macro="[0]!btnFPSO_Select">
                <anchor moveWithCells="1" sizeWithCells="1">
                  <from>
                    <xdr:col>3</xdr:col>
                    <xdr:colOff>609600</xdr:colOff>
                    <xdr:row>0</xdr:row>
                    <xdr:rowOff>69850</xdr:rowOff>
                  </from>
                  <to>
                    <xdr:col>3</xdr:col>
                    <xdr:colOff>1155700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9" r:id="rId9" name="Limpar">
              <controlPr defaultSize="0" print="0" autoFill="0" autoPict="0" macro="[0]!btnFPSO_Select">
                <anchor moveWithCells="1" sizeWithCells="1">
                  <from>
                    <xdr:col>5</xdr:col>
                    <xdr:colOff>95250</xdr:colOff>
                    <xdr:row>0</xdr:row>
                    <xdr:rowOff>57150</xdr:rowOff>
                  </from>
                  <to>
                    <xdr:col>5</xdr:col>
                    <xdr:colOff>628650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0" r:id="rId10" name="btnPendente1">
              <controlPr defaultSize="0" print="0" autoFill="0" autoPict="0" macro="[0]!btnPendentes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6</xdr:col>
                    <xdr:colOff>819150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1" r:id="rId11" name="btnAtraso1">
              <controlPr defaultSize="0" print="0" autoFill="0" autoPict="0" macro="[0]!btnAtrasos">
                <anchor moveWithCells="1" sizeWithCells="1">
                  <from>
                    <xdr:col>11</xdr:col>
                    <xdr:colOff>857250</xdr:colOff>
                    <xdr:row>0</xdr:row>
                    <xdr:rowOff>38100</xdr:rowOff>
                  </from>
                  <to>
                    <xdr:col>12</xdr:col>
                    <xdr:colOff>19050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2" r:id="rId12" name="btnPendente2">
              <controlPr defaultSize="0" print="0" autoFill="0" autoPict="0" macro="[0]!btnPendentes">
                <anchor moveWithCells="1" sizeWithCells="1">
                  <from>
                    <xdr:col>13</xdr:col>
                    <xdr:colOff>133350</xdr:colOff>
                    <xdr:row>0</xdr:row>
                    <xdr:rowOff>76200</xdr:rowOff>
                  </from>
                  <to>
                    <xdr:col>13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3" r:id="rId13" name="btnAtraso2">
              <controlPr defaultSize="0" print="0" autoFill="0" autoPict="0" macro="[0]!btnAtrasos">
                <anchor moveWithCells="1" sizeWithCells="1">
                  <from>
                    <xdr:col>13</xdr:col>
                    <xdr:colOff>914400</xdr:colOff>
                    <xdr:row>0</xdr:row>
                    <xdr:rowOff>76200</xdr:rowOff>
                  </from>
                  <to>
                    <xdr:col>13</xdr:col>
                    <xdr:colOff>1543050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4" r:id="rId14" name="btnPendente3">
              <controlPr defaultSize="0" print="0" autoFill="0" autoPict="0" macro="[0]!btnPendentes">
                <anchor moveWithCells="1" sizeWithCells="1">
                  <from>
                    <xdr:col>15</xdr:col>
                    <xdr:colOff>76200</xdr:colOff>
                    <xdr:row>0</xdr:row>
                    <xdr:rowOff>76200</xdr:rowOff>
                  </from>
                  <to>
                    <xdr:col>15</xdr:col>
                    <xdr:colOff>819150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5" r:id="rId15" name="btnAtraso3">
              <controlPr defaultSize="0" print="0" autoFill="0" autoPict="0" macro="[0]!btnAtrasos">
                <anchor moveWithCells="1" sizeWithCells="1">
                  <from>
                    <xdr:col>15</xdr:col>
                    <xdr:colOff>857250</xdr:colOff>
                    <xdr:row>0</xdr:row>
                    <xdr:rowOff>76200</xdr:rowOff>
                  </from>
                  <to>
                    <xdr:col>15</xdr:col>
                    <xdr:colOff>1485900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6" r:id="rId16" name="btnPendente4">
              <controlPr defaultSize="0" print="0" autoFill="0" autoPict="0" macro="[0]!btnPendenteValid">
                <anchor moveWithCells="1" sizeWithCells="1">
                  <from>
                    <xdr:col>16</xdr:col>
                    <xdr:colOff>304800</xdr:colOff>
                    <xdr:row>0</xdr:row>
                    <xdr:rowOff>76200</xdr:rowOff>
                  </from>
                  <to>
                    <xdr:col>16</xdr:col>
                    <xdr:colOff>1047750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99" r:id="rId17" name="SEP">
              <controlPr defaultSize="0" print="0" autoFill="0" autoPict="0" macro="[0]!btnFPSO_Select">
                <anchor moveWithCells="1" sizeWithCells="1">
                  <from>
                    <xdr:col>3</xdr:col>
                    <xdr:colOff>1270000</xdr:colOff>
                    <xdr:row>0</xdr:row>
                    <xdr:rowOff>69850</xdr:rowOff>
                  </from>
                  <to>
                    <xdr:col>3</xdr:col>
                    <xdr:colOff>1803400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1" r:id="rId18" name="Button 21">
              <controlPr defaultSize="0" print="0" autoFill="0" autoPict="0" macro="[0]!btnFPSO_Select">
                <anchor moveWithCells="1" sizeWithCells="1">
                  <from>
                    <xdr:col>4</xdr:col>
                    <xdr:colOff>12700</xdr:colOff>
                    <xdr:row>0</xdr:row>
                    <xdr:rowOff>69850</xdr:rowOff>
                  </from>
                  <to>
                    <xdr:col>4</xdr:col>
                    <xdr:colOff>552450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2" r:id="rId19" name="Button 22">
              <controlPr defaultSize="0" print="0" autoFill="0" autoPict="0" macro="[0]!btnFPSO_Select">
                <anchor moveWithCells="1" sizeWithCells="1">
                  <from>
                    <xdr:col>4</xdr:col>
                    <xdr:colOff>666750</xdr:colOff>
                    <xdr:row>0</xdr:row>
                    <xdr:rowOff>69850</xdr:rowOff>
                  </from>
                  <to>
                    <xdr:col>4</xdr:col>
                    <xdr:colOff>1212850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35"/>
  <sheetViews>
    <sheetView zoomScale="110" zoomScaleNormal="110" workbookViewId="0">
      <selection activeCell="A25" sqref="A25"/>
    </sheetView>
  </sheetViews>
  <sheetFormatPr defaultColWidth="18.7265625" defaultRowHeight="12.75" customHeight="1" x14ac:dyDescent="0.25"/>
  <cols>
    <col min="1" max="1" width="31.54296875" bestFit="1" customWidth="1"/>
    <col min="2" max="2" width="30.54296875" bestFit="1" customWidth="1"/>
    <col min="3" max="3" width="31" bestFit="1" customWidth="1"/>
    <col min="4" max="4" width="35.7265625" bestFit="1" customWidth="1"/>
    <col min="5" max="5" width="30.1796875" hidden="1" customWidth="1"/>
    <col min="6" max="6" width="30" hidden="1" customWidth="1"/>
    <col min="7" max="7" width="30" customWidth="1"/>
    <col min="8" max="8" width="38.7265625" bestFit="1" customWidth="1"/>
    <col min="9" max="9" width="41" bestFit="1" customWidth="1"/>
    <col min="10" max="10" width="37.1796875" bestFit="1" customWidth="1"/>
  </cols>
  <sheetData>
    <row r="1" spans="1:10" ht="12.75" customHeight="1" x14ac:dyDescent="0.25">
      <c r="A1" s="38" t="s">
        <v>34</v>
      </c>
      <c r="B1" s="38" t="s">
        <v>46</v>
      </c>
      <c r="C1" s="38" t="s">
        <v>31</v>
      </c>
      <c r="D1" s="38" t="s">
        <v>38</v>
      </c>
      <c r="E1" s="38" t="s">
        <v>317</v>
      </c>
      <c r="F1" s="38" t="s">
        <v>318</v>
      </c>
      <c r="G1" s="38" t="s">
        <v>24</v>
      </c>
      <c r="H1" s="38" t="s">
        <v>192</v>
      </c>
      <c r="I1" s="38" t="s">
        <v>145</v>
      </c>
      <c r="J1" s="38" t="s">
        <v>52</v>
      </c>
    </row>
    <row r="2" spans="1:10" ht="12.75" customHeight="1" x14ac:dyDescent="0.25">
      <c r="A2" s="39" t="str">
        <f ca="1">IF('Pontos de Coleta'!A2="","",IF(COUNTIF(INDIRECT("tblPocos["&amp;A$1&amp;"]"),'Pontos de Coleta'!A2)&gt;0,'Pontos de Coleta'!A2&amp;": Fechado",'Pontos de Coleta'!A2&amp;": "&amp;IF(COUNTIFS(Coletas!$B:$B,A$1,Coletas!$C:$C,'Pontos de Coleta'!A2,Coletas!$F:$F,"&gt;0",Coletas!$G:$G,"")+COUNTIFS(Operacionais!$B:$B,A$1,Operacionais!$C:$C,'Pontos de Coleta'!A2,Operacionais!$F:$F,"&gt;0",Operacionais!$G:$G,"")&gt;0,"Ok","Faltando")))</f>
        <v>T77-FT-0103 (Fuel Gas): Ok</v>
      </c>
      <c r="B2" s="39" t="str">
        <f ca="1">IF('Pontos de Coleta'!B2="","",IF(COUNTIF(INDIRECT("tblPocos["&amp;B$1&amp;"]"),'Pontos de Coleta'!B2)&gt;0,'Pontos de Coleta'!B2&amp;": Fechado",'Pontos de Coleta'!B2&amp;": "&amp;IF(COUNTIFS(Coletas!$B:$B,B$1,Coletas!$C:$C,'Pontos de Coleta'!B2,Coletas!$F:$F,"&gt;0",Coletas!$G:$G,"")+COUNTIFS(Operacionais!$B:$B,B$1,Operacionais!$C:$C,'Pontos de Coleta'!B2,Operacionais!$F:$F,"&gt;0",Operacionais!$G:$G,"")&gt;0,"Ok","Faltando")))</f>
        <v>T76-FT-0014 (HP Flare): Ok</v>
      </c>
      <c r="C2" s="39" t="str">
        <f ca="1">IF('Pontos de Coleta'!C2="","",IF(COUNTIF(INDIRECT("tblPocos["&amp;C$1&amp;"]"),'Pontos de Coleta'!C2)&gt;0,'Pontos de Coleta'!C2&amp;": Fechado",'Pontos de Coleta'!C2&amp;": "&amp;IF(COUNTIFS(Coletas!$B:$B,C$1,Coletas!$C:$C,'Pontos de Coleta'!C2,Coletas!$F:$F,"&gt;0",Coletas!$G:$G,"")+COUNTIFS(Operacionais!$B:$B,C$1,Operacionais!$C:$C,'Pontos de Coleta'!C2,Operacionais!$F:$F,"&gt;0",Operacionais!$G:$G,"")&gt;0,"Ok","Faltando")))</f>
        <v>T76-FT-0014 (HP Flare): Ok</v>
      </c>
      <c r="D2" s="39" t="str">
        <f ca="1">IF('Pontos de Coleta'!D2="","",IF(COUNTIF(INDIRECT("tblPocos["&amp;D$1&amp;"]"),'Pontos de Coleta'!D2)&gt;0,'Pontos de Coleta'!D2&amp;": Fechado",'Pontos de Coleta'!D2&amp;": "&amp;IF(COUNTIFS(Coletas!$B:$B,D$1,Coletas!$C:$C,'Pontos de Coleta'!D2,Coletas!$F:$F,"&gt;0",Coletas!$G:$G,"")+COUNTIFS(Operacionais!$B:$B,D$1,Operacionais!$C:$C,'Pontos de Coleta'!D2,Operacionais!$F:$F,"&gt;0",Operacionais!$G:$G,"")&gt;0,"Ok","Faltando")))</f>
        <v>T76-FT-0014 (HP Flare): Ok</v>
      </c>
      <c r="E2" s="39" t="str">
        <f ca="1">IF('Pontos de Coleta'!E2="","",IF(COUNTIF(INDIRECT("tblPocos["&amp;E$1&amp;"]"),'Pontos de Coleta'!E2)&gt;0,'Pontos de Coleta'!E2&amp;": Fechado",'Pontos de Coleta'!E2&amp;": "&amp;IF(COUNTIFS(Coletas!$B:$B,E$1,Coletas!$C:$C,'Pontos de Coleta'!E2,Coletas!$F:$F,"&gt;0",Coletas!$G:$G,"")+COUNTIFS(Operacionais!$B:$B,E$1,Operacionais!$C:$C,'Pontos de Coleta'!E2,Operacionais!$F:$F,"&gt;0",Operacionais!$G:$G,"")&gt;0,"Ok","Faltando")))</f>
        <v>T74-FX-061(Export Gas): Faltando</v>
      </c>
      <c r="F2" s="39" t="str">
        <f ca="1">IF('Pontos de Coleta'!F2="","",IF(COUNTIF(INDIRECT("tblPocos["&amp;F$1&amp;"]"),'Pontos de Coleta'!F2)&gt;0,'Pontos de Coleta'!F2&amp;": Fechado",'Pontos de Coleta'!F2&amp;": "&amp;IF(COUNTIFS(Coletas!$B:$B,F$1,Coletas!$C:$C,'Pontos de Coleta'!F2,Coletas!$F:$F,"&gt;0",Coletas!$G:$G,"")+COUNTIFS(Operacionais!$B:$B,F$1,Operacionais!$C:$C,'Pontos de Coleta'!F2,Operacionais!$F:$F,"&gt;0",Operacionais!$G:$G,"")&gt;0,"Ok","Faltando")))</f>
        <v>T77-FT-001 (Fuel Gas): Faltando</v>
      </c>
      <c r="G2" s="39" t="str">
        <f ca="1">IF('Pontos de Coleta'!G2="","",IF(COUNTIF(INDIRECT("tblPocos["&amp;G$1&amp;"]"),'Pontos de Coleta'!G2)&gt;0,'Pontos de Coleta'!G2&amp;": Fechado",'Pontos de Coleta'!G2&amp;": "&amp;IF(COUNTIFS(Coletas!$B:$B,G$1,Coletas!$C:$C,'Pontos de Coleta'!G2,Coletas!$F:$F,"&gt;0",Coletas!$G:$G,"")+COUNTIFS(Operacionais!$B:$B,G$1,Operacionais!$C:$C,'Pontos de Coleta'!G2,Operacionais!$F:$F,"&gt;0",Operacionais!$G:$G,"")&gt;0,"Ok","Faltando")))</f>
        <v>T77-FT-001 (Fuel Gas): Ok</v>
      </c>
      <c r="H2" s="39" t="str">
        <f ca="1">IF('Pontos de Coleta'!H2="","",IF(COUNTIF(INDIRECT("tblPocos["&amp;H$1&amp;"]"),'Pontos de Coleta'!H2)&gt;0,'Pontos de Coleta'!H2&amp;": Fechado",'Pontos de Coleta'!H2&amp;": "&amp;IF(COUNTIFS(Coletas!$B:$B,H$1,Coletas!$C:$C,'Pontos de Coleta'!H2,Coletas!$F:$F,"&gt;0",Coletas!$G:$G,"")+COUNTIFS(Operacionais!$B:$B,H$1,Operacionais!$C:$C,'Pontos de Coleta'!H2,Operacionais!$F:$F,"&gt;0",Operacionais!$G:$G,"")&gt;0,"Ok","Faltando")))</f>
        <v>776-AP-0006 (HP Flare): Ok</v>
      </c>
      <c r="I2" s="39" t="str">
        <f ca="1">IF('Pontos de Coleta'!I2="","",IF(COUNTIF(INDIRECT("tblPocos["&amp;I$1&amp;"]"),'Pontos de Coleta'!I2)&gt;0,'Pontos de Coleta'!I2&amp;": Fechado",'Pontos de Coleta'!I2&amp;": "&amp;IF(COUNTIFS(Coletas!$B:$B,I$1,Coletas!$C:$C,'Pontos de Coleta'!I2,Coletas!$F:$F,"&gt;0",Coletas!$G:$G,"")+COUNTIFS(Operacionais!$B:$B,I$1,Operacionais!$C:$C,'Pontos de Coleta'!I2,Operacionais!$F:$F,"&gt;0",Operacionais!$G:$G,"")&gt;0,"Ok","Faltando")))</f>
        <v>776-AP-0018-2 (HP Flare): Ok</v>
      </c>
      <c r="J2" s="39" t="str">
        <f ca="1">IF('Pontos de Coleta'!J2="","",IF(COUNTIF(INDIRECT("tblPocos["&amp;J$1&amp;"]"),'Pontos de Coleta'!J2)&gt;0,'Pontos de Coleta'!J2&amp;": Fechado",'Pontos de Coleta'!J2&amp;": "&amp;IF(COUNTIFS(Coletas!$B:$B,J$1,Coletas!$C:$C,'Pontos de Coleta'!J2,Coletas!$F:$F,"&gt;0",Coletas!$G:$G,"")+COUNTIFS(Operacionais!$B:$B,J$1,Operacionais!$C:$C,'Pontos de Coleta'!J2,Operacionais!$F:$F,"&gt;0",Operacionais!$G:$G,"")&gt;0,"Ok","Faltando")))</f>
        <v>776-AP-0006 (HP Flare): Ok</v>
      </c>
    </row>
    <row r="3" spans="1:10" ht="12.75" customHeight="1" x14ac:dyDescent="0.25">
      <c r="A3" s="39" t="str">
        <f ca="1">IF('Pontos de Coleta'!A3="","",IF(COUNTIF(INDIRECT("tblPocos["&amp;A$1&amp;"]"),'Pontos de Coleta'!A3)&gt;0,'Pontos de Coleta'!A3&amp;": Fechado",'Pontos de Coleta'!A3&amp;": "&amp;IF(COUNTIFS(Coletas!$B:$B,A$1,Coletas!$C:$C,'Pontos de Coleta'!A3,Coletas!$F:$F,"&gt;0",Coletas!$G:$G,"")+COUNTIFS(Operacionais!$B:$B,A$1,Operacionais!$C:$C,'Pontos de Coleta'!A3,Operacionais!$F:$F,"&gt;0",Operacionais!$G:$G,"")&gt;0,"Ok","Faltando")))</f>
        <v>T76-FT-0014 (HP Flare): Ok</v>
      </c>
      <c r="B3" s="39" t="str">
        <f ca="1">IF('Pontos de Coleta'!B3="","",IF(COUNTIF(INDIRECT("tblPocos["&amp;B$1&amp;"]"),'Pontos de Coleta'!B3)&gt;0,'Pontos de Coleta'!B3&amp;": Fechado",'Pontos de Coleta'!B3&amp;": "&amp;IF(COUNTIFS(Coletas!$B:$B,B$1,Coletas!$C:$C,'Pontos de Coleta'!B3,Coletas!$F:$F,"&gt;0",Coletas!$G:$G,"")+COUNTIFS(Operacionais!$B:$B,B$1,Operacionais!$C:$C,'Pontos de Coleta'!B3,Operacionais!$F:$F,"&gt;0",Operacionais!$G:$G,"")&gt;0,"Ok","Faltando")))</f>
        <v>T76-FT-0034 (LP Flare): Ok</v>
      </c>
      <c r="C3" s="39" t="str">
        <f ca="1">IF('Pontos de Coleta'!C3="","",IF(COUNTIF(INDIRECT("tblPocos["&amp;C$1&amp;"]"),'Pontos de Coleta'!C3)&gt;0,'Pontos de Coleta'!C3&amp;": Fechado",'Pontos de Coleta'!C3&amp;": "&amp;IF(COUNTIFS(Coletas!$B:$B,C$1,Coletas!$C:$C,'Pontos de Coleta'!C3,Coletas!$F:$F,"&gt;0",Coletas!$G:$G,"")+COUNTIFS(Operacionais!$B:$B,C$1,Operacionais!$C:$C,'Pontos de Coleta'!C3,Operacionais!$F:$F,"&gt;0",Operacionais!$G:$G,"")&gt;0,"Ok","Faltando")))</f>
        <v>T76-FT-0034 (LP Flare): Ok</v>
      </c>
      <c r="D3" s="39" t="str">
        <f ca="1">IF('Pontos de Coleta'!D3="","",IF(COUNTIF(INDIRECT("tblPocos["&amp;D$1&amp;"]"),'Pontos de Coleta'!D3)&gt;0,'Pontos de Coleta'!D3&amp;": Fechado",'Pontos de Coleta'!D3&amp;": "&amp;IF(COUNTIFS(Coletas!$B:$B,D$1,Coletas!$C:$C,'Pontos de Coleta'!D3,Coletas!$F:$F,"&gt;0",Coletas!$G:$G,"")+COUNTIFS(Operacionais!$B:$B,D$1,Operacionais!$C:$C,'Pontos de Coleta'!D3,Operacionais!$F:$F,"&gt;0",Operacionais!$G:$G,"")&gt;0,"Ok","Faltando")))</f>
        <v>T76-FT-0034 (LP Flare): Ok</v>
      </c>
      <c r="E3" s="39" t="str">
        <f ca="1">IF('Pontos de Coleta'!E3="","",IF(COUNTIF(INDIRECT("tblPocos["&amp;E$1&amp;"]"),'Pontos de Coleta'!E3)&gt;0,'Pontos de Coleta'!E3&amp;": Fechado",'Pontos de Coleta'!E3&amp;": "&amp;IF(COUNTIFS(Coletas!$B:$B,E$1,Coletas!$C:$C,'Pontos de Coleta'!E3,Coletas!$F:$F,"&gt;0",Coletas!$G:$G,"")+COUNTIFS(Operacionais!$B:$B,E$1,Operacionais!$C:$C,'Pontos de Coleta'!E3,Operacionais!$F:$F,"&gt;0",Operacionais!$G:$G,"")&gt;0,"Ok","Faltando")))</f>
        <v>T77-FX-041 (Fuel Gas) : Faltando</v>
      </c>
      <c r="F3" s="39" t="str">
        <f ca="1">IF('Pontos de Coleta'!F3="","",IF(COUNTIF(INDIRECT("tblPocos["&amp;F$1&amp;"]"),'Pontos de Coleta'!F3)&gt;0,'Pontos de Coleta'!F3&amp;": Fechado",'Pontos de Coleta'!F3&amp;": "&amp;IF(COUNTIFS(Coletas!$B:$B,F$1,Coletas!$C:$C,'Pontos de Coleta'!F3,Coletas!$F:$F,"&gt;0",Coletas!$G:$G,"")+COUNTIFS(Operacionais!$B:$B,F$1,Operacionais!$C:$C,'Pontos de Coleta'!F3,Operacionais!$F:$F,"&gt;0",Operacionais!$G:$G,"")&gt;0,"Ok","Faltando")))</f>
        <v>T76-FT-001 (HP Flare): Faltando</v>
      </c>
      <c r="G3" s="39" t="str">
        <f ca="1">IF('Pontos de Coleta'!G3="","",IF(COUNTIF(INDIRECT("tblPocos["&amp;G$1&amp;"]"),'Pontos de Coleta'!G3)&gt;0,'Pontos de Coleta'!G3&amp;": Fechado",'Pontos de Coleta'!G3&amp;": "&amp;IF(COUNTIFS(Coletas!$B:$B,G$1,Coletas!$C:$C,'Pontos de Coleta'!G3,Coletas!$F:$F,"&gt;0",Coletas!$G:$G,"")+COUNTIFS(Operacionais!$B:$B,G$1,Operacionais!$C:$C,'Pontos de Coleta'!G3,Operacionais!$F:$F,"&gt;0",Operacionais!$G:$G,"")&gt;0,"Ok","Faltando")))</f>
        <v>T76-FT-002 (HP Flare): Faltando</v>
      </c>
      <c r="H3" s="39" t="str">
        <f ca="1">IF('Pontos de Coleta'!H3="","",IF(COUNTIF(INDIRECT("tblPocos["&amp;H$1&amp;"]"),'Pontos de Coleta'!H3)&gt;0,'Pontos de Coleta'!H3&amp;": Fechado",'Pontos de Coleta'!H3&amp;": "&amp;IF(COUNTIFS(Coletas!$B:$B,H$1,Coletas!$C:$C,'Pontos de Coleta'!H3,Coletas!$F:$F,"&gt;0",Coletas!$G:$G,"")+COUNTIFS(Operacionais!$B:$B,H$1,Operacionais!$C:$C,'Pontos de Coleta'!H3,Operacionais!$F:$F,"&gt;0",Operacionais!$G:$G,"")&gt;0,"Ok","Faltando")))</f>
        <v>776-AP-0026 (LP Flare): Ok</v>
      </c>
      <c r="I3" s="39" t="str">
        <f ca="1">IF('Pontos de Coleta'!I3="","",IF(COUNTIF(INDIRECT("tblPocos["&amp;I$1&amp;"]"),'Pontos de Coleta'!I3)&gt;0,'Pontos de Coleta'!I3&amp;": Fechado",'Pontos de Coleta'!I3&amp;": "&amp;IF(COUNTIFS(Coletas!$B:$B,I$1,Coletas!$C:$C,'Pontos de Coleta'!I3,Coletas!$F:$F,"&gt;0",Coletas!$G:$G,"")+COUNTIFS(Operacionais!$B:$B,I$1,Operacionais!$C:$C,'Pontos de Coleta'!I3,Operacionais!$F:$F,"&gt;0",Operacionais!$G:$G,"")&gt;0,"Ok","Faltando")))</f>
        <v>776-AP-0036-2 (LP Flare): Ok</v>
      </c>
      <c r="J3" s="39" t="str">
        <f ca="1">IF('Pontos de Coleta'!J3="","",IF(COUNTIF(INDIRECT("tblPocos["&amp;J$1&amp;"]"),'Pontos de Coleta'!J3)&gt;0,'Pontos de Coleta'!J3&amp;": Fechado",'Pontos de Coleta'!J3&amp;": "&amp;IF(COUNTIFS(Coletas!$B:$B,J$1,Coletas!$C:$C,'Pontos de Coleta'!J3,Coletas!$F:$F,"&gt;0",Coletas!$G:$G,"")+COUNTIFS(Operacionais!$B:$B,J$1,Operacionais!$C:$C,'Pontos de Coleta'!J3,Operacionais!$F:$F,"&gt;0",Operacionais!$G:$G,"")&gt;0,"Ok","Faltando")))</f>
        <v>776-AP-0030 (LP Flare): Ok</v>
      </c>
    </row>
    <row r="4" spans="1:10" ht="12.75" customHeight="1" x14ac:dyDescent="0.25">
      <c r="A4" s="39" t="str">
        <f ca="1">IF('Pontos de Coleta'!A4="","",IF(COUNTIF(INDIRECT("tblPocos["&amp;A$1&amp;"]"),'Pontos de Coleta'!A4)&gt;0,'Pontos de Coleta'!A4&amp;": Fechado",'Pontos de Coleta'!A4&amp;": "&amp;IF(COUNTIFS(Coletas!$B:$B,A$1,Coletas!$C:$C,'Pontos de Coleta'!A4,Coletas!$F:$F,"&gt;0",Coletas!$G:$G,"")+COUNTIFS(Operacionais!$B:$B,A$1,Operacionais!$C:$C,'Pontos de Coleta'!A4,Operacionais!$F:$F,"&gt;0",Operacionais!$G:$G,"")&gt;0,"Ok","Faltando")))</f>
        <v>T76-FT-0034 (LP Flare): Ok</v>
      </c>
      <c r="B4" s="39" t="str">
        <f ca="1">IF('Pontos de Coleta'!B4="","",IF(COUNTIF(INDIRECT("tblPocos["&amp;B$1&amp;"]"),'Pontos de Coleta'!B4)&gt;0,'Pontos de Coleta'!B4&amp;": Fechado",'Pontos de Coleta'!B4&amp;": "&amp;IF(COUNTIFS(Coletas!$B:$B,B$1,Coletas!$C:$C,'Pontos de Coleta'!B4,Coletas!$F:$F,"&gt;0",Coletas!$G:$G,"")+COUNTIFS(Operacionais!$B:$B,B$1,Operacionais!$C:$C,'Pontos de Coleta'!B4,Operacionais!$F:$F,"&gt;0",Operacionais!$G:$G,"")&gt;0,"Ok","Faltando")))</f>
        <v>T77-FT-0103 (Fuel Gas): Ok</v>
      </c>
      <c r="C4" s="39" t="str">
        <f ca="1">IF('Pontos de Coleta'!C4="","",IF(COUNTIF(INDIRECT("tblPocos["&amp;C$1&amp;"]"),'Pontos de Coleta'!C4)&gt;0,'Pontos de Coleta'!C4&amp;": Fechado",'Pontos de Coleta'!C4&amp;": "&amp;IF(COUNTIFS(Coletas!$B:$B,C$1,Coletas!$C:$C,'Pontos de Coleta'!C4,Coletas!$F:$F,"&gt;0",Coletas!$G:$G,"")+COUNTIFS(Operacionais!$B:$B,C$1,Operacionais!$C:$C,'Pontos de Coleta'!C4,Operacionais!$F:$F,"&gt;0",Operacionais!$G:$G,"")&gt;0,"Ok","Faltando")))</f>
        <v>T77-FT-6911 (Export gas): Ok</v>
      </c>
      <c r="D4" s="39" t="str">
        <f ca="1">IF('Pontos de Coleta'!D4="","",IF(COUNTIF(INDIRECT("tblPocos["&amp;D$1&amp;"]"),'Pontos de Coleta'!D4)&gt;0,'Pontos de Coleta'!D4&amp;": Fechado",'Pontos de Coleta'!D4&amp;": "&amp;IF(COUNTIFS(Coletas!$B:$B,D$1,Coletas!$C:$C,'Pontos de Coleta'!D4,Coletas!$F:$F,"&gt;0",Coletas!$G:$G,"")+COUNTIFS(Operacionais!$B:$B,D$1,Operacionais!$C:$C,'Pontos de Coleta'!D4,Operacionais!$F:$F,"&gt;0",Operacionais!$G:$G,"")&gt;0,"Ok","Faltando")))</f>
        <v>T77-FT-0103 (Fuel Gas): Ok</v>
      </c>
      <c r="E4" s="39" t="str">
        <f ca="1">IF('Pontos de Coleta'!E4="","",IF(COUNTIF(INDIRECT("tblPocos["&amp;E$1&amp;"]"),'Pontos de Coleta'!E4)&gt;0,'Pontos de Coleta'!E4&amp;": Fechado",'Pontos de Coleta'!E4&amp;": "&amp;IF(COUNTIFS(Coletas!$B:$B,E$1,Coletas!$C:$C,'Pontos de Coleta'!E4,Coletas!$F:$F,"&gt;0",Coletas!$G:$G,"")+COUNTIFS(Operacionais!$B:$B,E$1,Operacionais!$C:$C,'Pontos de Coleta'!E4,Operacionais!$F:$F,"&gt;0",Operacionais!$G:$G,"")&gt;0,"Ok","Faltando")))</f>
        <v>T76-FX-010 (HP Flare): Faltando</v>
      </c>
      <c r="F4" s="39" t="str">
        <f ca="1">IF('Pontos de Coleta'!F4="","",IF(COUNTIF(INDIRECT("tblPocos["&amp;F$1&amp;"]"),'Pontos de Coleta'!F4)&gt;0,'Pontos de Coleta'!F4&amp;": Fechado",'Pontos de Coleta'!F4&amp;": "&amp;IF(COUNTIFS(Coletas!$B:$B,F$1,Coletas!$C:$C,'Pontos de Coleta'!F4,Coletas!$F:$F,"&gt;0",Coletas!$G:$G,"")+COUNTIFS(Operacionais!$B:$B,F$1,Operacionais!$C:$C,'Pontos de Coleta'!F4,Operacionais!$F:$F,"&gt;0",Operacionais!$G:$G,"")&gt;0,"Ok","Faltando")))</f>
        <v>T76-FT-011 (LP Flare): Faltando</v>
      </c>
      <c r="G4" s="39" t="str">
        <f ca="1">IF('Pontos de Coleta'!G4="","",IF(COUNTIF(INDIRECT("tblPocos["&amp;G$1&amp;"]"),'Pontos de Coleta'!G4)&gt;0,'Pontos de Coleta'!G4&amp;": Fechado",'Pontos de Coleta'!G4&amp;": "&amp;IF(COUNTIFS(Coletas!$B:$B,G$1,Coletas!$C:$C,'Pontos de Coleta'!G4,Coletas!$F:$F,"&gt;0",Coletas!$G:$G,"")+COUNTIFS(Operacionais!$B:$B,G$1,Operacionais!$C:$C,'Pontos de Coleta'!G4,Operacionais!$F:$F,"&gt;0",Operacionais!$G:$G,"")&gt;0,"Ok","Faltando")))</f>
        <v>T76-FT-012 (LP Flare): Faltando</v>
      </c>
      <c r="H4" s="39" t="str">
        <f ca="1">IF('Pontos de Coleta'!H4="","",IF(COUNTIF(INDIRECT("tblPocos["&amp;H$1&amp;"]"),'Pontos de Coleta'!H4)&gt;0,'Pontos de Coleta'!H4&amp;": Fechado",'Pontos de Coleta'!H4&amp;": "&amp;IF(COUNTIFS(Coletas!$B:$B,H$1,Coletas!$C:$C,'Pontos de Coleta'!H4,Coletas!$F:$F,"&gt;0",Coletas!$G:$G,"")+COUNTIFS(Operacionais!$B:$B,H$1,Operacionais!$C:$C,'Pontos de Coleta'!H4,Operacionais!$F:$F,"&gt;0",Operacionais!$G:$G,"")&gt;0,"Ok","Faltando")))</f>
        <v>777-AP-1212 (Fuel Gas): Ok</v>
      </c>
      <c r="I4" s="39" t="str">
        <f ca="1">IF('Pontos de Coleta'!I4="","",IF(COUNTIF(INDIRECT("tblPocos["&amp;I$1&amp;"]"),'Pontos de Coleta'!I4)&gt;0,'Pontos de Coleta'!I4&amp;": Fechado",'Pontos de Coleta'!I4&amp;": "&amp;IF(COUNTIFS(Coletas!$B:$B,I$1,Coletas!$C:$C,'Pontos de Coleta'!I4,Coletas!$F:$F,"&gt;0",Coletas!$G:$G,"")+COUNTIFS(Operacionais!$B:$B,I$1,Operacionais!$C:$C,'Pontos de Coleta'!I4,Operacionais!$F:$F,"&gt;0",Operacionais!$G:$G,"")&gt;0,"Ok","Faltando")))</f>
        <v>777-AP-1506 (Fuel Gas): Ok</v>
      </c>
      <c r="J4" s="39" t="str">
        <f ca="1">IF('Pontos de Coleta'!J4="","",IF(COUNTIF(INDIRECT("tblPocos["&amp;J$1&amp;"]"),'Pontos de Coleta'!J4)&gt;0,'Pontos de Coleta'!J4&amp;": Fechado",'Pontos de Coleta'!J4&amp;": "&amp;IF(COUNTIFS(Coletas!$B:$B,J$1,Coletas!$C:$C,'Pontos de Coleta'!J4,Coletas!$F:$F,"&gt;0",Coletas!$G:$G,"")+COUNTIFS(Operacionais!$B:$B,J$1,Operacionais!$C:$C,'Pontos de Coleta'!J4,Operacionais!$F:$F,"&gt;0",Operacionais!$G:$G,"")&gt;0,"Ok","Faltando")))</f>
        <v>777-AP-1104 (Fuel Gas): Ok</v>
      </c>
    </row>
    <row r="5" spans="1:10" ht="12.75" customHeight="1" x14ac:dyDescent="0.25">
      <c r="A5" s="39" t="str">
        <f ca="1">IF('Pontos de Coleta'!A5="","",IF(COUNTIF(INDIRECT("tblPocos["&amp;A$1&amp;"]"),'Pontos de Coleta'!A5)&gt;0,'Pontos de Coleta'!A5&amp;": Fechado",'Pontos de Coleta'!A5&amp;": "&amp;IF(COUNTIFS(Coletas!$B:$B,A$1,Coletas!$C:$C,'Pontos de Coleta'!A5,Coletas!$F:$F,"&gt;0",Coletas!$G:$G,"")+COUNTIFS(Operacionais!$B:$B,A$1,Operacionais!$C:$C,'Pontos de Coleta'!A5,Operacionais!$F:$F,"&gt;0",Operacionais!$G:$G,"")&gt;0,"Ok","Faltando")))</f>
        <v>T74-AX-6911 (Export Gas): Ok</v>
      </c>
      <c r="B5" s="39" t="str">
        <f ca="1">IF('Pontos de Coleta'!B5="","",IF(COUNTIF(INDIRECT("tblPocos["&amp;B$1&amp;"]"),'Pontos de Coleta'!B5)&gt;0,'Pontos de Coleta'!B5&amp;": Fechado",'Pontos de Coleta'!B5&amp;": "&amp;IF(COUNTIFS(Coletas!$B:$B,B$1,Coletas!$C:$C,'Pontos de Coleta'!B5,Coletas!$F:$F,"&gt;0",Coletas!$G:$G,"")+COUNTIFS(Operacionais!$B:$B,B$1,Operacionais!$C:$C,'Pontos de Coleta'!B5,Operacionais!$F:$F,"&gt;0",Operacionais!$G:$G,"")&gt;0,"Ok","Faltando")))</f>
        <v>T74-FT-6901 (Export Gas): Ok</v>
      </c>
      <c r="C5" s="39" t="str">
        <f ca="1">IF('Pontos de Coleta'!C5="","",IF(COUNTIF(INDIRECT("tblPocos["&amp;C$1&amp;"]"),'Pontos de Coleta'!C5)&gt;0,'Pontos de Coleta'!C5&amp;": Fechado",'Pontos de Coleta'!C5&amp;": "&amp;IF(COUNTIFS(Coletas!$B:$B,C$1,Coletas!$C:$C,'Pontos de Coleta'!C5,Coletas!$F:$F,"&gt;0",Coletas!$G:$G,"")+COUNTIFS(Operacionais!$B:$B,C$1,Operacionais!$C:$C,'Pontos de Coleta'!C5,Operacionais!$F:$F,"&gt;0",Operacionais!$G:$G,"")&gt;0,"Ok","Faltando")))</f>
        <v>T77-FT-6951 (Import gas): Faltando</v>
      </c>
      <c r="D5" s="39" t="str">
        <f ca="1">IF('Pontos de Coleta'!D5="","",IF(COUNTIF(INDIRECT("tblPocos["&amp;D$1&amp;"]"),'Pontos de Coleta'!D5)&gt;0,'Pontos de Coleta'!D5&amp;": Fechado",'Pontos de Coleta'!D5&amp;": "&amp;IF(COUNTIFS(Coletas!$B:$B,D$1,Coletas!$C:$C,'Pontos de Coleta'!D5,Coletas!$F:$F,"&gt;0",Coletas!$G:$G,"")+COUNTIFS(Operacionais!$B:$B,D$1,Operacionais!$C:$C,'Pontos de Coleta'!D5,Operacionais!$F:$F,"&gt;0",Operacionais!$G:$G,"")&gt;0,"Ok","Faltando")))</f>
        <v>T74-FT-6701 (Export Gas): Ok</v>
      </c>
      <c r="E5" s="39" t="str">
        <f ca="1">IF('Pontos de Coleta'!E5="","",IF(COUNTIF(INDIRECT("tblPocos["&amp;E$1&amp;"]"),'Pontos de Coleta'!E5)&gt;0,'Pontos de Coleta'!E5&amp;": Fechado",'Pontos de Coleta'!E5&amp;": "&amp;IF(COUNTIFS(Coletas!$B:$B,E$1,Coletas!$C:$C,'Pontos de Coleta'!E5,Coletas!$F:$F,"&gt;0",Coletas!$G:$G,"")+COUNTIFS(Operacionais!$B:$B,E$1,Operacionais!$C:$C,'Pontos de Coleta'!E5,Operacionais!$F:$F,"&gt;0",Operacionais!$G:$G,"")&gt;0,"Ok","Faltando")))</f>
        <v>T76-FX-020 (LP Flare): Faltando</v>
      </c>
      <c r="F5" s="39" t="str">
        <f ca="1">IF('Pontos de Coleta'!F5="","",IF(COUNTIF(INDIRECT("tblPocos["&amp;F$1&amp;"]"),'Pontos de Coleta'!F5)&gt;0,'Pontos de Coleta'!F5&amp;": Fechado",'Pontos de Coleta'!F5&amp;": "&amp;IF(COUNTIFS(Coletas!$B:$B,F$1,Coletas!$C:$C,'Pontos de Coleta'!F5,Coletas!$F:$F,"&gt;0",Coletas!$G:$G,"")+COUNTIFS(Operacionais!$B:$B,F$1,Operacionais!$C:$C,'Pontos de Coleta'!F5,Operacionais!$F:$F,"&gt;0",Operacionais!$G:$G,"")&gt;0,"Ok","Faltando")))</f>
        <v>M74-FT-100 (Export Gas): Faltando</v>
      </c>
      <c r="G5" s="39" t="str">
        <f ca="1">IF('Pontos de Coleta'!G5="","",IF(COUNTIF(INDIRECT("tblPocos["&amp;G$1&amp;"]"),'Pontos de Coleta'!G5)&gt;0,'Pontos de Coleta'!G5&amp;": Fechado",'Pontos de Coleta'!G5&amp;": "&amp;IF(COUNTIFS(Coletas!$B:$B,G$1,Coletas!$C:$C,'Pontos de Coleta'!G5,Coletas!$F:$F,"&gt;0",Coletas!$G:$G,"")+COUNTIFS(Operacionais!$B:$B,G$1,Operacionais!$C:$C,'Pontos de Coleta'!G5,Operacionais!$F:$F,"&gt;0",Operacionais!$G:$G,"")&gt;0,"Ok","Faltando")))</f>
        <v>M74-FT-005 (Export gas): Ok</v>
      </c>
      <c r="H5" s="39" t="str">
        <f ca="1">IF('Pontos de Coleta'!H5="","",IF(COUNTIF(INDIRECT("tblPocos["&amp;H$1&amp;"]"),'Pontos de Coleta'!H5)&gt;0,'Pontos de Coleta'!H5&amp;": Fechado",'Pontos de Coleta'!H5&amp;": "&amp;IF(COUNTIFS(Coletas!$B:$B,H$1,Coletas!$C:$C,'Pontos de Coleta'!H5,Coletas!$F:$F,"&gt;0",Coletas!$G:$G,"")+COUNTIFS(Operacionais!$B:$B,H$1,Operacionais!$C:$C,'Pontos de Coleta'!H5,Operacionais!$F:$F,"&gt;0",Operacionais!$G:$G,"")&gt;0,"Ok","Faltando")))</f>
        <v>771-AP-0225 (Flare Assist): Ok</v>
      </c>
      <c r="I5" s="39" t="str">
        <f ca="1">IF('Pontos de Coleta'!I5="","",IF(COUNTIF(INDIRECT("tblPocos["&amp;I$1&amp;"]"),'Pontos de Coleta'!I5)&gt;0,'Pontos de Coleta'!I5&amp;": Fechado",'Pontos de Coleta'!I5&amp;": "&amp;IF(COUNTIFS(Coletas!$B:$B,I$1,Coletas!$C:$C,'Pontos de Coleta'!I5,Coletas!$F:$F,"&gt;0",Coletas!$G:$G,"")+COUNTIFS(Operacionais!$B:$B,I$1,Operacionais!$C:$C,'Pontos de Coleta'!I5,Operacionais!$F:$F,"&gt;0",Operacionais!$G:$G,"")&gt;0,"Ok","Faltando")))</f>
        <v>776-AP-7001 (Flare Assist): Ok</v>
      </c>
      <c r="J5" s="39" t="str">
        <f ca="1">IF('Pontos de Coleta'!J5="","",IF(COUNTIF(INDIRECT("tblPocos["&amp;J$1&amp;"]"),'Pontos de Coleta'!J5)&gt;0,'Pontos de Coleta'!J5&amp;": Fechado",'Pontos de Coleta'!J5&amp;": "&amp;IF(COUNTIFS(Coletas!$B:$B,J$1,Coletas!$C:$C,'Pontos de Coleta'!J5,Coletas!$F:$F,"&gt;0",Coletas!$G:$G,"")+COUNTIFS(Operacionais!$B:$B,J$1,Operacionais!$C:$C,'Pontos de Coleta'!J5,Operacionais!$F:$F,"&gt;0",Operacionais!$G:$G,"")&gt;0,"Ok","Faltando")))</f>
        <v>771-AP-0221 (Flare Assist): Ok</v>
      </c>
    </row>
    <row r="6" spans="1:10" ht="12.75" customHeight="1" x14ac:dyDescent="0.25">
      <c r="A6" s="39" t="str">
        <f ca="1">IF('Pontos de Coleta'!A6="","",IF(COUNTIF(INDIRECT("tblPocos["&amp;A$1&amp;"]"),'Pontos de Coleta'!A6)&gt;0,'Pontos de Coleta'!A6&amp;": Fechado",'Pontos de Coleta'!A6&amp;": "&amp;IF(COUNTIFS(Coletas!$B:$B,A$1,Coletas!$C:$C,'Pontos de Coleta'!A6,Coletas!$F:$F,"&gt;0",Coletas!$G:$G,"")+COUNTIFS(Operacionais!$B:$B,A$1,Operacionais!$C:$C,'Pontos de Coleta'!A6,Operacionais!$F:$F,"&gt;0",Operacionais!$G:$G,"")&gt;0,"Ok","Faltando")))</f>
        <v>T74-AX-6951 (Import Gas): Faltando</v>
      </c>
      <c r="B6" s="39" t="str">
        <f ca="1">IF('Pontos de Coleta'!B6="","",IF(COUNTIF(INDIRECT("tblPocos["&amp;B$1&amp;"]"),'Pontos de Coleta'!B6)&gt;0,'Pontos de Coleta'!B6&amp;": Fechado",'Pontos de Coleta'!B6&amp;": "&amp;IF(COUNTIFS(Coletas!$B:$B,B$1,Coletas!$C:$C,'Pontos de Coleta'!B6,Coletas!$F:$F,"&gt;0",Coletas!$G:$G,"")+COUNTIFS(Operacionais!$B:$B,B$1,Operacionais!$C:$C,'Pontos de Coleta'!B6,Operacionais!$F:$F,"&gt;0",Operacionais!$G:$G,"")&gt;0,"Ok","Faltando")))</f>
        <v>T77-FT-6951 (Import Gas): Faltando</v>
      </c>
      <c r="C6" s="39" t="str">
        <f ca="1">IF('Pontos de Coleta'!C6="","",IF(COUNTIF(INDIRECT("tblPocos["&amp;C$1&amp;"]"),'Pontos de Coleta'!C6)&gt;0,'Pontos de Coleta'!C6&amp;": Fechado",'Pontos de Coleta'!C6&amp;": "&amp;IF(COUNTIFS(Coletas!$B:$B,C$1,Coletas!$C:$C,'Pontos de Coleta'!C6,Coletas!$F:$F,"&gt;0",Coletas!$G:$G,"")+COUNTIFS(Operacionais!$B:$B,C$1,Operacionais!$C:$C,'Pontos de Coleta'!C6,Operacionais!$F:$F,"&gt;0",Operacionais!$G:$G,"")&gt;0,"Ok","Faltando")))</f>
        <v>T77-FT-0103 (Fuel Gas): Ok</v>
      </c>
      <c r="D6" s="39" t="str">
        <f ca="1">IF('Pontos de Coleta'!D6="","",IF(COUNTIF(INDIRECT("tblPocos["&amp;D$1&amp;"]"),'Pontos de Coleta'!D6)&gt;0,'Pontos de Coleta'!D6&amp;": Fechado",'Pontos de Coleta'!D6&amp;": "&amp;IF(COUNTIFS(Coletas!$B:$B,D$1,Coletas!$C:$C,'Pontos de Coleta'!D6,Coletas!$F:$F,"&gt;0",Coletas!$G:$G,"")+COUNTIFS(Operacionais!$B:$B,D$1,Operacionais!$C:$C,'Pontos de Coleta'!D6,Operacionais!$F:$F,"&gt;0",Operacionais!$G:$G,"")&gt;0,"Ok","Faltando")))</f>
        <v>T74-FT-6751 (Import Gas): Faltando</v>
      </c>
      <c r="E6" s="39" t="str">
        <f ca="1">IF('Pontos de Coleta'!E6="","",IF(COUNTIF(INDIRECT("tblPocos["&amp;E$1&amp;"]"),'Pontos de Coleta'!E6)&gt;0,'Pontos de Coleta'!E6&amp;": Fechado",'Pontos de Coleta'!E6&amp;": "&amp;IF(COUNTIFS(Coletas!$B:$B,E$1,Coletas!$C:$C,'Pontos de Coleta'!E6,Coletas!$F:$F,"&gt;0",Coletas!$G:$G,"")+COUNTIFS(Operacionais!$B:$B,E$1,Operacionais!$C:$C,'Pontos de Coleta'!E6,Operacionais!$F:$F,"&gt;0",Operacionais!$G:$G,"")&gt;0,"Ok","Faltando")))</f>
        <v>T74-FX-072 (Import Gas): Faltando</v>
      </c>
      <c r="F6" s="39" t="str">
        <f ca="1">IF('Pontos de Coleta'!F6="","",IF(COUNTIF(INDIRECT("tblPocos["&amp;F$1&amp;"]"),'Pontos de Coleta'!F6)&gt;0,'Pontos de Coleta'!F6&amp;": Fechado",'Pontos de Coleta'!F6&amp;": "&amp;IF(COUNTIFS(Coletas!$B:$B,F$1,Coletas!$C:$C,'Pontos de Coleta'!F6,Coletas!$F:$F,"&gt;0",Coletas!$G:$G,"")+COUNTIFS(Operacionais!$B:$B,F$1,Operacionais!$C:$C,'Pontos de Coleta'!F6,Operacionais!$F:$F,"&gt;0",Operacionais!$G:$G,"")&gt;0,"Ok","Faltando")))</f>
        <v>T71-SP-067 LP-Separator: Faltando</v>
      </c>
      <c r="G6" s="39" t="str">
        <f ca="1">IF('Pontos de Coleta'!G6="","",IF(COUNTIF(INDIRECT("tblPocos["&amp;G$1&amp;"]"),'Pontos de Coleta'!G6)&gt;0,'Pontos de Coleta'!G6&amp;": Fechado",'Pontos de Coleta'!G6&amp;": "&amp;IF(COUNTIFS(Coletas!$B:$B,G$1,Coletas!$C:$C,'Pontos de Coleta'!G6,Coletas!$F:$F,"&gt;0",Coletas!$G:$G,"")+COUNTIFS(Operacionais!$B:$B,G$1,Operacionais!$C:$C,'Pontos de Coleta'!G6,Operacionais!$F:$F,"&gt;0",Operacionais!$G:$G,"")&gt;0,"Ok","Faltando")))</f>
        <v>T71-SP-372 HP-A (CG): Ok</v>
      </c>
      <c r="H6" s="39" t="str">
        <f ca="1">IF('Pontos de Coleta'!H6="","",IF(COUNTIF(INDIRECT("tblPocos["&amp;H$1&amp;"]"),'Pontos de Coleta'!H6)&gt;0,'Pontos de Coleta'!H6&amp;": Fechado",'Pontos de Coleta'!H6&amp;": "&amp;IF(COUNTIFS(Coletas!$B:$B,H$1,Coletas!$C:$C,'Pontos de Coleta'!H6,Coletas!$F:$F,"&gt;0",Coletas!$G:$G,"")+COUNTIFS(Operacionais!$B:$B,H$1,Operacionais!$C:$C,'Pontos de Coleta'!H6,Operacionais!$F:$F,"&gt;0",Operacionais!$G:$G,"")&gt;0,"Ok","Faltando")))</f>
        <v>773-AP-0014 (Gas Lift): Ok</v>
      </c>
      <c r="I6" s="39" t="str">
        <f ca="1">IF('Pontos de Coleta'!I6="","",IF(COUNTIF(INDIRECT("tblPocos["&amp;I$1&amp;"]"),'Pontos de Coleta'!I6)&gt;0,'Pontos de Coleta'!I6&amp;": Fechado",'Pontos de Coleta'!I6&amp;": "&amp;IF(COUNTIFS(Coletas!$B:$B,I$1,Coletas!$C:$C,'Pontos de Coleta'!I6,Coletas!$F:$F,"&gt;0",Coletas!$G:$G,"")+COUNTIFS(Operacionais!$B:$B,I$1,Operacionais!$C:$C,'Pontos de Coleta'!I6,Operacionais!$F:$F,"&gt;0",Operacionais!$G:$G,"")&gt;0,"Ok","Faltando")))</f>
        <v>777-AP-1403 (Fuel Gas to Flare Stack): Ok</v>
      </c>
      <c r="J6" s="39" t="str">
        <f ca="1">IF('Pontos de Coleta'!J6="","",IF(COUNTIF(INDIRECT("tblPocos["&amp;J$1&amp;"]"),'Pontos de Coleta'!J6)&gt;0,'Pontos de Coleta'!J6&amp;": Fechado",'Pontos de Coleta'!J6&amp;": "&amp;IF(COUNTIFS(Coletas!$B:$B,J$1,Coletas!$C:$C,'Pontos de Coleta'!J6,Coletas!$F:$F,"&gt;0",Coletas!$G:$G,"")+COUNTIFS(Operacionais!$B:$B,J$1,Operacionais!$C:$C,'Pontos de Coleta'!J6,Operacionais!$F:$F,"&gt;0",Operacionais!$G:$G,"")&gt;0,"Ok","Faltando")))</f>
        <v>773-AP-0011 (Gas Lift Total): Ok</v>
      </c>
    </row>
    <row r="7" spans="1:10" ht="12.75" customHeight="1" x14ac:dyDescent="0.25">
      <c r="A7" s="39" t="str">
        <f ca="1">IF('Pontos de Coleta'!A7="","",IF(COUNTIF(INDIRECT("tblPocos["&amp;A$1&amp;"]"),'Pontos de Coleta'!A7)&gt;0,'Pontos de Coleta'!A7&amp;": Fechado",'Pontos de Coleta'!A7&amp;": "&amp;IF(COUNTIFS(Coletas!$B:$B,A$1,Coletas!$C:$C,'Pontos de Coleta'!A7,Coletas!$F:$F,"&gt;0",Coletas!$G:$G,"")+COUNTIFS(Operacionais!$B:$B,A$1,Operacionais!$C:$C,'Pontos de Coleta'!A7,Operacionais!$F:$F,"&gt;0",Operacionais!$G:$G,"")&gt;0,"Ok","Faltando")))</f>
        <v>T73-AP-0001 (Gas Lift): Faltando</v>
      </c>
      <c r="B7" s="39" t="str">
        <f ca="1">IF('Pontos de Coleta'!B7="","",IF(COUNTIF(INDIRECT("tblPocos["&amp;B$1&amp;"]"),'Pontos de Coleta'!B7)&gt;0,'Pontos de Coleta'!B7&amp;": Fechado",'Pontos de Coleta'!B7&amp;": "&amp;IF(COUNTIFS(Coletas!$B:$B,B$1,Coletas!$C:$C,'Pontos de Coleta'!B7,Coletas!$F:$F,"&gt;0",Coletas!$G:$G,"")+COUNTIFS(Operacionais!$B:$B,B$1,Operacionais!$C:$C,'Pontos de Coleta'!B7,Operacionais!$F:$F,"&gt;0",Operacionais!$G:$G,"")&gt;0,"Ok","Faltando")))</f>
        <v>T73-AP-0001 (Gas Lift): Ok</v>
      </c>
      <c r="C7" s="39" t="str">
        <f ca="1">IF('Pontos de Coleta'!C7="","",IF(COUNTIF(INDIRECT("tblPocos["&amp;C$1&amp;"]"),'Pontos de Coleta'!C7)&gt;0,'Pontos de Coleta'!C7&amp;": Fechado",'Pontos de Coleta'!C7&amp;": "&amp;IF(COUNTIFS(Coletas!$B:$B,C$1,Coletas!$C:$C,'Pontos de Coleta'!C7,Coletas!$F:$F,"&gt;0",Coletas!$G:$G,"")+COUNTIFS(Operacionais!$B:$B,C$1,Operacionais!$C:$C,'Pontos de Coleta'!C7,Operacionais!$F:$F,"&gt;0",Operacionais!$G:$G,"")&gt;0,"Ok","Faltando")))</f>
        <v>T73-AP-0001 (Gas Lift): Ok</v>
      </c>
      <c r="D7" s="39" t="str">
        <f ca="1">IF('Pontos de Coleta'!D7="","",IF(COUNTIF(INDIRECT("tblPocos["&amp;D$1&amp;"]"),'Pontos de Coleta'!D7)&gt;0,'Pontos de Coleta'!D7&amp;": Fechado",'Pontos de Coleta'!D7&amp;": "&amp;IF(COUNTIFS(Coletas!$B:$B,D$1,Coletas!$C:$C,'Pontos de Coleta'!D7,Coletas!$F:$F,"&gt;0",Coletas!$G:$G,"")+COUNTIFS(Operacionais!$B:$B,D$1,Operacionais!$C:$C,'Pontos de Coleta'!D7,Operacionais!$F:$F,"&gt;0",Operacionais!$G:$G,"")&gt;0,"Ok","Faltando")))</f>
        <v>T73-AP-0016 (Gas Lift): Ok</v>
      </c>
      <c r="E7" s="39" t="str">
        <f ca="1">IF('Pontos de Coleta'!E7="","",IF(COUNTIF(INDIRECT("tblPocos["&amp;E$1&amp;"]"),'Pontos de Coleta'!E7)&gt;0,'Pontos de Coleta'!E7&amp;": Fechado",'Pontos de Coleta'!E7&amp;": "&amp;IF(COUNTIFS(Coletas!$B:$B,E$1,Coletas!$C:$C,'Pontos de Coleta'!E7,Coletas!$F:$F,"&gt;0",Coletas!$G:$G,"")+COUNTIFS(Operacionais!$B:$B,E$1,Operacionais!$C:$C,'Pontos de Coleta'!E7,Operacionais!$F:$F,"&gt;0",Operacionais!$G:$G,"")&gt;0,"Ok","Faltando")))</f>
        <v/>
      </c>
      <c r="F7" s="39" t="str">
        <f ca="1">IF('Pontos de Coleta'!F7="","",IF(COUNTIF(INDIRECT("tblPocos["&amp;F$1&amp;"]"),'Pontos de Coleta'!F7)&gt;0,'Pontos de Coleta'!F7&amp;": Fechado",'Pontos de Coleta'!F7&amp;": "&amp;IF(COUNTIFS(Coletas!$B:$B,F$1,Coletas!$C:$C,'Pontos de Coleta'!F7,Coletas!$F:$F,"&gt;0",Coletas!$G:$G,"")+COUNTIFS(Operacionais!$B:$B,F$1,Operacionais!$C:$C,'Pontos de Coleta'!F7,Operacionais!$F:$F,"&gt;0",Operacionais!$G:$G,"")&gt;0,"Ok","Faltando")))</f>
        <v>T71-SP-232 HP-Separator: Faltando</v>
      </c>
      <c r="G7" s="39" t="str">
        <f ca="1">IF('Pontos de Coleta'!G7="","",IF(COUNTIF(INDIRECT("tblPocos["&amp;G$1&amp;"]"),'Pontos de Coleta'!G7)&gt;0,'Pontos de Coleta'!G7&amp;": Fechado",'Pontos de Coleta'!G7&amp;": "&amp;IF(COUNTIFS(Coletas!$B:$B,G$1,Coletas!$C:$C,'Pontos de Coleta'!G7,Coletas!$F:$F,"&gt;0",Coletas!$G:$G,"")+COUNTIFS(Operacionais!$B:$B,G$1,Operacionais!$C:$C,'Pontos de Coleta'!G7,Operacionais!$F:$F,"&gt;0",Operacionais!$G:$G,"")&gt;0,"Ok","Faltando")))</f>
        <v>T62-SP-159 HP-A (PVT): Faltando</v>
      </c>
      <c r="H7" s="39" t="str">
        <f ca="1">IF('Pontos de Coleta'!H7="","",IF(COUNTIF(INDIRECT("tblPocos["&amp;H$1&amp;"]"),'Pontos de Coleta'!H7)&gt;0,'Pontos de Coleta'!H7&amp;": Fechado",'Pontos de Coleta'!H7&amp;": "&amp;IF(COUNTIFS(Coletas!$B:$B,H$1,Coletas!$C:$C,'Pontos de Coleta'!H7,Coletas!$F:$F,"&gt;0",Coletas!$G:$G,"")+COUNTIFS(Operacionais!$B:$B,H$1,Operacionais!$C:$C,'Pontos de Coleta'!H7,Operacionais!$F:$F,"&gt;0",Operacionais!$G:$G,"")&gt;0,"Ok","Faltando")))</f>
        <v>771-AP-0123 (FWKO Drum): Ok</v>
      </c>
      <c r="I7" s="39" t="str">
        <f ca="1">IF('Pontos de Coleta'!I7="","",IF(COUNTIF(INDIRECT("tblPocos["&amp;I$1&amp;"]"),'Pontos de Coleta'!I7)&gt;0,'Pontos de Coleta'!I7&amp;": Fechado",'Pontos de Coleta'!I7&amp;": "&amp;IF(COUNTIFS(Coletas!$B:$B,I$1,Coletas!$C:$C,'Pontos de Coleta'!I7,Coletas!$F:$F,"&gt;0",Coletas!$G:$G,"")+COUNTIFS(Operacionais!$B:$B,I$1,Operacionais!$C:$C,'Pontos de Coleta'!I7,Operacionais!$F:$F,"&gt;0",Operacionais!$G:$G,"")&gt;0,"Ok","Faltando")))</f>
        <v>773-AP-0014 (Gas Lift): Faltando</v>
      </c>
      <c r="J7" s="39" t="str">
        <f ca="1">IF('Pontos de Coleta'!J7="","",IF(COUNTIF(INDIRECT("tblPocos["&amp;J$1&amp;"]"),'Pontos de Coleta'!J7)&gt;0,'Pontos de Coleta'!J7&amp;": Fechado",'Pontos de Coleta'!J7&amp;": "&amp;IF(COUNTIFS(Coletas!$B:$B,J$1,Coletas!$C:$C,'Pontos de Coleta'!J7,Coletas!$F:$F,"&gt;0",Coletas!$G:$G,"")+COUNTIFS(Operacionais!$B:$B,J$1,Operacionais!$C:$C,'Pontos de Coleta'!J7,Operacionais!$F:$F,"&gt;0",Operacionais!$G:$G,"")&gt;0,"Ok","Faltando")))</f>
        <v>771-AP-0102 (HP Separator): Ok</v>
      </c>
    </row>
    <row r="8" spans="1:10" ht="12.75" customHeight="1" x14ac:dyDescent="0.25">
      <c r="A8" s="39" t="str">
        <f ca="1">IF('Pontos de Coleta'!A8="","",IF(COUNTIF(INDIRECT("tblPocos["&amp;A$1&amp;"]"),'Pontos de Coleta'!A8)&gt;0,'Pontos de Coleta'!A8&amp;": Fechado",'Pontos de Coleta'!A8&amp;": "&amp;IF(COUNTIFS(Coletas!$B:$B,A$1,Coletas!$C:$C,'Pontos de Coleta'!A8,Coletas!$F:$F,"&gt;0",Coletas!$G:$G,"")+COUNTIFS(Operacionais!$B:$B,A$1,Operacionais!$C:$C,'Pontos de Coleta'!A8,Operacionais!$F:$F,"&gt;0",Operacionais!$G:$G,"")&gt;0,"Ok","Faltando")))</f>
        <v>T71-AX-0102 (HP Separator): Ok</v>
      </c>
      <c r="B8" s="39" t="str">
        <f ca="1">IF('Pontos de Coleta'!B8="","",IF(COUNTIF(INDIRECT("tblPocos["&amp;B$1&amp;"]"),'Pontos de Coleta'!B8)&gt;0,'Pontos de Coleta'!B8&amp;": Fechado",'Pontos de Coleta'!B8&amp;": "&amp;IF(COUNTIFS(Coletas!$B:$B,B$1,Coletas!$C:$C,'Pontos de Coleta'!B8,Coletas!$F:$F,"&gt;0",Coletas!$G:$G,"")+COUNTIFS(Operacionais!$B:$B,B$1,Operacionais!$C:$C,'Pontos de Coleta'!B8,Operacionais!$F:$F,"&gt;0",Operacionais!$G:$G,"")&gt;0,"Ok","Faltando")))</f>
        <v>T71-AX-0102 (HP Separator): Ok</v>
      </c>
      <c r="C8" s="39" t="str">
        <f ca="1">IF('Pontos de Coleta'!C8="","",IF(COUNTIF(INDIRECT("tblPocos["&amp;C$1&amp;"]"),'Pontos de Coleta'!C8)&gt;0,'Pontos de Coleta'!C8&amp;": Fechado",'Pontos de Coleta'!C8&amp;": "&amp;IF(COUNTIFS(Coletas!$B:$B,C$1,Coletas!$C:$C,'Pontos de Coleta'!C8,Coletas!$F:$F,"&gt;0",Coletas!$G:$G,"")+COUNTIFS(Operacionais!$B:$B,C$1,Operacionais!$C:$C,'Pontos de Coleta'!C8,Operacionais!$F:$F,"&gt;0",Operacionais!$G:$G,"")&gt;0,"Ok","Faltando")))</f>
        <v>T71-AX-0102 (HP Separator): Ok</v>
      </c>
      <c r="D8" s="39" t="str">
        <f ca="1">IF('Pontos de Coleta'!D8="","",IF(COUNTIF(INDIRECT("tblPocos["&amp;D$1&amp;"]"),'Pontos de Coleta'!D8)&gt;0,'Pontos de Coleta'!D8&amp;": Fechado",'Pontos de Coleta'!D8&amp;": "&amp;IF(COUNTIFS(Coletas!$B:$B,D$1,Coletas!$C:$C,'Pontos de Coleta'!D8,Coletas!$F:$F,"&gt;0",Coletas!$G:$G,"")+COUNTIFS(Operacionais!$B:$B,D$1,Operacionais!$C:$C,'Pontos de Coleta'!D8,Operacionais!$F:$F,"&gt;0",Operacionais!$G:$G,"")&gt;0,"Ok","Faltando")))</f>
        <v>T71-AP-0176 (HP Separator): Ok</v>
      </c>
      <c r="E8" s="39" t="str">
        <f ca="1">IF('Pontos de Coleta'!E8="","",IF(COUNTIF(INDIRECT("tblPocos["&amp;E$1&amp;"]"),'Pontos de Coleta'!E8)&gt;0,'Pontos de Coleta'!E8&amp;": Fechado",'Pontos de Coleta'!E8&amp;": "&amp;IF(COUNTIFS(Coletas!$B:$B,E$1,Coletas!$C:$C,'Pontos de Coleta'!E8,Coletas!$F:$F,"&gt;0",Coletas!$G:$G,"")+COUNTIFS(Operacionais!$B:$B,E$1,Operacionais!$C:$C,'Pontos de Coleta'!E8,Operacionais!$F:$F,"&gt;0",Operacionais!$G:$G,"")&gt;0,"Ok","Faltando")))</f>
        <v/>
      </c>
      <c r="F8" s="39" t="str">
        <f ca="1">IF('Pontos de Coleta'!F8="","",IF(COUNTIF(INDIRECT("tblPocos["&amp;F$1&amp;"]"),'Pontos de Coleta'!F8)&gt;0,'Pontos de Coleta'!F8&amp;": Fechado",'Pontos de Coleta'!F8&amp;": "&amp;IF(COUNTIFS(Coletas!$B:$B,F$1,Coletas!$C:$C,'Pontos de Coleta'!F8,Coletas!$F:$F,"&gt;0",Coletas!$G:$G,"")+COUNTIFS(Operacionais!$B:$B,F$1,Operacionais!$C:$C,'Pontos de Coleta'!F8,Operacionais!$F:$F,"&gt;0",Operacionais!$G:$G,"")&gt;0,"Ok","Faltando")))</f>
        <v>Poço CHT-05: Faltando</v>
      </c>
      <c r="G8" s="39" t="str">
        <f ca="1">IF('Pontos de Coleta'!G8="","",IF(COUNTIF(INDIRECT("tblPocos["&amp;G$1&amp;"]"),'Pontos de Coleta'!G8)&gt;0,'Pontos de Coleta'!G8&amp;": Fechado",'Pontos de Coleta'!G8&amp;": "&amp;IF(COUNTIFS(Coletas!$B:$B,G$1,Coletas!$C:$C,'Pontos de Coleta'!G8,Coletas!$F:$F,"&gt;0",Coletas!$G:$G,"")+COUNTIFS(Operacionais!$B:$B,G$1,Operacionais!$C:$C,'Pontos de Coleta'!G8,Operacionais!$F:$F,"&gt;0",Operacionais!$G:$G,"")&gt;0,"Ok","Faltando")))</f>
        <v>T71-SP-376 HP-B (CG): Ok</v>
      </c>
      <c r="H8" s="39" t="str">
        <f ca="1">IF('Pontos de Coleta'!H8="","",IF(COUNTIF(INDIRECT("tblPocos["&amp;H$1&amp;"]"),'Pontos de Coleta'!H8)&gt;0,'Pontos de Coleta'!H8&amp;": Fechado",'Pontos de Coleta'!H8&amp;": "&amp;IF(COUNTIFS(Coletas!$B:$B,H$1,Coletas!$C:$C,'Pontos de Coleta'!H8,Coletas!$F:$F,"&gt;0",Coletas!$G:$G,"")+COUNTIFS(Operacionais!$B:$B,H$1,Operacionais!$C:$C,'Pontos de Coleta'!H8,Operacionais!$F:$F,"&gt;0",Operacionais!$G:$G,"")&gt;0,"Ok","Faltando")))</f>
        <v>771-AP-0202 (IP Flash Vessel): Ok</v>
      </c>
      <c r="I8" s="39" t="str">
        <f ca="1">IF('Pontos de Coleta'!I8="","",IF(COUNTIF(INDIRECT("tblPocos["&amp;I$1&amp;"]"),'Pontos de Coleta'!I8)&gt;0,'Pontos de Coleta'!I8&amp;": Fechado",'Pontos de Coleta'!I8&amp;": "&amp;IF(COUNTIFS(Coletas!$B:$B,I$1,Coletas!$C:$C,'Pontos de Coleta'!I8,Coletas!$F:$F,"&gt;0",Coletas!$G:$G,"")+COUNTIFS(Operacionais!$B:$B,I$1,Operacionais!$C:$C,'Pontos de Coleta'!I8,Operacionais!$F:$F,"&gt;0",Operacionais!$G:$G,"")&gt;0,"Ok","Faltando")))</f>
        <v>771-AP-0712A (FWKO Drum A): Ok</v>
      </c>
      <c r="J8" s="39" t="str">
        <f ca="1">IF('Pontos de Coleta'!J8="","",IF(COUNTIF(INDIRECT("tblPocos["&amp;J$1&amp;"]"),'Pontos de Coleta'!J8)&gt;0,'Pontos de Coleta'!J8&amp;": Fechado",'Pontos de Coleta'!J8&amp;": "&amp;IF(COUNTIFS(Coletas!$B:$B,J$1,Coletas!$C:$C,'Pontos de Coleta'!J8,Coletas!$F:$F,"&gt;0",Coletas!$G:$G,"")+COUNTIFS(Operacionais!$B:$B,J$1,Operacionais!$C:$C,'Pontos de Coleta'!J8,Operacionais!$F:$F,"&gt;0",Operacionais!$G:$G,"")&gt;0,"Ok","Faltando")))</f>
        <v>771-AP-0123 (FWKO Drum): Ok</v>
      </c>
    </row>
    <row r="9" spans="1:10" ht="12.75" customHeight="1" x14ac:dyDescent="0.25">
      <c r="A9" s="39" t="str">
        <f ca="1">IF('Pontos de Coleta'!A9="","",IF(COUNTIF(INDIRECT("tblPocos["&amp;A$1&amp;"]"),'Pontos de Coleta'!A9)&gt;0,'Pontos de Coleta'!A9&amp;": Fechado",'Pontos de Coleta'!A9&amp;": "&amp;IF(COUNTIFS(Coletas!$B:$B,A$1,Coletas!$C:$C,'Pontos de Coleta'!A9,Coletas!$F:$F,"&gt;0",Coletas!$G:$G,"")+COUNTIFS(Operacionais!$B:$B,A$1,Operacionais!$C:$C,'Pontos de Coleta'!A9,Operacionais!$F:$F,"&gt;0",Operacionais!$G:$G,"")&gt;0,"Ok","Faltando")))</f>
        <v>T71-AX-0202 (IP Flash Vessel): Ok</v>
      </c>
      <c r="B9" s="39" t="str">
        <f ca="1">IF('Pontos de Coleta'!B9="","",IF(COUNTIF(INDIRECT("tblPocos["&amp;B$1&amp;"]"),'Pontos de Coleta'!B9)&gt;0,'Pontos de Coleta'!B9&amp;": Fechado",'Pontos de Coleta'!B9&amp;": "&amp;IF(COUNTIFS(Coletas!$B:$B,B$1,Coletas!$C:$C,'Pontos de Coleta'!B9,Coletas!$F:$F,"&gt;0",Coletas!$G:$G,"")+COUNTIFS(Operacionais!$B:$B,B$1,Operacionais!$C:$C,'Pontos de Coleta'!B9,Operacionais!$F:$F,"&gt;0",Operacionais!$G:$G,"")&gt;0,"Ok","Faltando")))</f>
        <v>T71-AX-0202 (IP Flash Vessel): Ok</v>
      </c>
      <c r="C9" s="39" t="str">
        <f ca="1">IF('Pontos de Coleta'!C9="","",IF(COUNTIF(INDIRECT("tblPocos["&amp;C$1&amp;"]"),'Pontos de Coleta'!C9)&gt;0,'Pontos de Coleta'!C9&amp;": Fechado",'Pontos de Coleta'!C9&amp;": "&amp;IF(COUNTIFS(Coletas!$B:$B,C$1,Coletas!$C:$C,'Pontos de Coleta'!C9,Coletas!$F:$F,"&gt;0",Coletas!$G:$G,"")+COUNTIFS(Operacionais!$B:$B,C$1,Operacionais!$C:$C,'Pontos de Coleta'!C9,Operacionais!$F:$F,"&gt;0",Operacionais!$G:$G,"")&gt;0,"Ok","Faltando")))</f>
        <v>T71-AX-0202 (IP Flash Vessel): Ok</v>
      </c>
      <c r="D9" s="39" t="str">
        <f ca="1">IF('Pontos de Coleta'!D9="","",IF(COUNTIF(INDIRECT("tblPocos["&amp;D$1&amp;"]"),'Pontos de Coleta'!D9)&gt;0,'Pontos de Coleta'!D9&amp;": Fechado",'Pontos de Coleta'!D9&amp;": "&amp;IF(COUNTIFS(Coletas!$B:$B,D$1,Coletas!$C:$C,'Pontos de Coleta'!D9,Coletas!$F:$F,"&gt;0",Coletas!$G:$G,"")+COUNTIFS(Operacionais!$B:$B,D$1,Operacionais!$C:$C,'Pontos de Coleta'!D9,Operacionais!$F:$F,"&gt;0",Operacionais!$G:$G,"")&gt;0,"Ok","Faltando")))</f>
        <v>T71-AP-0163 (IP Flash Vessel): Ok</v>
      </c>
      <c r="E9" s="39" t="str">
        <f ca="1">IF('Pontos de Coleta'!E9="","",IF(COUNTIF(INDIRECT("tblPocos["&amp;E$1&amp;"]"),'Pontos de Coleta'!E9)&gt;0,'Pontos de Coleta'!E9&amp;": Fechado",'Pontos de Coleta'!E9&amp;": "&amp;IF(COUNTIFS(Coletas!$B:$B,E$1,Coletas!$C:$C,'Pontos de Coleta'!E9,Coletas!$F:$F,"&gt;0",Coletas!$G:$G,"")+COUNTIFS(Operacionais!$B:$B,E$1,Operacionais!$C:$C,'Pontos de Coleta'!E9,Operacionais!$F:$F,"&gt;0",Operacionais!$G:$G,"")&gt;0,"Ok","Faltando")))</f>
        <v/>
      </c>
      <c r="F9" s="39" t="str">
        <f ca="1">IF('Pontos de Coleta'!F9="","",IF(COUNTIF(INDIRECT("tblPocos["&amp;F$1&amp;"]"),'Pontos de Coleta'!F9)&gt;0,'Pontos de Coleta'!F9&amp;": Fechado",'Pontos de Coleta'!F9&amp;": "&amp;IF(COUNTIFS(Coletas!$B:$B,F$1,Coletas!$C:$C,'Pontos de Coleta'!F9,Coletas!$F:$F,"&gt;0",Coletas!$G:$G,"")+COUNTIFS(Operacionais!$B:$B,F$1,Operacionais!$C:$C,'Pontos de Coleta'!F9,Operacionais!$F:$F,"&gt;0",Operacionais!$G:$G,"")&gt;0,"Ok","Faltando")))</f>
        <v>Poço CHT-07: Faltando</v>
      </c>
      <c r="G9" s="39" t="str">
        <f ca="1">IF('Pontos de Coleta'!G9="","",IF(COUNTIF(INDIRECT("tblPocos["&amp;G$1&amp;"]"),'Pontos de Coleta'!G9)&gt;0,'Pontos de Coleta'!G9&amp;": Fechado",'Pontos de Coleta'!G9&amp;": "&amp;IF(COUNTIFS(Coletas!$B:$B,G$1,Coletas!$C:$C,'Pontos de Coleta'!G9,Coletas!$F:$F,"&gt;0",Coletas!$G:$G,"")+COUNTIFS(Operacionais!$B:$B,G$1,Operacionais!$C:$C,'Pontos de Coleta'!G9,Operacionais!$F:$F,"&gt;0",Operacionais!$G:$G,"")&gt;0,"Ok","Faltando")))</f>
        <v>T62-SP-149 HP-B (PVT): Faltando</v>
      </c>
      <c r="H9" s="39" t="str">
        <f ca="1">IF('Pontos de Coleta'!H9="","",IF(COUNTIF(INDIRECT("tblPocos["&amp;H$1&amp;"]"),'Pontos de Coleta'!H9)&gt;0,'Pontos de Coleta'!H9&amp;": Fechado",'Pontos de Coleta'!H9&amp;": "&amp;IF(COUNTIFS(Coletas!$B:$B,H$1,Coletas!$C:$C,'Pontos de Coleta'!H9,Coletas!$F:$F,"&gt;0",Coletas!$G:$G,"")+COUNTIFS(Operacionais!$B:$B,H$1,Operacionais!$C:$C,'Pontos de Coleta'!H9,Operacionais!$F:$F,"&gt;0",Operacionais!$G:$G,"")&gt;0,"Ok","Faltando")))</f>
        <v>771-AP-0213 (LP Degasser): Ok</v>
      </c>
      <c r="I9" s="39" t="str">
        <f ca="1">IF('Pontos de Coleta'!I9="","",IF(COUNTIF(INDIRECT("tblPocos["&amp;I$1&amp;"]"),'Pontos de Coleta'!I9)&gt;0,'Pontos de Coleta'!I9&amp;": Fechado",'Pontos de Coleta'!I9&amp;": "&amp;IF(COUNTIFS(Coletas!$B:$B,I$1,Coletas!$C:$C,'Pontos de Coleta'!I9,Coletas!$F:$F,"&gt;0",Coletas!$G:$G,"")+COUNTIFS(Operacionais!$B:$B,I$1,Operacionais!$C:$C,'Pontos de Coleta'!I9,Operacionais!$F:$F,"&gt;0",Operacionais!$G:$G,"")&gt;0,"Ok","Faltando")))</f>
        <v>771-AP-0712B (FWKO Drum B): Ok</v>
      </c>
      <c r="J9" s="39" t="str">
        <f ca="1">IF('Pontos de Coleta'!J9="","",IF(COUNTIF(INDIRECT("tblPocos["&amp;J$1&amp;"]"),'Pontos de Coleta'!J9)&gt;0,'Pontos de Coleta'!J9&amp;": Fechado",'Pontos de Coleta'!J9&amp;": "&amp;IF(COUNTIFS(Coletas!$B:$B,J$1,Coletas!$C:$C,'Pontos de Coleta'!J9,Coletas!$F:$F,"&gt;0",Coletas!$G:$G,"")+COUNTIFS(Operacionais!$B:$B,J$1,Operacionais!$C:$C,'Pontos de Coleta'!J9,Operacionais!$F:$F,"&gt;0",Operacionais!$G:$G,"")&gt;0,"Ok","Faltando")))</f>
        <v>771-AP-0202 (IP Flash Vessel): Ok</v>
      </c>
    </row>
    <row r="10" spans="1:10" ht="12.75" customHeight="1" x14ac:dyDescent="0.25">
      <c r="A10" s="39" t="str">
        <f ca="1">IF('Pontos de Coleta'!A10="","",IF(COUNTIF(INDIRECT("tblPocos["&amp;A$1&amp;"]"),'Pontos de Coleta'!A10)&gt;0,'Pontos de Coleta'!A10&amp;": Fechado",'Pontos de Coleta'!A10&amp;": "&amp;IF(COUNTIFS(Coletas!$B:$B,A$1,Coletas!$C:$C,'Pontos de Coleta'!A10,Coletas!$F:$F,"&gt;0",Coletas!$G:$G,"")+COUNTIFS(Operacionais!$B:$B,A$1,Operacionais!$C:$C,'Pontos de Coleta'!A10,Operacionais!$F:$F,"&gt;0",Operacionais!$G:$G,"")&gt;0,"Ok","Faltando")))</f>
        <v>T71-AX-0402 (LP Degasser): Ok</v>
      </c>
      <c r="B10" s="39" t="str">
        <f ca="1">IF('Pontos de Coleta'!B10="","",IF(COUNTIF(INDIRECT("tblPocos["&amp;B$1&amp;"]"),'Pontos de Coleta'!B10)&gt;0,'Pontos de Coleta'!B10&amp;": Fechado",'Pontos de Coleta'!B10&amp;": "&amp;IF(COUNTIFS(Coletas!$B:$B,B$1,Coletas!$C:$C,'Pontos de Coleta'!B10,Coletas!$F:$F,"&gt;0",Coletas!$G:$G,"")+COUNTIFS(Operacionais!$B:$B,B$1,Operacionais!$C:$C,'Pontos de Coleta'!B10,Operacionais!$F:$F,"&gt;0",Operacionais!$G:$G,"")&gt;0,"Ok","Faltando")))</f>
        <v>T71-AX-0204 (LP Degasser): Ok</v>
      </c>
      <c r="C10" s="39" t="str">
        <f ca="1">IF('Pontos de Coleta'!C10="","",IF(COUNTIF(INDIRECT("tblPocos["&amp;C$1&amp;"]"),'Pontos de Coleta'!C10)&gt;0,'Pontos de Coleta'!C10&amp;": Fechado",'Pontos de Coleta'!C10&amp;": "&amp;IF(COUNTIFS(Coletas!$B:$B,C$1,Coletas!$C:$C,'Pontos de Coleta'!C10,Coletas!$F:$F,"&gt;0",Coletas!$G:$G,"")+COUNTIFS(Operacionais!$B:$B,C$1,Operacionais!$C:$C,'Pontos de Coleta'!C10,Operacionais!$F:$F,"&gt;0",Operacionais!$G:$G,"")&gt;0,"Ok","Faltando")))</f>
        <v>T71-AX-0402 (LP Degasser): Ok</v>
      </c>
      <c r="D10" s="39" t="str">
        <f ca="1">IF('Pontos de Coleta'!D10="","",IF(COUNTIF(INDIRECT("tblPocos["&amp;D$1&amp;"]"),'Pontos de Coleta'!D10)&gt;0,'Pontos de Coleta'!D10&amp;": Fechado",'Pontos de Coleta'!D10&amp;": "&amp;IF(COUNTIFS(Coletas!$B:$B,D$1,Coletas!$C:$C,'Pontos de Coleta'!D10,Coletas!$F:$F,"&gt;0",Coletas!$G:$G,"")+COUNTIFS(Operacionais!$B:$B,D$1,Operacionais!$C:$C,'Pontos de Coleta'!D10,Operacionais!$F:$F,"&gt;0",Operacionais!$G:$G,"")&gt;0,"Ok","Faltando")))</f>
        <v>T71-AP-0173 (LP Degasser): Ok</v>
      </c>
      <c r="E10" s="39" t="str">
        <f ca="1">IF('Pontos de Coleta'!E10="","",IF(COUNTIF(INDIRECT("tblPocos["&amp;E$1&amp;"]"),'Pontos de Coleta'!E10)&gt;0,'Pontos de Coleta'!E10&amp;": Fechado",'Pontos de Coleta'!E10&amp;": "&amp;IF(COUNTIFS(Coletas!$B:$B,E$1,Coletas!$C:$C,'Pontos de Coleta'!E10,Coletas!$F:$F,"&gt;0",Coletas!$G:$G,"")+COUNTIFS(Operacionais!$B:$B,E$1,Operacionais!$C:$C,'Pontos de Coleta'!E10,Operacionais!$F:$F,"&gt;0",Operacionais!$G:$G,"")&gt;0,"Ok","Faltando")))</f>
        <v/>
      </c>
      <c r="F10" s="39" t="str">
        <f ca="1">IF('Pontos de Coleta'!F10="","",IF(COUNTIF(INDIRECT("tblPocos["&amp;F$1&amp;"]"),'Pontos de Coleta'!F10)&gt;0,'Pontos de Coleta'!F10&amp;": Fechado",'Pontos de Coleta'!F10&amp;": "&amp;IF(COUNTIFS(Coletas!$B:$B,F$1,Coletas!$C:$C,'Pontos de Coleta'!F10,Coletas!$F:$F,"&gt;0",Coletas!$G:$G,"")+COUNTIFS(Operacionais!$B:$B,F$1,Operacionais!$C:$C,'Pontos de Coleta'!F10,Operacionais!$F:$F,"&gt;0",Operacionais!$G:$G,"")&gt;0,"Ok","Faltando")))</f>
        <v>Poço CHT-9H: Faltando</v>
      </c>
      <c r="G10" s="39" t="str">
        <f ca="1">IF('Pontos de Coleta'!G10="","",IF(COUNTIF(INDIRECT("tblPocos["&amp;G$1&amp;"]"),'Pontos de Coleta'!G10)&gt;0,'Pontos de Coleta'!G10&amp;": Fechado",'Pontos de Coleta'!G10&amp;": "&amp;IF(COUNTIFS(Coletas!$B:$B,G$1,Coletas!$C:$C,'Pontos de Coleta'!G10,Coletas!$F:$F,"&gt;0",Coletas!$G:$G,"")+COUNTIFS(Operacionais!$B:$B,G$1,Operacionais!$C:$C,'Pontos de Coleta'!G10,Operacionais!$F:$F,"&gt;0",Operacionais!$G:$G,"")&gt;0,"Ok","Faltando")))</f>
        <v>PST-223 2º SEP: Ok</v>
      </c>
      <c r="H10" s="39" t="str">
        <f ca="1">IF('Pontos de Coleta'!H10="","",IF(COUNTIF(INDIRECT("tblPocos["&amp;H$1&amp;"]"),'Pontos de Coleta'!H10)&gt;0,'Pontos de Coleta'!H10&amp;": Fechado",'Pontos de Coleta'!H10&amp;": "&amp;IF(COUNTIFS(Coletas!$B:$B,H$1,Coletas!$C:$C,'Pontos de Coleta'!H10,Coletas!$F:$F,"&gt;0",Coletas!$G:$G,"")+COUNTIFS(Operacionais!$B:$B,H$1,Operacionais!$C:$C,'Pontos de Coleta'!H10,Operacionais!$F:$F,"&gt;0",Operacionais!$G:$G,"")&gt;0,"Ok","Faltando")))</f>
        <v>771-AP-0102 (HP Separator): Ok</v>
      </c>
      <c r="I10" s="39" t="str">
        <f ca="1">IF('Pontos de Coleta'!I10="","",IF(COUNTIF(INDIRECT("tblPocos["&amp;I$1&amp;"]"),'Pontos de Coleta'!I10)&gt;0,'Pontos de Coleta'!I10&amp;": Fechado",'Pontos de Coleta'!I10&amp;": "&amp;IF(COUNTIFS(Coletas!$B:$B,I$1,Coletas!$C:$C,'Pontos de Coleta'!I10,Coletas!$F:$F,"&gt;0",Coletas!$G:$G,"")+COUNTIFS(Operacionais!$B:$B,I$1,Operacionais!$C:$C,'Pontos de Coleta'!I10,Operacionais!$F:$F,"&gt;0",Operacionais!$G:$G,"")&gt;0,"Ok","Faltando")))</f>
        <v>771-AP-0202A (IP Degasser A): Ok</v>
      </c>
      <c r="J10" s="39" t="str">
        <f ca="1">IF('Pontos de Coleta'!J10="","",IF(COUNTIF(INDIRECT("tblPocos["&amp;J$1&amp;"]"),'Pontos de Coleta'!J10)&gt;0,'Pontos de Coleta'!J10&amp;": Fechado",'Pontos de Coleta'!J10&amp;": "&amp;IF(COUNTIFS(Coletas!$B:$B,J$1,Coletas!$C:$C,'Pontos de Coleta'!J10,Coletas!$F:$F,"&gt;0",Coletas!$G:$G,"")+COUNTIFS(Operacionais!$B:$B,J$1,Operacionais!$C:$C,'Pontos de Coleta'!J10,Operacionais!$F:$F,"&gt;0",Operacionais!$G:$G,"")&gt;0,"Ok","Faltando")))</f>
        <v>771-AP-0213 (LP Degasser): Ok</v>
      </c>
    </row>
    <row r="11" spans="1:10" ht="12.75" customHeight="1" x14ac:dyDescent="0.25">
      <c r="A11" s="39" t="str">
        <f ca="1">IF('Pontos de Coleta'!A11="","",IF(COUNTIF(INDIRECT("tblPocos["&amp;A$1&amp;"]"),'Pontos de Coleta'!A11)&gt;0,'Pontos de Coleta'!A11&amp;": Fechado",'Pontos de Coleta'!A11&amp;": "&amp;IF(COUNTIFS(Coletas!$B:$B,A$1,Coletas!$C:$C,'Pontos de Coleta'!A11,Coletas!$F:$F,"&gt;0",Coletas!$G:$G,"")+COUNTIFS(Operacionais!$B:$B,A$1,Operacionais!$C:$C,'Pontos de Coleta'!A11,Operacionais!$F:$F,"&gt;0",Operacionais!$G:$G,"")&gt;0,"Ok","Faltando")))</f>
        <v>T75-AX-1139 (Injection Gas): Ok</v>
      </c>
      <c r="B11" s="39" t="str">
        <f ca="1">IF('Pontos de Coleta'!B11="","",IF(COUNTIF(INDIRECT("tblPocos["&amp;B$1&amp;"]"),'Pontos de Coleta'!B11)&gt;0,'Pontos de Coleta'!B11&amp;": Fechado",'Pontos de Coleta'!B11&amp;": "&amp;IF(COUNTIFS(Coletas!$B:$B,B$1,Coletas!$C:$C,'Pontos de Coleta'!B11,Coletas!$F:$F,"&gt;0",Coletas!$G:$G,"")+COUNTIFS(Operacionais!$B:$B,B$1,Operacionais!$C:$C,'Pontos de Coleta'!B11,Operacionais!$F:$F,"&gt;0",Operacionais!$G:$G,"")&gt;0,"Ok","Faltando")))</f>
        <v>T75-AX-1139 (Injection Gas): Ok</v>
      </c>
      <c r="C11" s="40" t="str">
        <f ca="1">IF('Pontos de Coleta'!C11="","",IF(COUNTIF(INDIRECT("tblPocos["&amp;C$1&amp;"]"),'Pontos de Coleta'!C11)&gt;0,'Pontos de Coleta'!C11&amp;": Fechado",'Pontos de Coleta'!C11&amp;": "&amp;IF(COUNTIFS(Coletas!$B:$B,C$1,Coletas!$C:$C,'Pontos de Coleta'!C11,Coletas!$F:$F,"&gt;0",Coletas!$G:$G,"")+COUNTIFS(Operacionais!$B:$B,C$1,Operacionais!$C:$C,'Pontos de Coleta'!C11,Operacionais!$F:$F,"&gt;0",Operacionais!$G:$G,"")&gt;0,"Ok","Faltando")))</f>
        <v>T75-AP-1139 (Injection Gas): Ok</v>
      </c>
      <c r="D11" s="39" t="str">
        <f ca="1">IF('Pontos de Coleta'!D11="","",IF(COUNTIF(INDIRECT("tblPocos["&amp;D$1&amp;"]"),'Pontos de Coleta'!D11)&gt;0,'Pontos de Coleta'!D11&amp;": Fechado",'Pontos de Coleta'!D11&amp;": "&amp;IF(COUNTIFS(Coletas!$B:$B,D$1,Coletas!$C:$C,'Pontos de Coleta'!D11,Coletas!$F:$F,"&gt;0",Coletas!$G:$G,"")+COUNTIFS(Operacionais!$B:$B,D$1,Operacionais!$C:$C,'Pontos de Coleta'!D11,Operacionais!$F:$F,"&gt;0",Operacionais!$G:$G,"")&gt;0,"Ok","Faltando")))</f>
        <v>T75-AP-1109 (Injection Gas): Ok</v>
      </c>
      <c r="E11" s="39" t="str">
        <f ca="1">IF('Pontos de Coleta'!E11="","",IF(COUNTIF(INDIRECT("tblPocos["&amp;E$1&amp;"]"),'Pontos de Coleta'!E11)&gt;0,'Pontos de Coleta'!E11&amp;": Fechado",'Pontos de Coleta'!E11&amp;": "&amp;IF(COUNTIFS(Coletas!$B:$B,E$1,Coletas!$C:$C,'Pontos de Coleta'!E11,Coletas!$F:$F,"&gt;0",Coletas!$G:$G,"")+COUNTIFS(Operacionais!$B:$B,E$1,Operacionais!$C:$C,'Pontos de Coleta'!E11,Operacionais!$F:$F,"&gt;0",Operacionais!$G:$G,"")&gt;0,"Ok","Faltando")))</f>
        <v/>
      </c>
      <c r="F11" s="39" t="str">
        <f ca="1">IF('Pontos de Coleta'!F11="","",IF(COUNTIF(INDIRECT("tblPocos["&amp;F$1&amp;"]"),'Pontos de Coleta'!F11)&gt;0,'Pontos de Coleta'!F11&amp;": Fechado",'Pontos de Coleta'!F11&amp;": "&amp;IF(COUNTIFS(Coletas!$B:$B,F$1,Coletas!$C:$C,'Pontos de Coleta'!F11,Coletas!$F:$F,"&gt;0",Coletas!$G:$G,"")+COUNTIFS(Operacionais!$B:$B,F$1,Operacionais!$C:$C,'Pontos de Coleta'!F11,Operacionais!$F:$F,"&gt;0",Operacionais!$G:$G,"")&gt;0,"Ok","Faltando")))</f>
        <v>Poço BFR-01: Faltando</v>
      </c>
      <c r="G11" s="39" t="str">
        <f ca="1">IF('Pontos de Coleta'!G11="","",IF(COUNTIF(INDIRECT("tblPocos["&amp;G$1&amp;"]"),'Pontos de Coleta'!G11)&gt;0,'Pontos de Coleta'!G11&amp;": Fechado",'Pontos de Coleta'!G11&amp;": "&amp;IF(COUNTIFS(Coletas!$B:$B,G$1,Coletas!$C:$C,'Pontos de Coleta'!G11,Coletas!$F:$F,"&gt;0",Coletas!$G:$G,"")+COUNTIFS(Operacionais!$B:$B,G$1,Operacionais!$C:$C,'Pontos de Coleta'!G11,Operacionais!$F:$F,"&gt;0",Operacionais!$G:$G,"")&gt;0,"Ok","Faltando")))</f>
        <v>F64-AT-002A - Offloading: Faltando</v>
      </c>
      <c r="H11" s="39" t="str">
        <f ca="1">IF('Pontos de Coleta'!H11="","",IF(COUNTIF(INDIRECT("tblPocos["&amp;H$1&amp;"]"),'Pontos de Coleta'!H11)&gt;0,'Pontos de Coleta'!H11&amp;": Fechado",'Pontos de Coleta'!H11&amp;": "&amp;IF(COUNTIFS(Coletas!$B:$B,H$1,Coletas!$C:$C,'Pontos de Coleta'!H11,Coletas!$F:$F,"&gt;0",Coletas!$G:$G,"")+COUNTIFS(Operacionais!$B:$B,H$1,Operacionais!$C:$C,'Pontos de Coleta'!H11,Operacionais!$F:$F,"&gt;0",Operacionais!$G:$G,"")&gt;0,"Ok","Faltando")))</f>
        <v>772-AP-1710-1 (Gas Dehydration): Ok</v>
      </c>
      <c r="I11" s="39" t="str">
        <f ca="1">IF('Pontos de Coleta'!I11="","",IF(COUNTIF(INDIRECT("tblPocos["&amp;I$1&amp;"]"),'Pontos de Coleta'!I11)&gt;0,'Pontos de Coleta'!I11&amp;": Fechado",'Pontos de Coleta'!I11&amp;": "&amp;IF(COUNTIFS(Coletas!$B:$B,I$1,Coletas!$C:$C,'Pontos de Coleta'!I11,Coletas!$F:$F,"&gt;0",Coletas!$G:$G,"")+COUNTIFS(Operacionais!$B:$B,I$1,Operacionais!$C:$C,'Pontos de Coleta'!I11,Operacionais!$F:$F,"&gt;0",Operacionais!$G:$G,"")&gt;0,"Ok","Faltando")))</f>
        <v>771-AP-0202B (IP Degasser B): Ok</v>
      </c>
      <c r="J11" s="39" t="str">
        <f ca="1">IF('Pontos de Coleta'!J11="","",IF(COUNTIF(INDIRECT("tblPocos["&amp;J$1&amp;"]"),'Pontos de Coleta'!J11)&gt;0,'Pontos de Coleta'!J11&amp;": Fechado",'Pontos de Coleta'!J11&amp;": "&amp;IF(COUNTIFS(Coletas!$B:$B,J$1,Coletas!$C:$C,'Pontos de Coleta'!J11,Coletas!$F:$F,"&gt;0",Coletas!$G:$G,"")+COUNTIFS(Operacionais!$B:$B,J$1,Operacionais!$C:$C,'Pontos de Coleta'!J11,Operacionais!$F:$F,"&gt;0",Operacionais!$G:$G,"")&gt;0,"Ok","Faltando")))</f>
        <v>772-AP-1710 (Gas Dehydration): Ok</v>
      </c>
    </row>
    <row r="12" spans="1:10" ht="12.75" customHeight="1" x14ac:dyDescent="0.25">
      <c r="A12" s="39" t="str">
        <f ca="1">IF('Pontos de Coleta'!A12="","",IF(COUNTIF(INDIRECT("tblPocos["&amp;A$1&amp;"]"),'Pontos de Coleta'!A12)&gt;0,'Pontos de Coleta'!A12&amp;": Fechado",'Pontos de Coleta'!A12&amp;": "&amp;IF(COUNTIFS(Coletas!$B:$B,A$1,Coletas!$C:$C,'Pontos de Coleta'!A12,Coletas!$F:$F,"&gt;0",Coletas!$G:$G,"")+COUNTIFS(Operacionais!$B:$B,A$1,Operacionais!$C:$C,'Pontos de Coleta'!A12,Operacionais!$F:$F,"&gt;0",Operacionais!$G:$G,"")&gt;0,"Ok","Faltando")))</f>
        <v>Poço LL-46 (P-01): Ok</v>
      </c>
      <c r="B12" s="39" t="str">
        <f ca="1">IF('Pontos de Coleta'!B12="","",IF(COUNTIF(INDIRECT("tblPocos["&amp;B$1&amp;"]"),'Pontos de Coleta'!B12)&gt;0,'Pontos de Coleta'!B12&amp;": Fechado",'Pontos de Coleta'!B12&amp;": "&amp;IF(COUNTIFS(Coletas!$B:$B,B$1,Coletas!$C:$C,'Pontos de Coleta'!B12,Coletas!$F:$F,"&gt;0",Coletas!$G:$G,"")+COUNTIFS(Operacionais!$B:$B,B$1,Operacionais!$C:$C,'Pontos de Coleta'!B12,Operacionais!$F:$F,"&gt;0",Operacionais!$G:$G,"")&gt;0,"Ok","Faltando")))</f>
        <v>Poço LL-48 (P-01): Ok</v>
      </c>
      <c r="C12" s="40" t="str">
        <f ca="1">IF('Pontos de Coleta'!C12="","",IF(COUNTIF(INDIRECT("tblPocos["&amp;C$1&amp;"]"),'Pontos de Coleta'!C12)&gt;0,'Pontos de Coleta'!C12&amp;": Fechado",'Pontos de Coleta'!C12&amp;": "&amp;IF(COUNTIFS(Coletas!$B:$B,C$1,Coletas!$C:$C,'Pontos de Coleta'!C12,Coletas!$F:$F,"&gt;0",Coletas!$G:$G,"")+COUNTIFS(Operacionais!$B:$B,C$1,Operacionais!$C:$C,'Pontos de Coleta'!C12,Operacionais!$F:$F,"&gt;0",Operacionais!$G:$G,"")&gt;0,"Ok","Faltando")))</f>
        <v>Poço SPH-15 (P-1): Fechado</v>
      </c>
      <c r="D12" s="39" t="str">
        <f ca="1">IF('Pontos de Coleta'!D12="","",IF(COUNTIF(INDIRECT("tblPocos["&amp;D$1&amp;"]"),'Pontos de Coleta'!D12)&gt;0,'Pontos de Coleta'!D12&amp;": Fechado",'Pontos de Coleta'!D12&amp;": "&amp;IF(COUNTIFS(Coletas!$B:$B,D$1,Coletas!$C:$C,'Pontos de Coleta'!D12,Coletas!$F:$F,"&gt;0",Coletas!$G:$G,"")+COUNTIFS(Operacionais!$B:$B,D$1,Operacionais!$C:$C,'Pontos de Coleta'!D12,Operacionais!$F:$F,"&gt;0",Operacionais!$G:$G,"")&gt;0,"Ok","Faltando")))</f>
        <v>T75-AP-3109 (CO2 to Flare): Ok</v>
      </c>
      <c r="E12" s="39" t="str">
        <f ca="1">IF('Pontos de Coleta'!E12="","",IF(COUNTIF(INDIRECT("tblPocos["&amp;E$1&amp;"]"),'Pontos de Coleta'!E12)&gt;0,'Pontos de Coleta'!E12&amp;": Fechado",'Pontos de Coleta'!E12&amp;": "&amp;IF(COUNTIFS(Coletas!$B:$B,E$1,Coletas!$C:$C,'Pontos de Coleta'!E12,Coletas!$F:$F,"&gt;0",Coletas!$G:$G,"")+COUNTIFS(Operacionais!$B:$B,E$1,Operacionais!$C:$C,'Pontos de Coleta'!E12,Operacionais!$F:$F,"&gt;0",Operacionais!$G:$G,"")&gt;0,"Ok","Faltando")))</f>
        <v/>
      </c>
      <c r="F12" s="39" t="str">
        <f ca="1">IF('Pontos de Coleta'!F12="","",IF(COUNTIF(INDIRECT("tblPocos["&amp;F$1&amp;"]"),'Pontos de Coleta'!F12)&gt;0,'Pontos de Coleta'!F12&amp;": Fechado",'Pontos de Coleta'!F12&amp;": "&amp;IF(COUNTIFS(Coletas!$B:$B,F$1,Coletas!$C:$C,'Pontos de Coleta'!F12,Coletas!$F:$F,"&gt;0",Coletas!$G:$G,"")+COUNTIFS(Operacionais!$B:$B,F$1,Operacionais!$C:$C,'Pontos de Coleta'!F12,Operacionais!$F:$F,"&gt;0",Operacionais!$G:$G,"")&gt;0,"Ok","Faltando")))</f>
        <v>Poço BFR-03: Fechado</v>
      </c>
      <c r="G12" s="39" t="str">
        <f ca="1">IF('Pontos de Coleta'!G12="","",IF(COUNTIF(INDIRECT("tblPocos["&amp;G$1&amp;"]"),'Pontos de Coleta'!G12)&gt;0,'Pontos de Coleta'!G12&amp;": Fechado",'Pontos de Coleta'!G12&amp;": "&amp;IF(COUNTIFS(Coletas!$B:$B,G$1,Coletas!$C:$C,'Pontos de Coleta'!G12,Coletas!$F:$F,"&gt;0",Coletas!$G:$G,"")+COUNTIFS(Operacionais!$B:$B,G$1,Operacionais!$C:$C,'Pontos de Coleta'!G12,Operacionais!$F:$F,"&gt;0",Operacionais!$G:$G,"")&gt;0,"Ok","Faltando")))</f>
        <v>Poço 6-BAZ-01: Fechado</v>
      </c>
      <c r="H12" s="39" t="str">
        <f ca="1">IF('Pontos de Coleta'!H12="","",IF(COUNTIF(INDIRECT("tblPocos["&amp;H$1&amp;"]"),'Pontos de Coleta'!H12)&gt;0,'Pontos de Coleta'!H12&amp;": Fechado",'Pontos de Coleta'!H12&amp;": "&amp;IF(COUNTIFS(Coletas!$B:$B,H$1,Coletas!$C:$C,'Pontos de Coleta'!H12,Coletas!$F:$F,"&gt;0",Coletas!$G:$G,"")+COUNTIFS(Operacionais!$B:$B,H$1,Operacionais!$C:$C,'Pontos de Coleta'!H12,Operacionais!$F:$F,"&gt;0",Operacionais!$G:$G,"")&gt;0,"Ok","Faltando")))</f>
        <v>777-AP-1211 (Flare Pilot): Ok</v>
      </c>
      <c r="I12" s="39" t="str">
        <f ca="1">IF('Pontos de Coleta'!I12="","",IF(COUNTIF(INDIRECT("tblPocos["&amp;I$1&amp;"]"),'Pontos de Coleta'!I12)&gt;0,'Pontos de Coleta'!I12&amp;": Fechado",'Pontos de Coleta'!I12&amp;": "&amp;IF(COUNTIFS(Coletas!$B:$B,I$1,Coletas!$C:$C,'Pontos de Coleta'!I12,Coletas!$F:$F,"&gt;0",Coletas!$G:$G,"")+COUNTIFS(Operacionais!$B:$B,I$1,Operacionais!$C:$C,'Pontos de Coleta'!I12,Operacionais!$F:$F,"&gt;0",Operacionais!$G:$G,"")&gt;0,"Ok","Faltando")))</f>
        <v>771-AP-0253A (LP Degasser A): Ok</v>
      </c>
      <c r="J12" s="39" t="str">
        <f ca="1">IF('Pontos de Coleta'!J12="","",IF(COUNTIF(INDIRECT("tblPocos["&amp;J$1&amp;"]"),'Pontos de Coleta'!J12)&gt;0,'Pontos de Coleta'!J12&amp;": Fechado",'Pontos de Coleta'!J12&amp;": "&amp;IF(COUNTIFS(Coletas!$B:$B,J$1,Coletas!$C:$C,'Pontos de Coleta'!J12,Coletas!$F:$F,"&gt;0",Coletas!$G:$G,"")+COUNTIFS(Operacionais!$B:$B,J$1,Operacionais!$C:$C,'Pontos de Coleta'!J12,Operacionais!$F:$F,"&gt;0",Operacionais!$G:$G,"")&gt;0,"Ok","Faltando")))</f>
        <v>777-AP-1211 (Flare Pilot): Ok</v>
      </c>
    </row>
    <row r="13" spans="1:10" ht="12.75" customHeight="1" x14ac:dyDescent="0.25">
      <c r="A13" s="39" t="str">
        <f ca="1">IF('Pontos de Coleta'!A13="","",IF(COUNTIF(INDIRECT("tblPocos["&amp;A$1&amp;"]"),'Pontos de Coleta'!A13)&gt;0,'Pontos de Coleta'!A13&amp;": Fechado",'Pontos de Coleta'!A13&amp;": "&amp;IF(COUNTIFS(Coletas!$B:$B,A$1,Coletas!$C:$C,'Pontos de Coleta'!A13,Coletas!$F:$F,"&gt;0",Coletas!$G:$G,"")+COUNTIFS(Operacionais!$B:$B,A$1,Operacionais!$C:$C,'Pontos de Coleta'!A13,Operacionais!$F:$F,"&gt;0",Operacionais!$G:$G,"")&gt;0,"Ok","Faltando")))</f>
        <v>Poço LL-91 (P-02): Ok</v>
      </c>
      <c r="B13" s="39" t="str">
        <f ca="1">IF('Pontos de Coleta'!B13="","",IF(COUNTIF(INDIRECT("tblPocos["&amp;B$1&amp;"]"),'Pontos de Coleta'!B13)&gt;0,'Pontos de Coleta'!B13&amp;": Fechado",'Pontos de Coleta'!B13&amp;": "&amp;IF(COUNTIFS(Coletas!$B:$B,B$1,Coletas!$C:$C,'Pontos de Coleta'!B13,Coletas!$F:$F,"&gt;0",Coletas!$G:$G,"")+COUNTIFS(Operacionais!$B:$B,B$1,Operacionais!$C:$C,'Pontos de Coleta'!B13,Operacionais!$F:$F,"&gt;0",Operacionais!$G:$G,"")&gt;0,"Ok","Faltando")))</f>
        <v>Poço LL-63 (P-02): Fechado</v>
      </c>
      <c r="C13" s="40" t="str">
        <f ca="1">IF('Pontos de Coleta'!C13="","",IF(COUNTIF(INDIRECT("tblPocos["&amp;C$1&amp;"]"),'Pontos de Coleta'!C13)&gt;0,'Pontos de Coleta'!C13&amp;": Fechado",'Pontos de Coleta'!C13&amp;": "&amp;IF(COUNTIFS(Coletas!$B:$B,C$1,Coletas!$C:$C,'Pontos de Coleta'!C13,Coletas!$F:$F,"&gt;0",Coletas!$G:$G,"")+COUNTIFS(Operacionais!$B:$B,C$1,Operacionais!$C:$C,'Pontos de Coleta'!C13,Operacionais!$F:$F,"&gt;0",Operacionais!$G:$G,"")&gt;0,"Ok","Faltando")))</f>
        <v>Poço SPS-69 (P-2): Fechado</v>
      </c>
      <c r="D13" s="39" t="str">
        <f ca="1">IF('Pontos de Coleta'!D13="","",IF(COUNTIF(INDIRECT("tblPocos["&amp;D$1&amp;"]"),'Pontos de Coleta'!D13)&gt;0,'Pontos de Coleta'!D13&amp;": Fechado",'Pontos de Coleta'!D13&amp;": "&amp;IF(COUNTIFS(Coletas!$B:$B,D$1,Coletas!$C:$C,'Pontos de Coleta'!D13,Coletas!$F:$F,"&gt;0",Coletas!$G:$G,"")+COUNTIFS(Operacionais!$B:$B,D$1,Operacionais!$C:$C,'Pontos de Coleta'!D13,Operacionais!$F:$F,"&gt;0",Operacionais!$G:$G,"")&gt;0,"Ok","Faltando")))</f>
        <v>Poço LL-28 (P-1): Ok</v>
      </c>
      <c r="E13" s="39" t="str">
        <f ca="1">IF('Pontos de Coleta'!E13="","",IF(COUNTIF(INDIRECT("tblPocos["&amp;E$1&amp;"]"),'Pontos de Coleta'!E13)&gt;0,'Pontos de Coleta'!E13&amp;": Fechado",'Pontos de Coleta'!E13&amp;": "&amp;IF(COUNTIFS(Coletas!$B:$B,E$1,Coletas!$C:$C,'Pontos de Coleta'!E13,Coletas!$F:$F,"&gt;0",Coletas!$G:$G,"")+COUNTIFS(Operacionais!$B:$B,E$1,Operacionais!$C:$C,'Pontos de Coleta'!E13,Operacionais!$F:$F,"&gt;0",Operacionais!$G:$G,"")&gt;0,"Ok","Faltando")))</f>
        <v/>
      </c>
      <c r="F13" s="39" t="str">
        <f ca="1">IF('Pontos de Coleta'!F13="","",IF(COUNTIF(INDIRECT("tblPocos["&amp;F$1&amp;"]"),'Pontos de Coleta'!F13)&gt;0,'Pontos de Coleta'!F13&amp;": Fechado",'Pontos de Coleta'!F13&amp;": "&amp;IF(COUNTIFS(Coletas!$B:$B,F$1,Coletas!$C:$C,'Pontos de Coleta'!F13,Coletas!$F:$F,"&gt;0",Coletas!$G:$G,"")+COUNTIFS(Operacionais!$B:$B,F$1,Operacionais!$C:$C,'Pontos de Coleta'!F13,Operacionais!$F:$F,"&gt;0",Operacionais!$G:$G,"")&gt;0,"Ok","Faltando")))</f>
        <v>Poço JUB-45: Faltando</v>
      </c>
      <c r="G13" s="39" t="str">
        <f ca="1">IF('Pontos de Coleta'!G13="","",IF(COUNTIF(INDIRECT("tblPocos["&amp;G$1&amp;"]"),'Pontos de Coleta'!G13)&gt;0,'Pontos de Coleta'!G13&amp;": Fechado",'Pontos de Coleta'!G13&amp;": "&amp;IF(COUNTIFS(Coletas!$B:$B,G$1,Coletas!$C:$C,'Pontos de Coleta'!G13,Coletas!$F:$F,"&gt;0",Coletas!$G:$G,"")+COUNTIFS(Operacionais!$B:$B,G$1,Operacionais!$C:$C,'Pontos de Coleta'!G13,Operacionais!$F:$F,"&gt;0",Operacionais!$G:$G,"")&gt;0,"Ok","Faltando")))</f>
        <v>Poço 7-BAZ-03: Fechado</v>
      </c>
      <c r="H13" s="39" t="str">
        <f ca="1">IF('Pontos de Coleta'!H13="","",IF(COUNTIF(INDIRECT("tblPocos["&amp;H$1&amp;"]"),'Pontos de Coleta'!H13)&gt;0,'Pontos de Coleta'!H13&amp;": Fechado",'Pontos de Coleta'!H13&amp;": "&amp;IF(COUNTIFS(Coletas!$B:$B,H$1,Coletas!$C:$C,'Pontos de Coleta'!H13,Coletas!$F:$F,"&gt;0",Coletas!$G:$G,"")+COUNTIFS(Operacionais!$B:$B,H$1,Operacionais!$C:$C,'Pontos de Coleta'!H13,Operacionais!$F:$F,"&gt;0",Operacionais!$G:$G,"")&gt;0,"Ok","Faltando")))</f>
        <v>775-AP-6014 (Gas Injection): Ok</v>
      </c>
      <c r="I13" s="39" t="str">
        <f ca="1">IF('Pontos de Coleta'!I13="","",IF(COUNTIF(INDIRECT("tblPocos["&amp;I$1&amp;"]"),'Pontos de Coleta'!I13)&gt;0,'Pontos de Coleta'!I13&amp;": Fechado",'Pontos de Coleta'!I13&amp;": "&amp;IF(COUNTIFS(Coletas!$B:$B,I$1,Coletas!$C:$C,'Pontos de Coleta'!I13,Coletas!$F:$F,"&gt;0",Coletas!$G:$G,"")+COUNTIFS(Operacionais!$B:$B,I$1,Operacionais!$C:$C,'Pontos de Coleta'!I13,Operacionais!$F:$F,"&gt;0",Operacionais!$G:$G,"")&gt;0,"Ok","Faltando")))</f>
        <v>771-AP-0253B (LP Degasser B): Ok</v>
      </c>
      <c r="J13" s="39" t="str">
        <f ca="1">IF('Pontos de Coleta'!J13="","",IF(COUNTIF(INDIRECT("tblPocos["&amp;J$1&amp;"]"),'Pontos de Coleta'!J13)&gt;0,'Pontos de Coleta'!J13&amp;": Fechado",'Pontos de Coleta'!J13&amp;": "&amp;IF(COUNTIFS(Coletas!$B:$B,J$1,Coletas!$C:$C,'Pontos de Coleta'!J13,Coletas!$F:$F,"&gt;0",Coletas!$G:$G,"")+COUNTIFS(Operacionais!$B:$B,J$1,Operacionais!$C:$C,'Pontos de Coleta'!J13,Operacionais!$F:$F,"&gt;0",Operacionais!$G:$G,"")&gt;0,"Ok","Faltando")))</f>
        <v>775-AP-6008 (Gas de Injeção): Ok</v>
      </c>
    </row>
    <row r="14" spans="1:10" ht="12.75" customHeight="1" x14ac:dyDescent="0.25">
      <c r="A14" s="39" t="str">
        <f ca="1">IF('Pontos de Coleta'!A14="","",IF(COUNTIF(INDIRECT("tblPocos["&amp;A$1&amp;"]"),'Pontos de Coleta'!A14)&gt;0,'Pontos de Coleta'!A14&amp;": Fechado",'Pontos de Coleta'!A14&amp;": "&amp;IF(COUNTIFS(Coletas!$B:$B,A$1,Coletas!$C:$C,'Pontos de Coleta'!A14,Coletas!$F:$F,"&gt;0",Coletas!$G:$G,"")+COUNTIFS(Operacionais!$B:$B,A$1,Operacionais!$C:$C,'Pontos de Coleta'!A14,Operacionais!$F:$F,"&gt;0",Operacionais!$G:$G,"")&gt;0,"Ok","Faltando")))</f>
        <v>Poço LL-07 (P-03): Ok</v>
      </c>
      <c r="B14" s="39" t="str">
        <f ca="1">IF('Pontos de Coleta'!B14="","",IF(COUNTIF(INDIRECT("tblPocos["&amp;B$1&amp;"]"),'Pontos de Coleta'!B14)&gt;0,'Pontos de Coleta'!B14&amp;": Fechado",'Pontos de Coleta'!B14&amp;": "&amp;IF(COUNTIFS(Coletas!$B:$B,B$1,Coletas!$C:$C,'Pontos de Coleta'!B14,Coletas!$F:$F,"&gt;0",Coletas!$G:$G,"")+COUNTIFS(Operacionais!$B:$B,B$1,Operacionais!$C:$C,'Pontos de Coleta'!B14,Operacionais!$F:$F,"&gt;0",Operacionais!$G:$G,"")&gt;0,"Ok","Faltando")))</f>
        <v>Poço LL-58 (P-03): Fechado</v>
      </c>
      <c r="C14" s="40" t="str">
        <f ca="1">IF('Pontos de Coleta'!C14="","",IF(COUNTIF(INDIRECT("tblPocos["&amp;C$1&amp;"]"),'Pontos de Coleta'!C14)&gt;0,'Pontos de Coleta'!C14&amp;": Fechado",'Pontos de Coleta'!C14&amp;": "&amp;IF(COUNTIFS(Coletas!$B:$B,C$1,Coletas!$C:$C,'Pontos de Coleta'!C14,Coletas!$F:$F,"&gt;0",Coletas!$G:$G,"")+COUNTIFS(Operacionais!$B:$B,C$1,Operacionais!$C:$C,'Pontos de Coleta'!C14,Operacionais!$F:$F,"&gt;0",Operacionais!$G:$G,"")&gt;0,"Ok","Faltando")))</f>
        <v>Poço SPH-7 (P-3): Ok</v>
      </c>
      <c r="D14" s="39" t="str">
        <f ca="1">IF('Pontos de Coleta'!D14="","",IF(COUNTIF(INDIRECT("tblPocos["&amp;D$1&amp;"]"),'Pontos de Coleta'!D14)&gt;0,'Pontos de Coleta'!D14&amp;": Fechado",'Pontos de Coleta'!D14&amp;": "&amp;IF(COUNTIFS(Coletas!$B:$B,D$1,Coletas!$C:$C,'Pontos de Coleta'!D14,Coletas!$F:$F,"&gt;0",Coletas!$G:$G,"")+COUNTIFS(Operacionais!$B:$B,D$1,Operacionais!$C:$C,'Pontos de Coleta'!D14,Operacionais!$F:$F,"&gt;0",Operacionais!$G:$G,"")&gt;0,"Ok","Faltando")))</f>
        <v>Poço LL-19 (P-02): Fechado</v>
      </c>
      <c r="E14" s="39" t="str">
        <f ca="1">IF('Pontos de Coleta'!E14="","",IF(COUNTIF(INDIRECT("tblPocos["&amp;E$1&amp;"]"),'Pontos de Coleta'!E14)&gt;0,'Pontos de Coleta'!E14&amp;": Fechado",'Pontos de Coleta'!E14&amp;": "&amp;IF(COUNTIFS(Coletas!$B:$B,E$1,Coletas!$C:$C,'Pontos de Coleta'!E14,Coletas!$F:$F,"&gt;0",Coletas!$G:$G,"")+COUNTIFS(Operacionais!$B:$B,E$1,Operacionais!$C:$C,'Pontos de Coleta'!E14,Operacionais!$F:$F,"&gt;0",Operacionais!$G:$G,"")&gt;0,"Ok","Faltando")))</f>
        <v/>
      </c>
      <c r="F14" s="39" t="str">
        <f ca="1">IF('Pontos de Coleta'!F14="","",IF(COUNTIF(INDIRECT("tblPocos["&amp;F$1&amp;"]"),'Pontos de Coleta'!F14)&gt;0,'Pontos de Coleta'!F14&amp;": Fechado",'Pontos de Coleta'!F14&amp;": "&amp;IF(COUNTIFS(Coletas!$B:$B,F$1,Coletas!$C:$C,'Pontos de Coleta'!F14,Coletas!$F:$F,"&gt;0",Coletas!$G:$G,"")+COUNTIFS(Operacionais!$B:$B,F$1,Operacionais!$C:$C,'Pontos de Coleta'!F14,Operacionais!$F:$F,"&gt;0",Operacionais!$G:$G,"")&gt;0,"Ok","Faltando")))</f>
        <v>Poço BAZ-10: Fechado</v>
      </c>
      <c r="G14" s="39" t="str">
        <f ca="1">IF('Pontos de Coleta'!G14="","",IF(COUNTIF(INDIRECT("tblPocos["&amp;G$1&amp;"]"),'Pontos de Coleta'!G14)&gt;0,'Pontos de Coleta'!G14&amp;": Fechado",'Pontos de Coleta'!G14&amp;": "&amp;IF(COUNTIFS(Coletas!$B:$B,G$1,Coletas!$C:$C,'Pontos de Coleta'!G14,Coletas!$F:$F,"&gt;0",Coletas!$G:$G,"")+COUNTIFS(Operacionais!$B:$B,G$1,Operacionais!$C:$C,'Pontos de Coleta'!G14,Operacionais!$F:$F,"&gt;0",Operacionais!$G:$G,"")&gt;0,"Ok","Faltando")))</f>
        <v>Poço 7-BAZ-04: Ok</v>
      </c>
      <c r="H14" s="39" t="str">
        <f ca="1">IF('Pontos de Coleta'!H14="","",IF(COUNTIF(INDIRECT("tblPocos["&amp;H$1&amp;"]"),'Pontos de Coleta'!H14)&gt;0,'Pontos de Coleta'!H14&amp;": Fechado",'Pontos de Coleta'!H14&amp;": "&amp;IF(COUNTIFS(Coletas!$B:$B,H$1,Coletas!$C:$C,'Pontos de Coleta'!H14,Coletas!$F:$F,"&gt;0",Coletas!$G:$G,"")+COUNTIFS(Operacionais!$B:$B,H$1,Operacionais!$C:$C,'Pontos de Coleta'!H14,Operacionais!$F:$F,"&gt;0",Operacionais!$G:$G,"")&gt;0,"Ok","Faltando")))</f>
        <v>667-AP-2297 (FWKO Drum): Ok</v>
      </c>
      <c r="I14" s="39" t="str">
        <f ca="1">IF('Pontos de Coleta'!I14="","",IF(COUNTIF(INDIRECT("tblPocos["&amp;I$1&amp;"]"),'Pontos de Coleta'!I14)&gt;0,'Pontos de Coleta'!I14&amp;": Fechado",'Pontos de Coleta'!I14&amp;": "&amp;IF(COUNTIFS(Coletas!$B:$B,I$1,Coletas!$C:$C,'Pontos de Coleta'!I14,Coletas!$F:$F,"&gt;0",Coletas!$G:$G,"")+COUNTIFS(Operacionais!$B:$B,I$1,Operacionais!$C:$C,'Pontos de Coleta'!I14,Operacionais!$F:$F,"&gt;0",Operacionais!$G:$G,"")&gt;0,"Ok","Faltando")))</f>
        <v>772-AP-1710 (Gas Dehydration): Ok</v>
      </c>
      <c r="J14" s="39" t="str">
        <f ca="1">IF('Pontos de Coleta'!J14="","",IF(COUNTIF(INDIRECT("tblPocos["&amp;J$1&amp;"]"),'Pontos de Coleta'!J14)&gt;0,'Pontos de Coleta'!J14&amp;": Fechado",'Pontos de Coleta'!J14&amp;": "&amp;IF(COUNTIFS(Coletas!$B:$B,J$1,Coletas!$C:$C,'Pontos de Coleta'!J14,Coletas!$F:$F,"&gt;0",Coletas!$G:$G,"")+COUNTIFS(Operacionais!$B:$B,J$1,Operacionais!$C:$C,'Pontos de Coleta'!J14,Operacionais!$F:$F,"&gt;0",Operacionais!$G:$G,"")&gt;0,"Ok","Faltando")))</f>
        <v>Poço MRO-27  P-8: Ok</v>
      </c>
    </row>
    <row r="15" spans="1:10" ht="12.75" customHeight="1" x14ac:dyDescent="0.25">
      <c r="A15" s="39" t="str">
        <f ca="1">IF('Pontos de Coleta'!A15="","",IF(COUNTIF(INDIRECT("tblPocos["&amp;A$1&amp;"]"),'Pontos de Coleta'!A15)&gt;0,'Pontos de Coleta'!A15&amp;": Fechado",'Pontos de Coleta'!A15&amp;": "&amp;IF(COUNTIFS(Coletas!$B:$B,A$1,Coletas!$C:$C,'Pontos de Coleta'!A15,Coletas!$F:$F,"&gt;0",Coletas!$G:$G,"")+COUNTIFS(Operacionais!$B:$B,A$1,Operacionais!$C:$C,'Pontos de Coleta'!A15,Operacionais!$F:$F,"&gt;0",Operacionais!$G:$G,"")&gt;0,"Ok","Faltando")))</f>
        <v>Poço LL-85 (P-05): Fechado</v>
      </c>
      <c r="B15" s="39" t="str">
        <f ca="1">IF('Pontos de Coleta'!B15="","",IF(COUNTIF(INDIRECT("tblPocos["&amp;B$1&amp;"]"),'Pontos de Coleta'!B15)&gt;0,'Pontos de Coleta'!B15&amp;": Fechado",'Pontos de Coleta'!B15&amp;": "&amp;IF(COUNTIFS(Coletas!$B:$B,B$1,Coletas!$C:$C,'Pontos de Coleta'!B15,Coletas!$F:$F,"&gt;0",Coletas!$G:$G,"")+COUNTIFS(Operacionais!$B:$B,B$1,Operacionais!$C:$C,'Pontos de Coleta'!B15,Operacionais!$F:$F,"&gt;0",Operacionais!$G:$G,"")&gt;0,"Ok","Faltando")))</f>
        <v>Poço LL-12 (P-05): Ok</v>
      </c>
      <c r="C15" s="40" t="str">
        <f ca="1">IF('Pontos de Coleta'!C15="","",IF(COUNTIF(INDIRECT("tblPocos["&amp;C$1&amp;"]"),'Pontos de Coleta'!C15)&gt;0,'Pontos de Coleta'!C15&amp;": Fechado",'Pontos de Coleta'!C15&amp;": "&amp;IF(COUNTIFS(Coletas!$B:$B,C$1,Coletas!$C:$C,'Pontos de Coleta'!C15,Coletas!$F:$F,"&gt;0",Coletas!$G:$G,"")+COUNTIFS(Operacionais!$B:$B,C$1,Operacionais!$C:$C,'Pontos de Coleta'!C15,Operacionais!$F:$F,"&gt;0",Operacionais!$G:$G,"")&gt;0,"Ok","Faltando")))</f>
        <v>Poço SPH-8 (P-4): Fechado</v>
      </c>
      <c r="D15" s="39" t="str">
        <f ca="1">IF('Pontos de Coleta'!D15="","",IF(COUNTIF(INDIRECT("tblPocos["&amp;D$1&amp;"]"),'Pontos de Coleta'!D15)&gt;0,'Pontos de Coleta'!D15&amp;": Fechado",'Pontos de Coleta'!D15&amp;": "&amp;IF(COUNTIFS(Coletas!$B:$B,D$1,Coletas!$C:$C,'Pontos de Coleta'!D15,Coletas!$F:$F,"&gt;0",Coletas!$G:$G,"")+COUNTIFS(Operacionais!$B:$B,D$1,Operacionais!$C:$C,'Pontos de Coleta'!D15,Operacionais!$F:$F,"&gt;0",Operacionais!$G:$G,"")&gt;0,"Ok","Faltando")))</f>
        <v>Poço LL-119 (P-02): Ok</v>
      </c>
      <c r="E15" s="39" t="str">
        <f ca="1">IF('Pontos de Coleta'!E15="","",IF(COUNTIF(INDIRECT("tblPocos["&amp;E$1&amp;"]"),'Pontos de Coleta'!E15)&gt;0,'Pontos de Coleta'!E15&amp;": Fechado",'Pontos de Coleta'!E15&amp;": "&amp;IF(COUNTIFS(Coletas!$B:$B,E$1,Coletas!$C:$C,'Pontos de Coleta'!E15,Coletas!$F:$F,"&gt;0",Coletas!$G:$G,"")+COUNTIFS(Operacionais!$B:$B,E$1,Operacionais!$C:$C,'Pontos de Coleta'!E15,Operacionais!$F:$F,"&gt;0",Operacionais!$G:$G,"")&gt;0,"Ok","Faltando")))</f>
        <v/>
      </c>
      <c r="F15" s="39" t="str">
        <f ca="1">IF('Pontos de Coleta'!F15="","",IF(COUNTIF(INDIRECT("tblPocos["&amp;F$1&amp;"]"),'Pontos de Coleta'!F15)&gt;0,'Pontos de Coleta'!F15&amp;": Fechado",'Pontos de Coleta'!F15&amp;": "&amp;IF(COUNTIFS(Coletas!$B:$B,F$1,Coletas!$C:$C,'Pontos de Coleta'!F15,Coletas!$F:$F,"&gt;0",Coletas!$G:$G,"")+COUNTIFS(Operacionais!$B:$B,F$1,Operacionais!$C:$C,'Pontos de Coleta'!F15,Operacionais!$F:$F,"&gt;0",Operacionais!$G:$G,"")&gt;0,"Ok","Faltando")))</f>
        <v/>
      </c>
      <c r="G15" s="39" t="str">
        <f ca="1">IF('Pontos de Coleta'!G15="","",IF(COUNTIF(INDIRECT("tblPocos["&amp;G$1&amp;"]"),'Pontos de Coleta'!G15)&gt;0,'Pontos de Coleta'!G15&amp;": Fechado",'Pontos de Coleta'!G15&amp;": "&amp;IF(COUNTIFS(Coletas!$B:$B,G$1,Coletas!$C:$C,'Pontos de Coleta'!G15,Coletas!$F:$F,"&gt;0",Coletas!$G:$G,"")+COUNTIFS(Operacionais!$B:$B,G$1,Operacionais!$C:$C,'Pontos de Coleta'!G15,Operacionais!$F:$F,"&gt;0",Operacionais!$G:$G,"")&gt;0,"Ok","Faltando")))</f>
        <v>Poço BAZ-06: Fechado</v>
      </c>
      <c r="H15" s="39" t="str">
        <f ca="1">IF('Pontos de Coleta'!H15="","",IF(COUNTIF(INDIRECT("tblPocos["&amp;H$1&amp;"]"),'Pontos de Coleta'!H15)&gt;0,'Pontos de Coleta'!H15&amp;": Fechado",'Pontos de Coleta'!H15&amp;": "&amp;IF(COUNTIFS(Coletas!$B:$B,H$1,Coletas!$C:$C,'Pontos de Coleta'!H15,Coletas!$F:$F,"&gt;0",Coletas!$G:$G,"")+COUNTIFS(Operacionais!$B:$B,H$1,Operacionais!$C:$C,'Pontos de Coleta'!H15,Operacionais!$F:$F,"&gt;0",Operacionais!$G:$G,"")&gt;0,"Ok","Faltando")))</f>
        <v>Poço MRO-24 (P-06): Ok</v>
      </c>
      <c r="I15" s="39" t="str">
        <f ca="1">IF('Pontos de Coleta'!I15="","",IF(COUNTIF(INDIRECT("tblPocos["&amp;I$1&amp;"]"),'Pontos de Coleta'!I15)&gt;0,'Pontos de Coleta'!I15&amp;": Fechado",'Pontos de Coleta'!I15&amp;": "&amp;IF(COUNTIFS(Coletas!$B:$B,I$1,Coletas!$C:$C,'Pontos de Coleta'!I15,Coletas!$F:$F,"&gt;0",Coletas!$G:$G,"")+COUNTIFS(Operacionais!$B:$B,I$1,Operacionais!$C:$C,'Pontos de Coleta'!I15,Operacionais!$F:$F,"&gt;0",Operacionais!$G:$G,"")&gt;0,"Ok","Faltando")))</f>
        <v>777-AP-1211 (Flare Pilot): Ok</v>
      </c>
      <c r="J15" s="39" t="str">
        <f ca="1">IF('Pontos de Coleta'!J15="","",IF(COUNTIF(INDIRECT("tblPocos["&amp;J$1&amp;"]"),'Pontos de Coleta'!J15)&gt;0,'Pontos de Coleta'!J15&amp;": Fechado",'Pontos de Coleta'!J15&amp;": "&amp;IF(COUNTIFS(Coletas!$B:$B,J$1,Coletas!$C:$C,'Pontos de Coleta'!J15,Coletas!$F:$F,"&gt;0",Coletas!$G:$G,"")+COUNTIFS(Operacionais!$B:$B,J$1,Operacionais!$C:$C,'Pontos de Coleta'!J15,Operacionais!$F:$F,"&gt;0",Operacionais!$G:$G,"")&gt;0,"Ok","Faltando")))</f>
        <v>Poço MRO-16 P-2: Ok</v>
      </c>
    </row>
    <row r="16" spans="1:10" ht="12.75" customHeight="1" x14ac:dyDescent="0.25">
      <c r="A16" s="39" t="str">
        <f ca="1">IF('Pontos de Coleta'!A16="","",IF(COUNTIF(INDIRECT("tblPocos["&amp;A$1&amp;"]"),'Pontos de Coleta'!A16)&gt;0,'Pontos de Coleta'!A16&amp;": Fechado",'Pontos de Coleta'!A16&amp;": "&amp;IF(COUNTIFS(Coletas!$B:$B,A$1,Coletas!$C:$C,'Pontos de Coleta'!A16,Coletas!$F:$F,"&gt;0",Coletas!$G:$G,"")+COUNTIFS(Operacionais!$B:$B,A$1,Operacionais!$C:$C,'Pontos de Coleta'!A16,Operacionais!$F:$F,"&gt;0",Operacionais!$G:$G,"")&gt;0,"Ok","Faltando")))</f>
        <v>Poço LL-80 (P-08): Ok</v>
      </c>
      <c r="B16" s="39" t="str">
        <f ca="1">IF('Pontos de Coleta'!B16="","",IF(COUNTIF(INDIRECT("tblPocos["&amp;B$1&amp;"]"),'Pontos de Coleta'!B16)&gt;0,'Pontos de Coleta'!B16&amp;": Fechado",'Pontos de Coleta'!B16&amp;": "&amp;IF(COUNTIFS(Coletas!$B:$B,B$1,Coletas!$C:$C,'Pontos de Coleta'!B16,Coletas!$F:$F,"&gt;0",Coletas!$G:$G,"")+COUNTIFS(Operacionais!$B:$B,B$1,Operacionais!$C:$C,'Pontos de Coleta'!B16,Operacionais!$F:$F,"&gt;0",Operacionais!$G:$G,"")&gt;0,"Ok","Faltando")))</f>
        <v>Poço LL-84 (P-06): Fechado</v>
      </c>
      <c r="C16" s="39" t="str">
        <f ca="1">IF('Pontos de Coleta'!C16="","",IF(COUNTIF(INDIRECT("tblPocos["&amp;C$1&amp;"]"),'Pontos de Coleta'!C16)&gt;0,'Pontos de Coleta'!C16&amp;": Fechado",'Pontos de Coleta'!C16&amp;": "&amp;IF(COUNTIFS(Coletas!$B:$B,C$1,Coletas!$C:$C,'Pontos de Coleta'!C16,Coletas!$F:$F,"&gt;0",Coletas!$G:$G,"")+COUNTIFS(Operacionais!$B:$B,C$1,Operacionais!$C:$C,'Pontos de Coleta'!C16,Operacionais!$F:$F,"&gt;0",Operacionais!$G:$G,"")&gt;0,"Ok","Faltando")))</f>
        <v>Poço SPH-20 (P-5): Ok</v>
      </c>
      <c r="D16" s="39" t="str">
        <f ca="1">IF('Pontos de Coleta'!D16="","",IF(COUNTIF(INDIRECT("tblPocos["&amp;D$1&amp;"]"),'Pontos de Coleta'!D16)&gt;0,'Pontos de Coleta'!D16&amp;": Fechado",'Pontos de Coleta'!D16&amp;": "&amp;IF(COUNTIFS(Coletas!$B:$B,D$1,Coletas!$C:$C,'Pontos de Coleta'!D16,Coletas!$F:$F,"&gt;0",Coletas!$G:$G,"")+COUNTIFS(Operacionais!$B:$B,D$1,Operacionais!$C:$C,'Pontos de Coleta'!D16,Operacionais!$F:$F,"&gt;0",Operacionais!$G:$G,"")&gt;0,"Ok","Faltando")))</f>
        <v>Poço LL-15 (P-3): Ok</v>
      </c>
      <c r="E16" s="39" t="str">
        <f ca="1">IF('Pontos de Coleta'!E16="","",IF(COUNTIF(INDIRECT("tblPocos["&amp;E$1&amp;"]"),'Pontos de Coleta'!E16)&gt;0,'Pontos de Coleta'!E16&amp;": Fechado",'Pontos de Coleta'!E16&amp;": "&amp;IF(COUNTIFS(Coletas!$B:$B,E$1,Coletas!$C:$C,'Pontos de Coleta'!E16,Coletas!$F:$F,"&gt;0",Coletas!$G:$G,"")+COUNTIFS(Operacionais!$B:$B,E$1,Operacionais!$C:$C,'Pontos de Coleta'!E16,Operacionais!$F:$F,"&gt;0",Operacionais!$G:$G,"")&gt;0,"Ok","Faltando")))</f>
        <v/>
      </c>
      <c r="F16" s="39" t="str">
        <f ca="1">IF('Pontos de Coleta'!F16="","",IF(COUNTIF(INDIRECT("tblPocos["&amp;F$1&amp;"]"),'Pontos de Coleta'!F16)&gt;0,'Pontos de Coleta'!F16&amp;": Fechado",'Pontos de Coleta'!F16&amp;": "&amp;IF(COUNTIFS(Coletas!$B:$B,F$1,Coletas!$C:$C,'Pontos de Coleta'!F16,Coletas!$F:$F,"&gt;0",Coletas!$G:$G,"")+COUNTIFS(Operacionais!$B:$B,F$1,Operacionais!$C:$C,'Pontos de Coleta'!F16,Operacionais!$F:$F,"&gt;0",Operacionais!$G:$G,"")&gt;0,"Ok","Faltando")))</f>
        <v/>
      </c>
      <c r="G16" s="39" t="str">
        <f ca="1">IF('Pontos de Coleta'!G16="","",IF(COUNTIF(INDIRECT("tblPocos["&amp;G$1&amp;"]"),'Pontos de Coleta'!G16)&gt;0,'Pontos de Coleta'!G16&amp;": Fechado",'Pontos de Coleta'!G16&amp;": "&amp;IF(COUNTIFS(Coletas!$B:$B,G$1,Coletas!$C:$C,'Pontos de Coleta'!G16,Coletas!$F:$F,"&gt;0",Coletas!$G:$G,"")+COUNTIFS(Operacionais!$B:$B,G$1,Operacionais!$C:$C,'Pontos de Coleta'!G16,Operacionais!$F:$F,"&gt;0",Operacionais!$G:$G,"")&gt;0,"Ok","Faltando")))</f>
        <v>Poço BAZ-09: Ok</v>
      </c>
      <c r="H16" s="39" t="str">
        <f ca="1">IF('Pontos de Coleta'!H16="","",IF(COUNTIF(INDIRECT("tblPocos["&amp;H$1&amp;"]"),'Pontos de Coleta'!H16)&gt;0,'Pontos de Coleta'!H16&amp;": Fechado",'Pontos de Coleta'!H16&amp;": "&amp;IF(COUNTIFS(Coletas!$B:$B,H$1,Coletas!$C:$C,'Pontos de Coleta'!H16,Coletas!$F:$F,"&gt;0",Coletas!$G:$G,"")+COUNTIFS(Operacionais!$B:$B,H$1,Operacionais!$C:$C,'Pontos de Coleta'!H16,Operacionais!$F:$F,"&gt;0",Operacionais!$G:$G,"")&gt;0,"Ok","Faltando")))</f>
        <v>Poço MRO-37 (P-10): Ok</v>
      </c>
      <c r="I16" s="39" t="str">
        <f ca="1">IF('Pontos de Coleta'!I16="","",IF(COUNTIF(INDIRECT("tblPocos["&amp;I$1&amp;"]"),'Pontos de Coleta'!I16)&gt;0,'Pontos de Coleta'!I16&amp;": Fechado",'Pontos de Coleta'!I16&amp;": "&amp;IF(COUNTIFS(Coletas!$B:$B,I$1,Coletas!$C:$C,'Pontos de Coleta'!I16,Coletas!$F:$F,"&gt;0",Coletas!$G:$G,"")+COUNTIFS(Operacionais!$B:$B,I$1,Operacionais!$C:$C,'Pontos de Coleta'!I16,Operacionais!$F:$F,"&gt;0",Operacionais!$G:$G,"")&gt;0,"Ok","Faltando")))</f>
        <v>775-AP-6008 (Gas Injection): Ok</v>
      </c>
      <c r="J16" s="39" t="str">
        <f ca="1">IF('Pontos de Coleta'!J16="","",IF(COUNTIF(INDIRECT("tblPocos["&amp;J$1&amp;"]"),'Pontos de Coleta'!J16)&gt;0,'Pontos de Coleta'!J16&amp;": Fechado",'Pontos de Coleta'!J16&amp;": "&amp;IF(COUNTIFS(Coletas!$B:$B,J$1,Coletas!$C:$C,'Pontos de Coleta'!J16,Coletas!$F:$F,"&gt;0",Coletas!$G:$G,"")+COUNTIFS(Operacionais!$B:$B,J$1,Operacionais!$C:$C,'Pontos de Coleta'!J16,Operacionais!$F:$F,"&gt;0",Operacionais!$G:$G,"")&gt;0,"Ok","Faltando")))</f>
        <v>Poço MRO-17 P-3: Ok</v>
      </c>
    </row>
    <row r="17" spans="1:10" ht="12.75" customHeight="1" x14ac:dyDescent="0.25">
      <c r="A17" s="39" t="str">
        <f ca="1">IF('Pontos de Coleta'!A17="","",IF(COUNTIF(INDIRECT("tblPocos["&amp;A$1&amp;"]"),'Pontos de Coleta'!A17)&gt;0,'Pontos de Coleta'!A17&amp;": Fechado",'Pontos de Coleta'!A17&amp;": "&amp;IF(COUNTIFS(Coletas!$B:$B,A$1,Coletas!$C:$C,'Pontos de Coleta'!A17,Coletas!$F:$F,"&gt;0",Coletas!$G:$G,"")+COUNTIFS(Operacionais!$B:$B,A$1,Operacionais!$C:$C,'Pontos de Coleta'!A17,Operacionais!$F:$F,"&gt;0",Operacionais!$G:$G,"")&gt;0,"Ok","Faltando")))</f>
        <v>Poço LL-81 (P-09): Ok</v>
      </c>
      <c r="B17" s="39" t="str">
        <f ca="1">IF('Pontos de Coleta'!B17="","",IF(COUNTIF(INDIRECT("tblPocos["&amp;B$1&amp;"]"),'Pontos de Coleta'!B17)&gt;0,'Pontos de Coleta'!B17&amp;": Fechado",'Pontos de Coleta'!B17&amp;": "&amp;IF(COUNTIFS(Coletas!$B:$B,B$1,Coletas!$C:$C,'Pontos de Coleta'!B17,Coletas!$F:$F,"&gt;0",Coletas!$G:$G,"")+COUNTIFS(Operacionais!$B:$B,B$1,Operacionais!$C:$C,'Pontos de Coleta'!B17,Operacionais!$F:$F,"&gt;0",Operacionais!$G:$G,"")&gt;0,"Ok","Faltando")))</f>
        <v>Poço LL-66 (P-09): Ok</v>
      </c>
      <c r="C17" s="39" t="str">
        <f ca="1">IF('Pontos de Coleta'!C17="","",IF(COUNTIF(INDIRECT("tblPocos["&amp;C$1&amp;"]"),'Pontos de Coleta'!C17)&gt;0,'Pontos de Coleta'!C17&amp;": Fechado",'Pontos de Coleta'!C17&amp;": "&amp;IF(COUNTIFS(Coletas!$B:$B,C$1,Coletas!$C:$C,'Pontos de Coleta'!C17,Coletas!$F:$F,"&gt;0",Coletas!$G:$G,"")+COUNTIFS(Operacionais!$B:$B,C$1,Operacionais!$C:$C,'Pontos de Coleta'!C17,Operacionais!$F:$F,"&gt;0",Operacionais!$G:$G,"")&gt;0,"Ok","Faltando")))</f>
        <v>Poço SPH-14 (P-6): Ok</v>
      </c>
      <c r="D17" s="39" t="str">
        <f ca="1">IF('Pontos de Coleta'!D17="","",IF(COUNTIF(INDIRECT("tblPocos["&amp;D$1&amp;"]"),'Pontos de Coleta'!D17)&gt;0,'Pontos de Coleta'!D17&amp;": Fechado",'Pontos de Coleta'!D17&amp;": "&amp;IF(COUNTIFS(Coletas!$B:$B,D$1,Coletas!$C:$C,'Pontos de Coleta'!D17,Coletas!$F:$F,"&gt;0",Coletas!$G:$G,"")+COUNTIFS(Operacionais!$B:$B,D$1,Operacionais!$C:$C,'Pontos de Coleta'!D17,Operacionais!$F:$F,"&gt;0",Operacionais!$G:$G,"")&gt;0,"Ok","Faltando")))</f>
        <v>Poço LL-17 (P-04): Fechado</v>
      </c>
      <c r="E17" s="39" t="str">
        <f ca="1">IF('Pontos de Coleta'!E17="","",IF(COUNTIF(INDIRECT("tblPocos["&amp;E$1&amp;"]"),'Pontos de Coleta'!E17)&gt;0,'Pontos de Coleta'!E17&amp;": Fechado",'Pontos de Coleta'!E17&amp;": "&amp;IF(COUNTIFS(Coletas!$B:$B,E$1,Coletas!$C:$C,'Pontos de Coleta'!E17,Coletas!$F:$F,"&gt;0",Coletas!$G:$G,"")+COUNTIFS(Operacionais!$B:$B,E$1,Operacionais!$C:$C,'Pontos de Coleta'!E17,Operacionais!$F:$F,"&gt;0",Operacionais!$G:$G,"")&gt;0,"Ok","Faltando")))</f>
        <v/>
      </c>
      <c r="F17" s="39" t="str">
        <f ca="1">IF('Pontos de Coleta'!F17="","",IF(COUNTIF(INDIRECT("tblPocos["&amp;F$1&amp;"]"),'Pontos de Coleta'!F17)&gt;0,'Pontos de Coleta'!F17&amp;": Fechado",'Pontos de Coleta'!F17&amp;": "&amp;IF(COUNTIFS(Coletas!$B:$B,F$1,Coletas!$C:$C,'Pontos de Coleta'!F17,Coletas!$F:$F,"&gt;0",Coletas!$G:$G,"")+COUNTIFS(Operacionais!$B:$B,F$1,Operacionais!$C:$C,'Pontos de Coleta'!F17,Operacionais!$F:$F,"&gt;0",Operacionais!$G:$G,"")&gt;0,"Ok","Faltando")))</f>
        <v/>
      </c>
      <c r="G17" s="39" t="str">
        <f ca="1">IF('Pontos de Coleta'!G17="","",IF(COUNTIF(INDIRECT("tblPocos["&amp;G$1&amp;"]"),'Pontos de Coleta'!G17)&gt;0,'Pontos de Coleta'!G17&amp;": Fechado",'Pontos de Coleta'!G17&amp;": "&amp;IF(COUNTIFS(Coletas!$B:$B,G$1,Coletas!$C:$C,'Pontos de Coleta'!G17,Coletas!$F:$F,"&gt;0",Coletas!$G:$G,"")+COUNTIFS(Operacionais!$B:$B,G$1,Operacionais!$C:$C,'Pontos de Coleta'!G17,Operacionais!$F:$F,"&gt;0",Operacionais!$G:$G,"")&gt;0,"Ok","Faltando")))</f>
        <v>Poço BAZ-10: Fechado</v>
      </c>
      <c r="H17" s="39" t="str">
        <f ca="1">IF('Pontos de Coleta'!H17="","",IF(COUNTIF(INDIRECT("tblPocos["&amp;H$1&amp;"]"),'Pontos de Coleta'!H17)&gt;0,'Pontos de Coleta'!H17&amp;": Fechado",'Pontos de Coleta'!H17&amp;": "&amp;IF(COUNTIFS(Coletas!$B:$B,H$1,Coletas!$C:$C,'Pontos de Coleta'!H17,Coletas!$F:$F,"&gt;0",Coletas!$G:$G,"")+COUNTIFS(Operacionais!$B:$B,H$1,Operacionais!$C:$C,'Pontos de Coleta'!H17,Operacionais!$F:$F,"&gt;0",Operacionais!$G:$G,"")&gt;0,"Ok","Faltando")))</f>
        <v/>
      </c>
      <c r="I17" s="39" t="str">
        <f ca="1">IF('Pontos de Coleta'!I17="","",IF(COUNTIF(INDIRECT("tblPocos["&amp;I$1&amp;"]"),'Pontos de Coleta'!I17)&gt;0,'Pontos de Coleta'!I17&amp;": Fechado",'Pontos de Coleta'!I17&amp;": "&amp;IF(COUNTIFS(Coletas!$B:$B,I$1,Coletas!$C:$C,'Pontos de Coleta'!I17,Coletas!$F:$F,"&gt;0",Coletas!$G:$G,"")+COUNTIFS(Operacionais!$B:$B,I$1,Operacionais!$C:$C,'Pontos de Coleta'!I17,Operacionais!$F:$F,"&gt;0",Operacionais!$G:$G,"")&gt;0,"Ok","Faltando")))</f>
        <v>Poço 7-BUZ-74D-RJS (P-5): Ok</v>
      </c>
      <c r="J17" s="39" t="str">
        <f ca="1">IF('Pontos de Coleta'!J17="","",IF(COUNTIF(INDIRECT("tblPocos["&amp;J$1&amp;"]"),'Pontos de Coleta'!J17)&gt;0,'Pontos de Coleta'!J17&amp;": Fechado",'Pontos de Coleta'!J17&amp;": "&amp;IF(COUNTIFS(Coletas!$B:$B,J$1,Coletas!$C:$C,'Pontos de Coleta'!J17,Coletas!$F:$F,"&gt;0",Coletas!$G:$G,"")+COUNTIFS(Operacionais!$B:$B,J$1,Operacionais!$C:$C,'Pontos de Coleta'!J17,Operacionais!$F:$F,"&gt;0",Operacionais!$G:$G,"")&gt;0,"Ok","Faltando")))</f>
        <v>Poço MRO-18D P-5: Ok</v>
      </c>
    </row>
    <row r="18" spans="1:10" ht="12.75" customHeight="1" x14ac:dyDescent="0.25">
      <c r="A18" s="39" t="str">
        <f ca="1">IF('Pontos de Coleta'!A18="","",IF(COUNTIF(INDIRECT("tblPocos["&amp;A$1&amp;"]"),'Pontos de Coleta'!A18)&gt;0,'Pontos de Coleta'!A18&amp;": Fechado",'Pontos de Coleta'!A18&amp;": "&amp;IF(COUNTIFS(Coletas!$B:$B,A$1,Coletas!$C:$C,'Pontos de Coleta'!A18,Coletas!$F:$F,"&gt;0",Coletas!$G:$G,"")+COUNTIFS(Operacionais!$B:$B,A$1,Operacionais!$C:$C,'Pontos de Coleta'!A18,Operacionais!$F:$F,"&gt;0",Operacionais!$G:$G,"")&gt;0,"Ok","Faltando")))</f>
        <v>Poço LL-59 (P-10): Ok</v>
      </c>
      <c r="B18" s="39" t="str">
        <f ca="1">IF('Pontos de Coleta'!B18="","",IF(COUNTIF(INDIRECT("tblPocos["&amp;B$1&amp;"]"),'Pontos de Coleta'!B18)&gt;0,'Pontos de Coleta'!B18&amp;": Fechado",'Pontos de Coleta'!B18&amp;": "&amp;IF(COUNTIFS(Coletas!$B:$B,B$1,Coletas!$C:$C,'Pontos de Coleta'!B18,Coletas!$F:$F,"&gt;0",Coletas!$G:$G,"")+COUNTIFS(Operacionais!$B:$B,B$1,Operacionais!$C:$C,'Pontos de Coleta'!B18,Operacionais!$F:$F,"&gt;0",Operacionais!$G:$G,"")&gt;0,"Ok","Faltando")))</f>
        <v>Poço LL-87 (P-14): Ok</v>
      </c>
      <c r="C18" s="39" t="str">
        <f ca="1">IF('Pontos de Coleta'!C18="","",IF(COUNTIF(INDIRECT("tblPocos["&amp;C$1&amp;"]"),'Pontos de Coleta'!C18)&gt;0,'Pontos de Coleta'!C18&amp;": Fechado",'Pontos de Coleta'!C18&amp;": "&amp;IF(COUNTIFS(Coletas!$B:$B,C$1,Coletas!$C:$C,'Pontos de Coleta'!C18,Coletas!$F:$F,"&gt;0",Coletas!$G:$G,"")+COUNTIFS(Operacionais!$B:$B,C$1,Operacionais!$C:$C,'Pontos de Coleta'!C18,Operacionais!$F:$F,"&gt;0",Operacionais!$G:$G,"")&gt;0,"Ok","Faltando")))</f>
        <v>Poço SPH-16 (P-7): Ok</v>
      </c>
      <c r="D18" s="39" t="str">
        <f ca="1">IF('Pontos de Coleta'!D18="","",IF(COUNTIF(INDIRECT("tblPocos["&amp;D$1&amp;"]"),'Pontos de Coleta'!D18)&gt;0,'Pontos de Coleta'!D18&amp;": Fechado",'Pontos de Coleta'!D18&amp;": "&amp;IF(COUNTIFS(Coletas!$B:$B,D$1,Coletas!$C:$C,'Pontos de Coleta'!D18,Coletas!$F:$F,"&gt;0",Coletas!$G:$G,"")+COUNTIFS(Operacionais!$B:$B,D$1,Operacionais!$C:$C,'Pontos de Coleta'!D18,Operacionais!$F:$F,"&gt;0",Operacionais!$G:$G,"")&gt;0,"Ok","Faltando")))</f>
        <v>Poço LL-11 (P-5): Fechado</v>
      </c>
      <c r="E18" s="39" t="str">
        <f ca="1">IF('Pontos de Coleta'!E18="","",IF(COUNTIF(INDIRECT("tblPocos["&amp;E$1&amp;"]"),'Pontos de Coleta'!E18)&gt;0,'Pontos de Coleta'!E18&amp;": Fechado",'Pontos de Coleta'!E18&amp;": "&amp;IF(COUNTIFS(Coletas!$B:$B,E$1,Coletas!$C:$C,'Pontos de Coleta'!E18,Coletas!$F:$F,"&gt;0",Coletas!$G:$G,"")+COUNTIFS(Operacionais!$B:$B,E$1,Operacionais!$C:$C,'Pontos de Coleta'!E18,Operacionais!$F:$F,"&gt;0",Operacionais!$G:$G,"")&gt;0,"Ok","Faltando")))</f>
        <v/>
      </c>
      <c r="F18" s="39" t="str">
        <f ca="1">IF('Pontos de Coleta'!F18="","",IF(COUNTIF(INDIRECT("tblPocos["&amp;F$1&amp;"]"),'Pontos de Coleta'!F18)&gt;0,'Pontos de Coleta'!F18&amp;": Fechado",'Pontos de Coleta'!F18&amp;": "&amp;IF(COUNTIFS(Coletas!$B:$B,F$1,Coletas!$C:$C,'Pontos de Coleta'!F18,Coletas!$F:$F,"&gt;0",Coletas!$G:$G,"")+COUNTIFS(Operacionais!$B:$B,F$1,Operacionais!$C:$C,'Pontos de Coleta'!F18,Operacionais!$F:$F,"&gt;0",Operacionais!$G:$G,"")&gt;0,"Ok","Faltando")))</f>
        <v/>
      </c>
      <c r="G18" s="39" t="str">
        <f ca="1">IF('Pontos de Coleta'!G18="","",IF(COUNTIF(INDIRECT("tblPocos["&amp;G$1&amp;"]"),'Pontos de Coleta'!G18)&gt;0,'Pontos de Coleta'!G18&amp;": Fechado",'Pontos de Coleta'!G18&amp;": "&amp;IF(COUNTIFS(Coletas!$B:$B,G$1,Coletas!$C:$C,'Pontos de Coleta'!G18,Coletas!$F:$F,"&gt;0",Coletas!$G:$G,"")+COUNTIFS(Operacionais!$B:$B,G$1,Operacionais!$C:$C,'Pontos de Coleta'!G18,Operacionais!$F:$F,"&gt;0",Operacionais!$G:$G,"")&gt;0,"Ok","Faltando")))</f>
        <v>Poço 7-JUB-34: Fechado</v>
      </c>
      <c r="H18" s="39" t="str">
        <f ca="1">IF('Pontos de Coleta'!H18="","",IF(COUNTIF(INDIRECT("tblPocos["&amp;H$1&amp;"]"),'Pontos de Coleta'!H18)&gt;0,'Pontos de Coleta'!H18&amp;": Fechado",'Pontos de Coleta'!H18&amp;": "&amp;IF(COUNTIFS(Coletas!$B:$B,H$1,Coletas!$C:$C,'Pontos de Coleta'!H18,Coletas!$F:$F,"&gt;0",Coletas!$G:$G,"")+COUNTIFS(Operacionais!$B:$B,H$1,Operacionais!$C:$C,'Pontos de Coleta'!H18,Operacionais!$F:$F,"&gt;0",Operacionais!$G:$G,"")&gt;0,"Ok","Faltando")))</f>
        <v/>
      </c>
      <c r="I18" s="39" t="str">
        <f ca="1">IF('Pontos de Coleta'!I18="","",IF(COUNTIF(INDIRECT("tblPocos["&amp;I$1&amp;"]"),'Pontos de Coleta'!I18)&gt;0,'Pontos de Coleta'!I18&amp;": Fechado",'Pontos de Coleta'!I18&amp;": "&amp;IF(COUNTIFS(Coletas!$B:$B,I$1,Coletas!$C:$C,'Pontos de Coleta'!I18,Coletas!$F:$F,"&gt;0",Coletas!$G:$G,"")+COUNTIFS(Operacionais!$B:$B,I$1,Operacionais!$C:$C,'Pontos de Coleta'!I18,Operacionais!$F:$F,"&gt;0",Operacionais!$G:$G,"")&gt;0,"Ok","Faltando")))</f>
        <v>Oil Fiscal: Ok</v>
      </c>
      <c r="J18" s="39" t="str">
        <f ca="1">IF('Pontos de Coleta'!J18="","",IF(COUNTIF(INDIRECT("tblPocos["&amp;J$1&amp;"]"),'Pontos de Coleta'!J18)&gt;0,'Pontos de Coleta'!J18&amp;": Fechado",'Pontos de Coleta'!J18&amp;": "&amp;IF(COUNTIFS(Coletas!$B:$B,J$1,Coletas!$C:$C,'Pontos de Coleta'!J18,Coletas!$F:$F,"&gt;0",Coletas!$G:$G,"")+COUNTIFS(Operacionais!$B:$B,J$1,Operacionais!$C:$C,'Pontos de Coleta'!J18,Operacionais!$F:$F,"&gt;0",Operacionais!$G:$G,"")&gt;0,"Ok","Faltando")))</f>
        <v>Poço 3-RJS-739A P-6: Ok</v>
      </c>
    </row>
    <row r="19" spans="1:10" ht="12.5" x14ac:dyDescent="0.25">
      <c r="A19" s="39" t="str">
        <f ca="1">IF('Pontos de Coleta'!A19="","",IF(COUNTIF(INDIRECT("tblPocos["&amp;A$1&amp;"]"),'Pontos de Coleta'!A19)&gt;0,'Pontos de Coleta'!A19&amp;": Fechado",'Pontos de Coleta'!A19&amp;": "&amp;IF(COUNTIFS(Coletas!$B:$B,A$1,Coletas!$C:$C,'Pontos de Coleta'!A19,Coletas!$F:$F,"&gt;0",Coletas!$G:$G,"")+COUNTIFS(Operacionais!$B:$B,A$1,Operacionais!$C:$C,'Pontos de Coleta'!A19,Operacionais!$F:$F,"&gt;0",Operacionais!$G:$G,"")&gt;0,"Ok","Faltando")))</f>
        <v>Poço LL-106 (P-16): Ok</v>
      </c>
      <c r="B19" s="39" t="str">
        <f ca="1">IF('Pontos de Coleta'!B19="","",IF(COUNTIF(INDIRECT("tblPocos["&amp;B$1&amp;"]"),'Pontos de Coleta'!B19)&gt;0,'Pontos de Coleta'!B19&amp;": Fechado",'Pontos de Coleta'!B19&amp;": "&amp;IF(COUNTIFS(Coletas!$B:$B,B$1,Coletas!$C:$C,'Pontos de Coleta'!B19,Coletas!$F:$F,"&gt;0",Coletas!$G:$G,"")+COUNTIFS(Operacionais!$B:$B,B$1,Operacionais!$C:$C,'Pontos de Coleta'!B19,Operacionais!$F:$F,"&gt;0",Operacionais!$G:$G,"")&gt;0,"Ok","Faltando")))</f>
        <v>Poço LL-61 (P-16): Ok</v>
      </c>
      <c r="C19" s="39" t="str">
        <f ca="1">IF('Pontos de Coleta'!C19="","",IF(COUNTIF(INDIRECT("tblPocos["&amp;C$1&amp;"]"),'Pontos de Coleta'!C19)&gt;0,'Pontos de Coleta'!C19&amp;": Fechado",'Pontos de Coleta'!C19&amp;": "&amp;IF(COUNTIFS(Coletas!$B:$B,C$1,Coletas!$C:$C,'Pontos de Coleta'!C19,Coletas!$F:$F,"&gt;0",Coletas!$G:$G,"")+COUNTIFS(Operacionais!$B:$B,C$1,Operacionais!$C:$C,'Pontos de Coleta'!C19,Operacionais!$F:$F,"&gt;0",Operacionais!$G:$G,"")&gt;0,"Ok","Faltando")))</f>
        <v>Poço SPH-17 (P-9): Ok</v>
      </c>
      <c r="D19" s="39" t="str">
        <f ca="1">IF('Pontos de Coleta'!D19="","",IF(COUNTIF(INDIRECT("tblPocos["&amp;D$1&amp;"]"),'Pontos de Coleta'!D19)&gt;0,'Pontos de Coleta'!D19&amp;": Fechado",'Pontos de Coleta'!D19&amp;": "&amp;IF(COUNTIFS(Coletas!$B:$B,D$1,Coletas!$C:$C,'Pontos de Coleta'!D19,Coletas!$F:$F,"&gt;0",Coletas!$G:$G,"")+COUNTIFS(Operacionais!$B:$B,D$1,Operacionais!$C:$C,'Pontos de Coleta'!D19,Operacionais!$F:$F,"&gt;0",Operacionais!$G:$G,"")&gt;0,"Ok","Faltando")))</f>
        <v>Poço RJS-674 (P-6): Fechado</v>
      </c>
      <c r="E19" s="39" t="str">
        <f ca="1">IF('Pontos de Coleta'!E19="","",IF(COUNTIF(INDIRECT("tblPocos["&amp;E$1&amp;"]"),'Pontos de Coleta'!E19)&gt;0,'Pontos de Coleta'!E19&amp;": Fechado",'Pontos de Coleta'!E19&amp;": "&amp;IF(COUNTIFS(Coletas!$B:$B,E$1,Coletas!$C:$C,'Pontos de Coleta'!E19,Coletas!$F:$F,"&gt;0",Coletas!$G:$G,"")+COUNTIFS(Operacionais!$B:$B,E$1,Operacionais!$C:$C,'Pontos de Coleta'!E19,Operacionais!$F:$F,"&gt;0",Operacionais!$G:$G,"")&gt;0,"Ok","Faltando")))</f>
        <v/>
      </c>
      <c r="F19" s="39" t="str">
        <f ca="1">IF('Pontos de Coleta'!F19="","",IF(COUNTIF(INDIRECT("tblPocos["&amp;F$1&amp;"]"),'Pontos de Coleta'!F19)&gt;0,'Pontos de Coleta'!F19&amp;": Fechado",'Pontos de Coleta'!F19&amp;": "&amp;IF(COUNTIFS(Coletas!$B:$B,F$1,Coletas!$C:$C,'Pontos de Coleta'!F19,Coletas!$F:$F,"&gt;0",Coletas!$G:$G,"")+COUNTIFS(Operacionais!$B:$B,F$1,Operacionais!$C:$C,'Pontos de Coleta'!F19,Operacionais!$F:$F,"&gt;0",Operacionais!$G:$G,"")&gt;0,"Ok","Faltando")))</f>
        <v/>
      </c>
      <c r="G19" s="39" t="str">
        <f ca="1">IF('Pontos de Coleta'!G19="","",IF(COUNTIF(INDIRECT("tblPocos["&amp;G$1&amp;"]"),'Pontos de Coleta'!G19)&gt;0,'Pontos de Coleta'!G19&amp;": Fechado",'Pontos de Coleta'!G19&amp;": "&amp;IF(COUNTIFS(Coletas!$B:$B,G$1,Coletas!$C:$C,'Pontos de Coleta'!G19,Coletas!$F:$F,"&gt;0",Coletas!$G:$G,"")+COUNTIFS(Operacionais!$B:$B,G$1,Operacionais!$C:$C,'Pontos de Coleta'!G19,Operacionais!$F:$F,"&gt;0",Operacionais!$G:$G,"")&gt;0,"Ok","Faltando")))</f>
        <v>Poço 7-PRB-01: Fechado</v>
      </c>
      <c r="H19" s="39" t="str">
        <f ca="1">IF('Pontos de Coleta'!H19="","",IF(COUNTIF(INDIRECT("tblPocos["&amp;H$1&amp;"]"),'Pontos de Coleta'!H19)&gt;0,'Pontos de Coleta'!H19&amp;": Fechado",'Pontos de Coleta'!H19&amp;": "&amp;IF(COUNTIFS(Coletas!$B:$B,H$1,Coletas!$C:$C,'Pontos de Coleta'!H19,Coletas!$F:$F,"&gt;0",Coletas!$G:$G,"")+COUNTIFS(Operacionais!$B:$B,H$1,Operacionais!$C:$C,'Pontos de Coleta'!H19,Operacionais!$F:$F,"&gt;0",Operacionais!$G:$G,"")&gt;0,"Ok","Faltando")))</f>
        <v/>
      </c>
      <c r="I19" s="39" t="str">
        <f ca="1">IF('Pontos de Coleta'!I19="","",IF(COUNTIF(INDIRECT("tblPocos["&amp;I$1&amp;"]"),'Pontos de Coleta'!I19)&gt;0,'Pontos de Coleta'!I19&amp;": Fechado",'Pontos de Coleta'!I19&amp;": "&amp;IF(COUNTIFS(Coletas!$B:$B,I$1,Coletas!$C:$C,'Pontos de Coleta'!I19,Coletas!$F:$F,"&gt;0",Coletas!$G:$G,"")+COUNTIFS(Operacionais!$B:$B,I$1,Operacionais!$C:$C,'Pontos de Coleta'!I19,Operacionais!$F:$F,"&gt;0",Operacionais!$G:$G,"")&gt;0,"Ok","Faltando")))</f>
        <v>662-AP-0106 (FWKO Drum): Faltando</v>
      </c>
      <c r="J19" s="39" t="str">
        <f ca="1">IF('Pontos de Coleta'!J19="","",IF(COUNTIF(INDIRECT("tblPocos["&amp;J$1&amp;"]"),'Pontos de Coleta'!J19)&gt;0,'Pontos de Coleta'!J19&amp;": Fechado",'Pontos de Coleta'!J19&amp;": "&amp;IF(COUNTIFS(Coletas!$B:$B,J$1,Coletas!$C:$C,'Pontos de Coleta'!J19,Coletas!$F:$F,"&gt;0",Coletas!$G:$G,"")+COUNTIFS(Operacionais!$B:$B,J$1,Operacionais!$C:$C,'Pontos de Coleta'!J19,Operacionais!$F:$F,"&gt;0",Operacionais!$G:$G,"")&gt;0,"Ok","Faltando")))</f>
        <v>Poço P-10: Fechado</v>
      </c>
    </row>
    <row r="20" spans="1:10" ht="12.5" x14ac:dyDescent="0.25">
      <c r="A20" s="39" t="str">
        <f ca="1">IF('Pontos de Coleta'!A20="","",IF(COUNTIF(INDIRECT("tblPocos["&amp;A$1&amp;"]"),'Pontos de Coleta'!A20)&gt;0,'Pontos de Coleta'!A20&amp;": Fechado",'Pontos de Coleta'!A20&amp;": "&amp;IF(COUNTIFS(Coletas!$B:$B,A$1,Coletas!$C:$C,'Pontos de Coleta'!A20,Coletas!$F:$F,"&gt;0",Coletas!$G:$G,"")+COUNTIFS(Operacionais!$B:$B,A$1,Operacionais!$C:$C,'Pontos de Coleta'!A20,Operacionais!$F:$F,"&gt;0",Operacionais!$G:$G,"")&gt;0,"Ok","Faltando")))</f>
        <v>Oil Fiscal: Ok</v>
      </c>
      <c r="B20" s="39" t="str">
        <f ca="1">IF('Pontos de Coleta'!B20="","",IF(COUNTIF(INDIRECT("tblPocos["&amp;B$1&amp;"]"),'Pontos de Coleta'!B20)&gt;0,'Pontos de Coleta'!B20&amp;": Fechado",'Pontos de Coleta'!B20&amp;": "&amp;IF(COUNTIFS(Coletas!$B:$B,B$1,Coletas!$C:$C,'Pontos de Coleta'!B20,Coletas!$F:$F,"&gt;0",Coletas!$G:$G,"")+COUNTIFS(Operacionais!$B:$B,B$1,Operacionais!$C:$C,'Pontos de Coleta'!B20,Operacionais!$F:$F,"&gt;0",Operacionais!$G:$G,"")&gt;0,"Ok","Faltando")))</f>
        <v>Poço TUP-128 (P-06): Ok</v>
      </c>
      <c r="C20" s="39" t="str">
        <f ca="1">IF('Pontos de Coleta'!C20="","",IF(COUNTIF(INDIRECT("tblPocos["&amp;C$1&amp;"]"),'Pontos de Coleta'!C20)&gt;0,'Pontos de Coleta'!C20&amp;": Fechado",'Pontos de Coleta'!C20&amp;": "&amp;IF(COUNTIFS(Coletas!$B:$B,C$1,Coletas!$C:$C,'Pontos de Coleta'!C20,Coletas!$F:$F,"&gt;0",Coletas!$G:$G,"")+COUNTIFS(Operacionais!$B:$B,C$1,Operacionais!$C:$C,'Pontos de Coleta'!C20,Operacionais!$F:$F,"&gt;0",Operacionais!$G:$G,"")&gt;0,"Ok","Faltando")))</f>
        <v>Poço SPH-6 (P-10): Ok</v>
      </c>
      <c r="D20" s="39" t="str">
        <f ca="1">IF('Pontos de Coleta'!D20="","",IF(COUNTIF(INDIRECT("tblPocos["&amp;D$1&amp;"]"),'Pontos de Coleta'!D20)&gt;0,'Pontos de Coleta'!D20&amp;": Fechado",'Pontos de Coleta'!D20&amp;": "&amp;IF(COUNTIFS(Coletas!$B:$B,D$1,Coletas!$C:$C,'Pontos de Coleta'!D20,Coletas!$F:$F,"&gt;0",Coletas!$G:$G,"")+COUNTIFS(Operacionais!$B:$B,D$1,Operacionais!$C:$C,'Pontos de Coleta'!D20,Operacionais!$F:$F,"&gt;0",Operacionais!$G:$G,"")&gt;0,"Ok","Faltando")))</f>
        <v>Poço LL-22 (P-8): Ok</v>
      </c>
      <c r="E20" s="39" t="str">
        <f ca="1">IF('Pontos de Coleta'!E20="","",IF(COUNTIF(INDIRECT("tblPocos["&amp;E$1&amp;"]"),'Pontos de Coleta'!E20)&gt;0,'Pontos de Coleta'!E20&amp;": Fechado",'Pontos de Coleta'!E20&amp;": "&amp;IF(COUNTIFS(Coletas!$B:$B,E$1,Coletas!$C:$C,'Pontos de Coleta'!E20,Coletas!$F:$F,"&gt;0",Coletas!$G:$G,"")+COUNTIFS(Operacionais!$B:$B,E$1,Operacionais!$C:$C,'Pontos de Coleta'!E20,Operacionais!$F:$F,"&gt;0",Operacionais!$G:$G,"")&gt;0,"Ok","Faltando")))</f>
        <v/>
      </c>
      <c r="F20" s="39" t="str">
        <f ca="1">IF('Pontos de Coleta'!F20="","",IF(COUNTIF(INDIRECT("tblPocos["&amp;F$1&amp;"]"),'Pontos de Coleta'!F20)&gt;0,'Pontos de Coleta'!F20&amp;": Fechado",'Pontos de Coleta'!F20&amp;": "&amp;IF(COUNTIFS(Coletas!$B:$B,F$1,Coletas!$C:$C,'Pontos de Coleta'!F20,Coletas!$F:$F,"&gt;0",Coletas!$G:$G,"")+COUNTIFS(Operacionais!$B:$B,F$1,Operacionais!$C:$C,'Pontos de Coleta'!F20,Operacionais!$F:$F,"&gt;0",Operacionais!$G:$G,"")&gt;0,"Ok","Faltando")))</f>
        <v/>
      </c>
      <c r="G20" s="39" t="str">
        <f ca="1">IF('Pontos de Coleta'!G20="","",IF(COUNTIF(INDIRECT("tblPocos["&amp;G$1&amp;"]"),'Pontos de Coleta'!G20)&gt;0,'Pontos de Coleta'!G20&amp;": Fechado",'Pontos de Coleta'!G20&amp;": "&amp;IF(COUNTIFS(Coletas!$B:$B,G$1,Coletas!$C:$C,'Pontos de Coleta'!G20,Coletas!$F:$F,"&gt;0",Coletas!$G:$G,"")+COUNTIFS(Operacionais!$B:$B,G$1,Operacionais!$C:$C,'Pontos de Coleta'!G20,Operacionais!$F:$F,"&gt;0",Operacionais!$G:$G,"")&gt;0,"Ok","Faltando")))</f>
        <v>Poço JUB-63: Ok</v>
      </c>
      <c r="H20" s="39" t="str">
        <f ca="1">IF('Pontos de Coleta'!H20="","",IF(COUNTIF(INDIRECT("tblPocos["&amp;H$1&amp;"]"),'Pontos de Coleta'!H20)&gt;0,'Pontos de Coleta'!H20&amp;": Fechado",'Pontos de Coleta'!H20&amp;": "&amp;IF(COUNTIFS(Coletas!$B:$B,H$1,Coletas!$C:$C,'Pontos de Coleta'!H20,Coletas!$F:$F,"&gt;0",Coletas!$G:$G,"")+COUNTIFS(Operacionais!$B:$B,H$1,Operacionais!$C:$C,'Pontos de Coleta'!H20,Operacionais!$F:$F,"&gt;0",Operacionais!$G:$G,"")&gt;0,"Ok","Faltando")))</f>
        <v/>
      </c>
      <c r="I20" s="39" t="str">
        <f ca="1">IF('Pontos de Coleta'!I20="","",IF(COUNTIF(INDIRECT("tblPocos["&amp;I$1&amp;"]"),'Pontos de Coleta'!I20)&gt;0,'Pontos de Coleta'!I20&amp;": Fechado",'Pontos de Coleta'!I20&amp;": "&amp;IF(COUNTIFS(Coletas!$B:$B,I$1,Coletas!$C:$C,'Pontos de Coleta'!I20,Coletas!$F:$F,"&gt;0",Coletas!$G:$G,"")+COUNTIFS(Operacionais!$B:$B,I$1,Operacionais!$C:$C,'Pontos de Coleta'!I20,Operacionais!$F:$F,"&gt;0",Operacionais!$G:$G,"")&gt;0,"Ok","Faltando")))</f>
        <v>Poço 7-BUZ-70D-RJS (P-1): Ok</v>
      </c>
      <c r="J20" s="39" t="str">
        <f ca="1">IF('Pontos de Coleta'!J20="","",IF(COUNTIF(INDIRECT("tblPocos["&amp;J$1&amp;"]"),'Pontos de Coleta'!J20)&gt;0,'Pontos de Coleta'!J20&amp;": Fechado",'Pontos de Coleta'!J20&amp;": "&amp;IF(COUNTIFS(Coletas!$B:$B,J$1,Coletas!$C:$C,'Pontos de Coleta'!J20,Coletas!$F:$F,"&gt;0",Coletas!$G:$G,"")+COUNTIFS(Operacionais!$B:$B,J$1,Operacionais!$C:$C,'Pontos de Coleta'!J20,Operacionais!$F:$F,"&gt;0",Operacionais!$G:$G,"")&gt;0,"Ok","Faltando")))</f>
        <v>662-AP-1005 (Oil Fiscal): Ok</v>
      </c>
    </row>
    <row r="21" spans="1:10" ht="12.5" x14ac:dyDescent="0.25">
      <c r="A21" s="39" t="str">
        <f ca="1">IF('Pontos de Coleta'!A21="","",IF(COUNTIF(INDIRECT("tblPocos["&amp;A$1&amp;"]"),'Pontos de Coleta'!A21)&gt;0,'Pontos de Coleta'!A21&amp;": Fechado",'Pontos de Coleta'!A21&amp;": "&amp;IF(COUNTIFS(Coletas!$B:$B,A$1,Coletas!$C:$C,'Pontos de Coleta'!A21,Coletas!$F:$F,"&gt;0",Coletas!$G:$G,"")+COUNTIFS(Operacionais!$B:$B,A$1,Operacionais!$C:$C,'Pontos de Coleta'!A21,Operacionais!$F:$F,"&gt;0",Operacionais!$G:$G,"")&gt;0,"Ok","Faltando")))</f>
        <v>T62-AP-0124 (Operational Oil): Ok</v>
      </c>
      <c r="B21" s="39" t="str">
        <f ca="1">IF('Pontos de Coleta'!B21="","",IF(COUNTIF(INDIRECT("tblPocos["&amp;B$1&amp;"]"),'Pontos de Coleta'!B21)&gt;0,'Pontos de Coleta'!B21&amp;": Fechado",'Pontos de Coleta'!B21&amp;": "&amp;IF(COUNTIFS(Coletas!$B:$B,B$1,Coletas!$C:$C,'Pontos de Coleta'!B21,Coletas!$F:$F,"&gt;0",Coletas!$G:$G,"")+COUNTIFS(Operacionais!$B:$B,B$1,Operacionais!$C:$C,'Pontos de Coleta'!B21,Operacionais!$F:$F,"&gt;0",Operacionais!$G:$G,"")&gt;0,"Ok","Faltando")))</f>
        <v>Oil Fiscal: Ok</v>
      </c>
      <c r="C21" s="39" t="str">
        <f ca="1">IF('Pontos de Coleta'!C21="","",IF(COUNTIF(INDIRECT("tblPocos["&amp;C$1&amp;"]"),'Pontos de Coleta'!C21)&gt;0,'Pontos de Coleta'!C21&amp;": Fechado",'Pontos de Coleta'!C21&amp;": "&amp;IF(COUNTIFS(Coletas!$B:$B,C$1,Coletas!$C:$C,'Pontos de Coleta'!C21,Coletas!$F:$F,"&gt;0",Coletas!$G:$G,"")+COUNTIFS(Operacionais!$B:$B,C$1,Operacionais!$C:$C,'Pontos de Coleta'!C21,Operacionais!$F:$F,"&gt;0",Operacionais!$G:$G,"")&gt;0,"Ok","Faltando")))</f>
        <v>Oil Fiscal: Ok</v>
      </c>
      <c r="D21" s="39" t="str">
        <f ca="1">IF('Pontos de Coleta'!D21="","",IF(COUNTIF(INDIRECT("tblPocos["&amp;D$1&amp;"]"),'Pontos de Coleta'!D21)&gt;0,'Pontos de Coleta'!D21&amp;": Fechado",'Pontos de Coleta'!D21&amp;": "&amp;IF(COUNTIFS(Coletas!$B:$B,D$1,Coletas!$C:$C,'Pontos de Coleta'!D21,Coletas!$F:$F,"&gt;0",Coletas!$G:$G,"")+COUNTIFS(Operacionais!$B:$B,D$1,Operacionais!$C:$C,'Pontos de Coleta'!D21,Operacionais!$F:$F,"&gt;0",Operacionais!$G:$G,"")&gt;0,"Ok","Faltando")))</f>
        <v>Poço TUP-120 (P-7): Ok</v>
      </c>
      <c r="E21" s="39" t="str">
        <f ca="1">IF('Pontos de Coleta'!E21="","",IF(COUNTIF(INDIRECT("tblPocos["&amp;E$1&amp;"]"),'Pontos de Coleta'!E21)&gt;0,'Pontos de Coleta'!E21&amp;": Fechado",'Pontos de Coleta'!E21&amp;": "&amp;IF(COUNTIFS(Coletas!$B:$B,E$1,Coletas!$C:$C,'Pontos de Coleta'!E21,Coletas!$F:$F,"&gt;0",Coletas!$G:$G,"")+COUNTIFS(Operacionais!$B:$B,E$1,Operacionais!$C:$C,'Pontos de Coleta'!E21,Operacionais!$F:$F,"&gt;0",Operacionais!$G:$G,"")&gt;0,"Ok","Faltando")))</f>
        <v/>
      </c>
      <c r="F21" s="39" t="str">
        <f ca="1">IF('Pontos de Coleta'!F21="","",IF(COUNTIF(INDIRECT("tblPocos["&amp;F$1&amp;"]"),'Pontos de Coleta'!F21)&gt;0,'Pontos de Coleta'!F21&amp;": Fechado",'Pontos de Coleta'!F21&amp;": "&amp;IF(COUNTIFS(Coletas!$B:$B,F$1,Coletas!$C:$C,'Pontos de Coleta'!F21,Coletas!$F:$F,"&gt;0",Coletas!$G:$G,"")+COUNTIFS(Operacionais!$B:$B,F$1,Operacionais!$C:$C,'Pontos de Coleta'!F21,Operacionais!$F:$F,"&gt;0",Operacionais!$G:$G,"")&gt;0,"Ok","Faltando")))</f>
        <v/>
      </c>
      <c r="G21" s="39" t="str">
        <f ca="1">IF('Pontos de Coleta'!G21="","",IF(COUNTIF(INDIRECT("tblPocos["&amp;G$1&amp;"]"),'Pontos de Coleta'!G21)&gt;0,'Pontos de Coleta'!G21&amp;": Fechado",'Pontos de Coleta'!G21&amp;": "&amp;IF(COUNTIFS(Coletas!$B:$B,G$1,Coletas!$C:$C,'Pontos de Coleta'!G21,Coletas!$F:$F,"&gt;0",Coletas!$G:$G,"")+COUNTIFS(Operacionais!$B:$B,G$1,Operacionais!$C:$C,'Pontos de Coleta'!G21,Operacionais!$F:$F,"&gt;0",Operacionais!$G:$G,"")&gt;0,"Ok","Faltando")))</f>
        <v>Cargo Tank: Ok</v>
      </c>
      <c r="H21" s="39" t="str">
        <f ca="1">IF('Pontos de Coleta'!H21="","",IF(COUNTIF(INDIRECT("tblPocos["&amp;H$1&amp;"]"),'Pontos de Coleta'!H21)&gt;0,'Pontos de Coleta'!H21&amp;": Fechado",'Pontos de Coleta'!H21&amp;": "&amp;IF(COUNTIFS(Coletas!$B:$B,H$1,Coletas!$C:$C,'Pontos de Coleta'!H21,Coletas!$F:$F,"&gt;0",Coletas!$G:$G,"")+COUNTIFS(Operacionais!$B:$B,H$1,Operacionais!$C:$C,'Pontos de Coleta'!H21,Operacionais!$F:$F,"&gt;0",Operacionais!$G:$G,"")&gt;0,"Ok","Faltando")))</f>
        <v/>
      </c>
      <c r="I21" s="39" t="str">
        <f ca="1">IF('Pontos de Coleta'!I21="","",IF(COUNTIF(INDIRECT("tblPocos["&amp;I$1&amp;"]"),'Pontos de Coleta'!I21)&gt;0,'Pontos de Coleta'!I21&amp;": Fechado",'Pontos de Coleta'!I21&amp;": "&amp;IF(COUNTIFS(Coletas!$B:$B,I$1,Coletas!$C:$C,'Pontos de Coleta'!I21,Coletas!$F:$F,"&gt;0",Coletas!$G:$G,"")+COUNTIFS(Operacionais!$B:$B,I$1,Operacionais!$C:$C,'Pontos de Coleta'!I21,Operacionais!$F:$F,"&gt;0",Operacionais!$G:$G,"")&gt;0,"Ok","Faltando")))</f>
        <v>Poço 7-BUZ-87D-RJS (P-4): Ok</v>
      </c>
      <c r="J21" s="39" t="str">
        <f ca="1">IF('Pontos de Coleta'!J21="","",IF(COUNTIF(INDIRECT("tblPocos["&amp;J$1&amp;"]"),'Pontos de Coleta'!J21)&gt;0,'Pontos de Coleta'!J21&amp;": Fechado",'Pontos de Coleta'!J21&amp;": "&amp;IF(COUNTIFS(Coletas!$B:$B,J$1,Coletas!$C:$C,'Pontos de Coleta'!J21,Coletas!$F:$F,"&gt;0",Coletas!$G:$G,"")+COUNTIFS(Operacionais!$B:$B,J$1,Operacionais!$C:$C,'Pontos de Coleta'!J21,Operacionais!$F:$F,"&gt;0",Operacionais!$G:$G,"")&gt;0,"Ok","Faltando")))</f>
        <v>662-AP-0162 (FWKO Drum): Ok</v>
      </c>
    </row>
    <row r="22" spans="1:10" ht="12.5" x14ac:dyDescent="0.25">
      <c r="A22" s="39" t="str">
        <f ca="1">IF('Pontos de Coleta'!A22="","",IF(COUNTIF(INDIRECT("tblPocos["&amp;A$1&amp;"]"),'Pontos de Coleta'!A22)&gt;0,'Pontos de Coleta'!A22&amp;": Fechado",'Pontos de Coleta'!A22&amp;": "&amp;IF(COUNTIFS(Coletas!$B:$B,A$1,Coletas!$C:$C,'Pontos de Coleta'!A22,Coletas!$F:$F,"&gt;0",Coletas!$G:$G,"")+COUNTIFS(Operacionais!$B:$B,A$1,Operacionais!$C:$C,'Pontos de Coleta'!A22,Operacionais!$F:$F,"&gt;0",Operacionais!$G:$G,"")&gt;0,"Ok","Faltando")))</f>
        <v>Poço RJS-677 (P-04): Ok</v>
      </c>
      <c r="B22" s="39" t="str">
        <f ca="1">IF('Pontos de Coleta'!B22="","",IF(COUNTIF(INDIRECT("tblPocos["&amp;B$1&amp;"]"),'Pontos de Coleta'!B22)&gt;0,'Pontos de Coleta'!B22&amp;": Fechado",'Pontos de Coleta'!B22&amp;": "&amp;IF(COUNTIFS(Coletas!$B:$B,B$1,Coletas!$C:$C,'Pontos de Coleta'!B22,Coletas!$F:$F,"&gt;0",Coletas!$G:$G,"")+COUNTIFS(Operacionais!$B:$B,B$1,Operacionais!$C:$C,'Pontos de Coleta'!B22,Operacionais!$F:$F,"&gt;0",Operacionais!$G:$G,"")&gt;0,"Ok","Faltando")))</f>
        <v>T62-AP-0124 (Operational Oil): Ok</v>
      </c>
      <c r="C22" s="39" t="str">
        <f ca="1">IF('Pontos de Coleta'!C22="","",IF(COUNTIF(INDIRECT("tblPocos["&amp;C$1&amp;"]"),'Pontos de Coleta'!C22)&gt;0,'Pontos de Coleta'!C22&amp;": Fechado",'Pontos de Coleta'!C22&amp;": "&amp;IF(COUNTIFS(Coletas!$B:$B,C$1,Coletas!$C:$C,'Pontos de Coleta'!C22,Coletas!$F:$F,"&gt;0",Coletas!$G:$G,"")+COUNTIFS(Operacionais!$B:$B,C$1,Operacionais!$C:$C,'Pontos de Coleta'!C22,Operacionais!$F:$F,"&gt;0",Operacionais!$G:$G,"")&gt;0,"Ok","Faltando")))</f>
        <v>T62-AP-0124 (Operational Oil): Ok</v>
      </c>
      <c r="D22" s="39" t="str">
        <f ca="1">IF('Pontos de Coleta'!D22="","",IF(COUNTIF(INDIRECT("tblPocos["&amp;D$1&amp;"]"),'Pontos de Coleta'!D22)&gt;0,'Pontos de Coleta'!D22&amp;": Fechado",'Pontos de Coleta'!D22&amp;": "&amp;IF(COUNTIFS(Coletas!$B:$B,D$1,Coletas!$C:$C,'Pontos de Coleta'!D22,Coletas!$F:$F,"&gt;0",Coletas!$G:$G,"")+COUNTIFS(Operacionais!$B:$B,D$1,Operacionais!$C:$C,'Pontos de Coleta'!D22,Operacionais!$F:$F,"&gt;0",Operacionais!$G:$G,"")&gt;0,"Ok","Faltando")))</f>
        <v>T62-AP-1111 (Oil Fiscal): Ok</v>
      </c>
      <c r="E22" s="39" t="str">
        <f ca="1">IF('Pontos de Coleta'!E22="","",IF(COUNTIF(INDIRECT("tblPocos["&amp;E$1&amp;"]"),'Pontos de Coleta'!E22)&gt;0,'Pontos de Coleta'!E22&amp;": Fechado",'Pontos de Coleta'!E22&amp;": "&amp;IF(COUNTIFS(Coletas!$B:$B,E$1,Coletas!$C:$C,'Pontos de Coleta'!E22,Coletas!$F:$F,"&gt;0",Coletas!$G:$G,"")+COUNTIFS(Operacionais!$B:$B,E$1,Operacionais!$C:$C,'Pontos de Coleta'!E22,Operacionais!$F:$F,"&gt;0",Operacionais!$G:$G,"")&gt;0,"Ok","Faltando")))</f>
        <v/>
      </c>
      <c r="F22" s="39" t="str">
        <f ca="1">IF('Pontos de Coleta'!F22="","",IF(COUNTIF(INDIRECT("tblPocos["&amp;F$1&amp;"]"),'Pontos de Coleta'!F22)&gt;0,'Pontos de Coleta'!F22&amp;": Fechado",'Pontos de Coleta'!F22&amp;": "&amp;IF(COUNTIFS(Coletas!$B:$B,F$1,Coletas!$C:$C,'Pontos de Coleta'!F22,Coletas!$F:$F,"&gt;0",Coletas!$G:$G,"")+COUNTIFS(Operacionais!$B:$B,F$1,Operacionais!$C:$C,'Pontos de Coleta'!F22,Operacionais!$F:$F,"&gt;0",Operacionais!$G:$G,"")&gt;0,"Ok","Faltando")))</f>
        <v/>
      </c>
      <c r="G22" s="39" t="str">
        <f ca="1">IF('Pontos de Coleta'!G22="","",IF(COUNTIF(INDIRECT("tblPocos["&amp;G$1&amp;"]"),'Pontos de Coleta'!G22)&gt;0,'Pontos de Coleta'!G22&amp;": Fechado",'Pontos de Coleta'!G22&amp;": "&amp;IF(COUNTIFS(Coletas!$B:$B,G$1,Coletas!$C:$C,'Pontos de Coleta'!G22,Coletas!$F:$F,"&gt;0",Coletas!$G:$G,"")+COUNTIFS(Operacionais!$B:$B,G$1,Operacionais!$C:$C,'Pontos de Coleta'!G22,Operacionais!$F:$F,"&gt;0",Operacionais!$G:$G,"")&gt;0,"Ok","Faltando")))</f>
        <v/>
      </c>
      <c r="H22" s="39" t="str">
        <f ca="1">IF('Pontos de Coleta'!H22="","",IF(COUNTIF(INDIRECT("tblPocos["&amp;H$1&amp;"]"),'Pontos de Coleta'!H22)&gt;0,'Pontos de Coleta'!H22&amp;": Fechado",'Pontos de Coleta'!H22&amp;": "&amp;IF(COUNTIFS(Coletas!$B:$B,H$1,Coletas!$C:$C,'Pontos de Coleta'!H22,Coletas!$F:$F,"&gt;0",Coletas!$G:$G,"")+COUNTIFS(Operacionais!$B:$B,H$1,Operacionais!$C:$C,'Pontos de Coleta'!H22,Operacionais!$F:$F,"&gt;0",Operacionais!$G:$G,"")&gt;0,"Ok","Faltando")))</f>
        <v/>
      </c>
      <c r="I22" s="39" t="str">
        <f ca="1">IF('Pontos de Coleta'!I22="","",IF(COUNTIF(INDIRECT("tblPocos["&amp;I$1&amp;"]"),'Pontos de Coleta'!I22)&gt;0,'Pontos de Coleta'!I22&amp;": Fechado",'Pontos de Coleta'!I22&amp;": "&amp;IF(COUNTIFS(Coletas!$B:$B,I$1,Coletas!$C:$C,'Pontos de Coleta'!I22,Coletas!$F:$F,"&gt;0",Coletas!$G:$G,"")+COUNTIFS(Operacionais!$B:$B,I$1,Operacionais!$C:$C,'Pontos de Coleta'!I22,Operacionais!$F:$F,"&gt;0",Operacionais!$G:$G,"")&gt;0,"Ok","Faltando")))</f>
        <v>Poço 7-BUZ-85D-RJS (P-7): Ok</v>
      </c>
      <c r="J22" s="39" t="str">
        <f ca="1">IF('Pontos de Coleta'!J22="","",IF(COUNTIF(INDIRECT("tblPocos["&amp;J$1&amp;"]"),'Pontos de Coleta'!J22)&gt;0,'Pontos de Coleta'!J22&amp;": Fechado",'Pontos de Coleta'!J22&amp;": "&amp;IF(COUNTIFS(Coletas!$B:$B,J$1,Coletas!$C:$C,'Pontos de Coleta'!J22,Coletas!$F:$F,"&gt;0",Coletas!$G:$G,"")+COUNTIFS(Operacionais!$B:$B,J$1,Operacionais!$C:$C,'Pontos de Coleta'!J22,Operacionais!$F:$F,"&gt;0",Operacionais!$G:$G,"")&gt;0,"Ok","Faltando")))</f>
        <v/>
      </c>
    </row>
    <row r="23" spans="1:10" ht="12.5" x14ac:dyDescent="0.25">
      <c r="A23" s="39" t="str">
        <f ca="1">IF('Pontos de Coleta'!A23="","",IF(COUNTIF(INDIRECT("tblPocos["&amp;A$1&amp;"]"),'Pontos de Coleta'!A23)&gt;0,'Pontos de Coleta'!A23&amp;": Fechado",'Pontos de Coleta'!A23&amp;": "&amp;IF(COUNTIFS(Coletas!$B:$B,A$1,Coletas!$C:$C,'Pontos de Coleta'!A23,Coletas!$F:$F,"&gt;0",Coletas!$G:$G,"")+COUNTIFS(Operacionais!$B:$B,A$1,Operacionais!$C:$C,'Pontos de Coleta'!A23,Operacionais!$F:$F,"&gt;0",Operacionais!$G:$G,"")&gt;0,"Ok","Faltando")))</f>
        <v/>
      </c>
      <c r="B23" s="39" t="str">
        <f ca="1">IF('Pontos de Coleta'!B23="","",IF(COUNTIF(INDIRECT("tblPocos["&amp;B$1&amp;"]"),'Pontos de Coleta'!B23)&gt;0,'Pontos de Coleta'!B23&amp;": Fechado",'Pontos de Coleta'!B23&amp;": "&amp;IF(COUNTIFS(Coletas!$B:$B,B$1,Coletas!$C:$C,'Pontos de Coleta'!B23,Coletas!$F:$F,"&gt;0",Coletas!$G:$G,"")+COUNTIFS(Operacionais!$B:$B,B$1,Operacionais!$C:$C,'Pontos de Coleta'!B23,Operacionais!$F:$F,"&gt;0",Operacionais!$G:$G,"")&gt;0,"Ok","Faltando")))</f>
        <v>Poço TUP-132 (P-08): Ok</v>
      </c>
      <c r="C23" s="39" t="str">
        <f ca="1">IF('Pontos de Coleta'!C23="","",IF(COUNTIF(INDIRECT("tblPocos["&amp;C$1&amp;"]"),'Pontos de Coleta'!C23)&gt;0,'Pontos de Coleta'!C23&amp;": Fechado",'Pontos de Coleta'!C23&amp;": "&amp;IF(COUNTIFS(Coletas!$B:$B,C$1,Coletas!$C:$C,'Pontos de Coleta'!C23,Coletas!$F:$F,"&gt;0",Coletas!$G:$G,"")+COUNTIFS(Operacionais!$B:$B,C$1,Operacionais!$C:$C,'Pontos de Coleta'!C23,Operacionais!$F:$F,"&gt;0",Operacionais!$G:$G,"")&gt;0,"Ok","Faltando")))</f>
        <v/>
      </c>
      <c r="D23" s="39" t="str">
        <f ca="1">IF('Pontos de Coleta'!D23="","",IF(COUNTIF(INDIRECT("tblPocos["&amp;D$1&amp;"]"),'Pontos de Coleta'!D23)&gt;0,'Pontos de Coleta'!D23&amp;": Fechado",'Pontos de Coleta'!D23&amp;": "&amp;IF(COUNTIFS(Coletas!$B:$B,D$1,Coletas!$C:$C,'Pontos de Coleta'!D23,Coletas!$F:$F,"&gt;0",Coletas!$G:$G,"")+COUNTIFS(Operacionais!$B:$B,D$1,Operacionais!$C:$C,'Pontos de Coleta'!D23,Operacionais!$F:$F,"&gt;0",Operacionais!$G:$G,"")&gt;0,"Ok","Faltando")))</f>
        <v>T62-AP-0124 (Operational Oil): Ok</v>
      </c>
      <c r="E23" s="39" t="str">
        <f ca="1">IF('Pontos de Coleta'!E23="","",IF(COUNTIF(INDIRECT("tblPocos["&amp;E$1&amp;"]"),'Pontos de Coleta'!E23)&gt;0,'Pontos de Coleta'!E23&amp;": Fechado",'Pontos de Coleta'!E23&amp;": "&amp;IF(COUNTIFS(Coletas!$B:$B,E$1,Coletas!$C:$C,'Pontos de Coleta'!E23,Coletas!$F:$F,"&gt;0",Coletas!$G:$G,"")+COUNTIFS(Operacionais!$B:$B,E$1,Operacionais!$C:$C,'Pontos de Coleta'!E23,Operacionais!$F:$F,"&gt;0",Operacionais!$G:$G,"")&gt;0,"Ok","Faltando")))</f>
        <v/>
      </c>
      <c r="F23" s="39" t="str">
        <f ca="1">IF('Pontos de Coleta'!F23="","",IF(COUNTIF(INDIRECT("tblPocos["&amp;F$1&amp;"]"),'Pontos de Coleta'!F23)&gt;0,'Pontos de Coleta'!F23&amp;": Fechado",'Pontos de Coleta'!F23&amp;": "&amp;IF(COUNTIFS(Coletas!$B:$B,F$1,Coletas!$C:$C,'Pontos de Coleta'!F23,Coletas!$F:$F,"&gt;0",Coletas!$G:$G,"")+COUNTIFS(Operacionais!$B:$B,F$1,Operacionais!$C:$C,'Pontos de Coleta'!F23,Operacionais!$F:$F,"&gt;0",Operacionais!$G:$G,"")&gt;0,"Ok","Faltando")))</f>
        <v/>
      </c>
      <c r="G23" s="39" t="str">
        <f ca="1">IF('Pontos de Coleta'!G23="","",IF(COUNTIF(INDIRECT("tblPocos["&amp;G$1&amp;"]"),'Pontos de Coleta'!G23)&gt;0,'Pontos de Coleta'!G23&amp;": Fechado",'Pontos de Coleta'!G23&amp;": "&amp;IF(COUNTIFS(Coletas!$B:$B,G$1,Coletas!$C:$C,'Pontos de Coleta'!G23,Coletas!$F:$F,"&gt;0",Coletas!$G:$G,"")+COUNTIFS(Operacionais!$B:$B,G$1,Operacionais!$C:$C,'Pontos de Coleta'!G23,Operacionais!$F:$F,"&gt;0",Operacionais!$G:$G,"")&gt;0,"Ok","Faltando")))</f>
        <v/>
      </c>
      <c r="H23" s="39" t="str">
        <f ca="1">IF('Pontos de Coleta'!H23="","",IF(COUNTIF(INDIRECT("tblPocos["&amp;H$1&amp;"]"),'Pontos de Coleta'!H23)&gt;0,'Pontos de Coleta'!H23&amp;": Fechado",'Pontos de Coleta'!H23&amp;": "&amp;IF(COUNTIFS(Coletas!$B:$B,H$1,Coletas!$C:$C,'Pontos de Coleta'!H23,Coletas!$F:$F,"&gt;0",Coletas!$G:$G,"")+COUNTIFS(Operacionais!$B:$B,H$1,Operacionais!$C:$C,'Pontos de Coleta'!H23,Operacionais!$F:$F,"&gt;0",Operacionais!$G:$G,"")&gt;0,"Ok","Faltando")))</f>
        <v/>
      </c>
      <c r="I23" s="39" t="str">
        <f ca="1">IF('Pontos de Coleta'!I23="","",IF(COUNTIF(INDIRECT("tblPocos["&amp;I$1&amp;"]"),'Pontos de Coleta'!I23)&gt;0,'Pontos de Coleta'!I23&amp;": Fechado",'Pontos de Coleta'!I23&amp;": "&amp;IF(COUNTIFS(Coletas!$B:$B,I$1,Coletas!$C:$C,'Pontos de Coleta'!I23,Coletas!$F:$F,"&gt;0",Coletas!$G:$G,"")+COUNTIFS(Operacionais!$B:$B,I$1,Operacionais!$C:$C,'Pontos de Coleta'!I23,Operacionais!$F:$F,"&gt;0",Operacionais!$G:$G,"")&gt;0,"Ok","Faltando")))</f>
        <v>Poço 9-RJS-716 (P-6): Ok</v>
      </c>
      <c r="J23" s="39" t="str">
        <f ca="1">IF('Pontos de Coleta'!J23="","",IF(COUNTIF(INDIRECT("tblPocos["&amp;J$1&amp;"]"),'Pontos de Coleta'!J23)&gt;0,'Pontos de Coleta'!J23&amp;": Fechado",'Pontos de Coleta'!J23&amp;": "&amp;IF(COUNTIFS(Coletas!$B:$B,J$1,Coletas!$C:$C,'Pontos de Coleta'!J23,Coletas!$F:$F,"&gt;0",Coletas!$G:$G,"")+COUNTIFS(Operacionais!$B:$B,J$1,Operacionais!$C:$C,'Pontos de Coleta'!J23,Operacionais!$F:$F,"&gt;0",Operacionais!$G:$G,"")&gt;0,"Ok","Faltando")))</f>
        <v/>
      </c>
    </row>
    <row r="24" spans="1:10" ht="12.5" x14ac:dyDescent="0.25">
      <c r="A24" s="39" t="str">
        <f ca="1">IF('Pontos de Coleta'!A24="","",IF(COUNTIF(INDIRECT("tblPocos["&amp;A$1&amp;"]"),'Pontos de Coleta'!A24)&gt;0,'Pontos de Coleta'!A24&amp;": Fechado",'Pontos de Coleta'!A24&amp;": "&amp;IF(COUNTIFS(Coletas!$B:$B,A$1,Coletas!$C:$C,'Pontos de Coleta'!A24,Coletas!$F:$F,"&gt;0",Coletas!$G:$G,"")+COUNTIFS(Operacionais!$B:$B,A$1,Operacionais!$C:$C,'Pontos de Coleta'!A24,Operacionais!$F:$F,"&gt;0",Operacionais!$G:$G,"")&gt;0,"Ok","Faltando")))</f>
        <v/>
      </c>
      <c r="B24" s="39" t="str">
        <f ca="1">IF('Pontos de Coleta'!B24="","",IF(COUNTIF(INDIRECT("tblPocos["&amp;B$1&amp;"]"),'Pontos de Coleta'!B24)&gt;0,'Pontos de Coleta'!B24&amp;": Fechado",'Pontos de Coleta'!B24&amp;": "&amp;IF(COUNTIFS(Coletas!$B:$B,B$1,Coletas!$C:$C,'Pontos de Coleta'!B24,Coletas!$F:$F,"&gt;0",Coletas!$G:$G,"")+COUNTIFS(Operacionais!$B:$B,B$1,Operacionais!$C:$C,'Pontos de Coleta'!B24,Operacionais!$F:$F,"&gt;0",Operacionais!$G:$G,"")&gt;0,"Ok","Faltando")))</f>
        <v/>
      </c>
      <c r="C24" s="39" t="str">
        <f ca="1">IF('Pontos de Coleta'!C24="","",IF(COUNTIF(INDIRECT("tblPocos["&amp;C$1&amp;"]"),'Pontos de Coleta'!C24)&gt;0,'Pontos de Coleta'!C24&amp;": Fechado",'Pontos de Coleta'!C24&amp;": "&amp;IF(COUNTIFS(Coletas!$B:$B,C$1,Coletas!$C:$C,'Pontos de Coleta'!C24,Coletas!$F:$F,"&gt;0",Coletas!$G:$G,"")+COUNTIFS(Operacionais!$B:$B,C$1,Operacionais!$C:$C,'Pontos de Coleta'!C24,Operacionais!$F:$F,"&gt;0",Operacionais!$G:$G,"")&gt;0,"Ok","Faltando")))</f>
        <v/>
      </c>
      <c r="D24" s="39" t="str">
        <f ca="1">IF('Pontos de Coleta'!D24="","",IF(COUNTIF(INDIRECT("tblPocos["&amp;D$1&amp;"]"),'Pontos de Coleta'!D24)&gt;0,'Pontos de Coleta'!D24&amp;": Fechado",'Pontos de Coleta'!D24&amp;": "&amp;IF(COUNTIFS(Coletas!$B:$B,D$1,Coletas!$C:$C,'Pontos de Coleta'!D24,Coletas!$F:$F,"&gt;0",Coletas!$G:$G,"")+COUNTIFS(Operacionais!$B:$B,D$1,Operacionais!$C:$C,'Pontos de Coleta'!D24,Operacionais!$F:$F,"&gt;0",Operacionais!$G:$G,"")&gt;0,"Ok","Faltando")))</f>
        <v>Poço TUP-127 (P-05): Ok</v>
      </c>
      <c r="E24" s="39" t="str">
        <f ca="1">IF('Pontos de Coleta'!E24="","",IF(COUNTIF(INDIRECT("tblPocos["&amp;E$1&amp;"]"),'Pontos de Coleta'!E24)&gt;0,'Pontos de Coleta'!E24&amp;": Fechado",'Pontos de Coleta'!E24&amp;": "&amp;IF(COUNTIFS(Coletas!$B:$B,E$1,Coletas!$C:$C,'Pontos de Coleta'!E24,Coletas!$F:$F,"&gt;0",Coletas!$G:$G,"")+COUNTIFS(Operacionais!$B:$B,E$1,Operacionais!$C:$C,'Pontos de Coleta'!E24,Operacionais!$F:$F,"&gt;0",Operacionais!$G:$G,"")&gt;0,"Ok","Faltando")))</f>
        <v/>
      </c>
      <c r="F24" s="39" t="str">
        <f ca="1">IF('Pontos de Coleta'!F24="","",IF(COUNTIF(INDIRECT("tblPocos["&amp;F$1&amp;"]"),'Pontos de Coleta'!F24)&gt;0,'Pontos de Coleta'!F24&amp;": Fechado",'Pontos de Coleta'!F24&amp;": "&amp;IF(COUNTIFS(Coletas!$B:$B,F$1,Coletas!$C:$C,'Pontos de Coleta'!F24,Coletas!$F:$F,"&gt;0",Coletas!$G:$G,"")+COUNTIFS(Operacionais!$B:$B,F$1,Operacionais!$C:$C,'Pontos de Coleta'!F24,Operacionais!$F:$F,"&gt;0",Operacionais!$G:$G,"")&gt;0,"Ok","Faltando")))</f>
        <v/>
      </c>
      <c r="G24" s="39" t="str">
        <f ca="1">IF('Pontos de Coleta'!G24="","",IF(COUNTIF(INDIRECT("tblPocos["&amp;G$1&amp;"]"),'Pontos de Coleta'!G24)&gt;0,'Pontos de Coleta'!G24&amp;": Fechado",'Pontos de Coleta'!G24&amp;": "&amp;IF(COUNTIFS(Coletas!$B:$B,G$1,Coletas!$C:$C,'Pontos de Coleta'!G24,Coletas!$F:$F,"&gt;0",Coletas!$G:$G,"")+COUNTIFS(Operacionais!$B:$B,G$1,Operacionais!$C:$C,'Pontos de Coleta'!G24,Operacionais!$F:$F,"&gt;0",Operacionais!$G:$G,"")&gt;0,"Ok","Faltando")))</f>
        <v/>
      </c>
      <c r="H24" s="39" t="str">
        <f ca="1">IF('Pontos de Coleta'!H24="","",IF(COUNTIF(INDIRECT("tblPocos["&amp;H$1&amp;"]"),'Pontos de Coleta'!H24)&gt;0,'Pontos de Coleta'!H24&amp;": Fechado",'Pontos de Coleta'!H24&amp;": "&amp;IF(COUNTIFS(Coletas!$B:$B,H$1,Coletas!$C:$C,'Pontos de Coleta'!H24,Coletas!$F:$F,"&gt;0",Coletas!$G:$G,"")+COUNTIFS(Operacionais!$B:$B,H$1,Operacionais!$C:$C,'Pontos de Coleta'!H24,Operacionais!$F:$F,"&gt;0",Operacionais!$G:$G,"")&gt;0,"Ok","Faltando")))</f>
        <v/>
      </c>
      <c r="I24" s="39" t="str">
        <f ca="1">IF('Pontos de Coleta'!I24="","",IF(COUNTIF(INDIRECT("tblPocos["&amp;I$1&amp;"]"),'Pontos de Coleta'!I24)&gt;0,'Pontos de Coleta'!I24&amp;": Fechado",'Pontos de Coleta'!I24&amp;": "&amp;IF(COUNTIFS(Coletas!$B:$B,I$1,Coletas!$C:$C,'Pontos de Coleta'!I24,Coletas!$F:$F,"&gt;0",Coletas!$G:$G,"")+COUNTIFS(Operacionais!$B:$B,I$1,Operacionais!$C:$C,'Pontos de Coleta'!I24,Operacionais!$F:$F,"&gt;0",Operacionais!$G:$G,"")&gt;0,"Ok","Faltando")))</f>
        <v>Poço 7-BUZ-41D-RJS (PWAG1): Ok</v>
      </c>
      <c r="J24" s="39" t="str">
        <f ca="1">IF('Pontos de Coleta'!J24="","",IF(COUNTIF(INDIRECT("tblPocos["&amp;J$1&amp;"]"),'Pontos de Coleta'!J24)&gt;0,'Pontos de Coleta'!J24&amp;": Fechado",'Pontos de Coleta'!J24&amp;": "&amp;IF(COUNTIFS(Coletas!$B:$B,J$1,Coletas!$C:$C,'Pontos de Coleta'!J24,Coletas!$F:$F,"&gt;0",Coletas!$G:$G,"")+COUNTIFS(Operacionais!$B:$B,J$1,Operacionais!$C:$C,'Pontos de Coleta'!J24,Operacionais!$F:$F,"&gt;0",Operacionais!$G:$G,"")&gt;0,"Ok","Faltando")))</f>
        <v/>
      </c>
    </row>
    <row r="25" spans="1:10" ht="12.5" x14ac:dyDescent="0.25">
      <c r="A25" s="39" t="str">
        <f ca="1">IF('Pontos de Coleta'!A25="","",IF(COUNTIF(INDIRECT("tblPocos["&amp;A$1&amp;"]"),'Pontos de Coleta'!A25)&gt;0,'Pontos de Coleta'!A25&amp;": Fechado",'Pontos de Coleta'!A25&amp;": "&amp;IF(COUNTIFS(Coletas!$B:$B,A$1,Coletas!$C:$C,'Pontos de Coleta'!A25,Coletas!$F:$F,"&gt;0",Coletas!$G:$G,"")+COUNTIFS(Operacionais!$B:$B,A$1,Operacionais!$C:$C,'Pontos de Coleta'!A25,Operacionais!$F:$F,"&gt;0",Operacionais!$G:$G,"")&gt;0,"Ok","Faltando")))</f>
        <v/>
      </c>
      <c r="B25" s="39" t="str">
        <f ca="1">IF('Pontos de Coleta'!B25="","",IF(COUNTIF(INDIRECT("tblPocos["&amp;B$1&amp;"]"),'Pontos de Coleta'!B25)&gt;0,'Pontos de Coleta'!B25&amp;": Fechado",'Pontos de Coleta'!B25&amp;": "&amp;IF(COUNTIFS(Coletas!$B:$B,B$1,Coletas!$C:$C,'Pontos de Coleta'!B25,Coletas!$F:$F,"&gt;0",Coletas!$G:$G,"")+COUNTIFS(Operacionais!$B:$B,B$1,Operacionais!$C:$C,'Pontos de Coleta'!B25,Operacionais!$F:$F,"&gt;0",Operacionais!$G:$G,"")&gt;0,"Ok","Faltando")))</f>
        <v/>
      </c>
      <c r="C25" s="39" t="str">
        <f ca="1">IF('Pontos de Coleta'!C25="","",IF(COUNTIF(INDIRECT("tblPocos["&amp;C$1&amp;"]"),'Pontos de Coleta'!C25)&gt;0,'Pontos de Coleta'!C25&amp;": Fechado",'Pontos de Coleta'!C25&amp;": "&amp;IF(COUNTIFS(Coletas!$B:$B,C$1,Coletas!$C:$C,'Pontos de Coleta'!C25,Coletas!$F:$F,"&gt;0",Coletas!$G:$G,"")+COUNTIFS(Operacionais!$B:$B,C$1,Operacionais!$C:$C,'Pontos de Coleta'!C25,Operacionais!$F:$F,"&gt;0",Operacionais!$G:$G,"")&gt;0,"Ok","Faltando")))</f>
        <v/>
      </c>
      <c r="D25" s="39" t="str">
        <f ca="1">IF('Pontos de Coleta'!D25="","",IF(COUNTIF(INDIRECT("tblPocos["&amp;D$1&amp;"]"),'Pontos de Coleta'!D25)&gt;0,'Pontos de Coleta'!D25&amp;": Fechado",'Pontos de Coleta'!D25&amp;": "&amp;IF(COUNTIFS(Coletas!$B:$B,D$1,Coletas!$C:$C,'Pontos de Coleta'!D25,Coletas!$F:$F,"&gt;0",Coletas!$G:$G,"")+COUNTIFS(Operacionais!$B:$B,D$1,Operacionais!$C:$C,'Pontos de Coleta'!D25,Operacionais!$F:$F,"&gt;0",Operacionais!$G:$G,"")&gt;0,"Ok","Faltando")))</f>
        <v/>
      </c>
      <c r="E25" s="39" t="str">
        <f ca="1">IF('Pontos de Coleta'!E25="","",IF(COUNTIF(INDIRECT("tblPocos["&amp;E$1&amp;"]"),'Pontos de Coleta'!E25)&gt;0,'Pontos de Coleta'!E25&amp;": Fechado",'Pontos de Coleta'!E25&amp;": "&amp;IF(COUNTIFS(Coletas!$B:$B,E$1,Coletas!$C:$C,'Pontos de Coleta'!E25,Coletas!$F:$F,"&gt;0",Coletas!$G:$G,"")+COUNTIFS(Operacionais!$B:$B,E$1,Operacionais!$C:$C,'Pontos de Coleta'!E25,Operacionais!$F:$F,"&gt;0",Operacionais!$G:$G,"")&gt;0,"Ok","Faltando")))</f>
        <v/>
      </c>
      <c r="F25" s="39" t="str">
        <f ca="1">IF('Pontos de Coleta'!F25="","",IF(COUNTIF(INDIRECT("tblPocos["&amp;F$1&amp;"]"),'Pontos de Coleta'!F25)&gt;0,'Pontos de Coleta'!F25&amp;": Fechado",'Pontos de Coleta'!F25&amp;": "&amp;IF(COUNTIFS(Coletas!$B:$B,F$1,Coletas!$C:$C,'Pontos de Coleta'!F25,Coletas!$F:$F,"&gt;0",Coletas!$G:$G,"")+COUNTIFS(Operacionais!$B:$B,F$1,Operacionais!$C:$C,'Pontos de Coleta'!F25,Operacionais!$F:$F,"&gt;0",Operacionais!$G:$G,"")&gt;0,"Ok","Faltando")))</f>
        <v/>
      </c>
      <c r="G25" s="39" t="str">
        <f ca="1">IF('Pontos de Coleta'!G25="","",IF(COUNTIF(INDIRECT("tblPocos["&amp;G$1&amp;"]"),'Pontos de Coleta'!G25)&gt;0,'Pontos de Coleta'!G25&amp;": Fechado",'Pontos de Coleta'!G25&amp;": "&amp;IF(COUNTIFS(Coletas!$B:$B,G$1,Coletas!$C:$C,'Pontos de Coleta'!G25,Coletas!$F:$F,"&gt;0",Coletas!$G:$G,"")+COUNTIFS(Operacionais!$B:$B,G$1,Operacionais!$C:$C,'Pontos de Coleta'!G25,Operacionais!$F:$F,"&gt;0",Operacionais!$G:$G,"")&gt;0,"Ok","Faltando")))</f>
        <v/>
      </c>
      <c r="H25" s="39" t="str">
        <f ca="1">IF('Pontos de Coleta'!H25="","",IF(COUNTIF(INDIRECT("tblPocos["&amp;H$1&amp;"]"),'Pontos de Coleta'!H25)&gt;0,'Pontos de Coleta'!H25&amp;": Fechado",'Pontos de Coleta'!H25&amp;": "&amp;IF(COUNTIFS(Coletas!$B:$B,H$1,Coletas!$C:$C,'Pontos de Coleta'!H25,Coletas!$F:$F,"&gt;0",Coletas!$G:$G,"")+COUNTIFS(Operacionais!$B:$B,H$1,Operacionais!$C:$C,'Pontos de Coleta'!H25,Operacionais!$F:$F,"&gt;0",Operacionais!$G:$G,"")&gt;0,"Ok","Faltando")))</f>
        <v/>
      </c>
      <c r="I25" s="39" t="str">
        <f ca="1">IF('Pontos de Coleta'!I25="","",IF(COUNTIF(INDIRECT("tblPocos["&amp;I$1&amp;"]"),'Pontos de Coleta'!I25)&gt;0,'Pontos de Coleta'!I25&amp;": Fechado",'Pontos de Coleta'!I25&amp;": "&amp;IF(COUNTIFS(Coletas!$B:$B,I$1,Coletas!$C:$C,'Pontos de Coleta'!I25,Coletas!$F:$F,"&gt;0",Coletas!$G:$G,"")+COUNTIFS(Operacionais!$B:$B,I$1,Operacionais!$C:$C,'Pontos de Coleta'!I25,Operacionais!$F:$F,"&gt;0",Operacionais!$G:$G,"")&gt;0,"Ok","Faltando")))</f>
        <v/>
      </c>
      <c r="J25" s="39" t="str">
        <f ca="1">IF('Pontos de Coleta'!J25="","",IF(COUNTIF(INDIRECT("tblPocos["&amp;J$1&amp;"]"),'Pontos de Coleta'!J25)&gt;0,'Pontos de Coleta'!J25&amp;": Fechado",'Pontos de Coleta'!J25&amp;": "&amp;IF(COUNTIFS(Coletas!$B:$B,J$1,Coletas!$C:$C,'Pontos de Coleta'!J25,Coletas!$F:$F,"&gt;0",Coletas!$G:$G,"")+COUNTIFS(Operacionais!$B:$B,J$1,Operacionais!$C:$C,'Pontos de Coleta'!J25,Operacionais!$F:$F,"&gt;0",Operacionais!$G:$G,"")&gt;0,"Ok","Faltando")))</f>
        <v/>
      </c>
    </row>
    <row r="26" spans="1:10" ht="12.5" x14ac:dyDescent="0.25"/>
    <row r="27" spans="1:10" ht="12.5" x14ac:dyDescent="0.25">
      <c r="A27" s="22" t="s">
        <v>319</v>
      </c>
    </row>
    <row r="28" spans="1:10" ht="12.5" x14ac:dyDescent="0.25">
      <c r="A28" s="51" t="s">
        <v>320</v>
      </c>
      <c r="B28" s="51"/>
      <c r="C28" s="51"/>
      <c r="D28" s="51"/>
      <c r="E28" s="51"/>
      <c r="F28" s="51"/>
      <c r="G28" s="51"/>
      <c r="H28" s="51"/>
      <c r="I28" s="51"/>
      <c r="J28" s="51"/>
    </row>
    <row r="29" spans="1:10" ht="12.5" x14ac:dyDescent="0.25">
      <c r="A29" s="44" t="s">
        <v>34</v>
      </c>
      <c r="B29" s="44" t="s">
        <v>46</v>
      </c>
      <c r="C29" s="44" t="s">
        <v>31</v>
      </c>
      <c r="D29" s="44" t="s">
        <v>38</v>
      </c>
      <c r="E29" s="44" t="s">
        <v>317</v>
      </c>
      <c r="F29" s="44" t="s">
        <v>318</v>
      </c>
      <c r="G29" s="44" t="s">
        <v>24</v>
      </c>
      <c r="H29" s="44" t="s">
        <v>192</v>
      </c>
      <c r="I29" s="44" t="s">
        <v>145</v>
      </c>
      <c r="J29" s="44" t="s">
        <v>52</v>
      </c>
    </row>
    <row r="30" spans="1:10" ht="12.5" x14ac:dyDescent="0.25">
      <c r="A30" s="22" t="s">
        <v>321</v>
      </c>
      <c r="B30" t="s">
        <v>322</v>
      </c>
      <c r="C30" t="s">
        <v>32</v>
      </c>
      <c r="D30" t="s">
        <v>323</v>
      </c>
      <c r="E30" s="22"/>
      <c r="F30" s="22" t="s">
        <v>324</v>
      </c>
      <c r="G30" s="22" t="s">
        <v>325</v>
      </c>
      <c r="H30" s="22"/>
      <c r="I30" s="22"/>
      <c r="J30" s="22" t="s">
        <v>123</v>
      </c>
    </row>
    <row r="31" spans="1:10" ht="12.5" x14ac:dyDescent="0.25">
      <c r="B31" t="s">
        <v>326</v>
      </c>
      <c r="C31" t="s">
        <v>327</v>
      </c>
      <c r="D31" t="s">
        <v>328</v>
      </c>
      <c r="E31" s="22"/>
      <c r="F31" s="22" t="s">
        <v>329</v>
      </c>
      <c r="G31" s="22" t="s">
        <v>330</v>
      </c>
      <c r="H31" s="22"/>
      <c r="I31" s="22"/>
      <c r="J31" s="22"/>
    </row>
    <row r="32" spans="1:10" ht="12.5" x14ac:dyDescent="0.25">
      <c r="B32" t="s">
        <v>116</v>
      </c>
      <c r="C32" t="s">
        <v>87</v>
      </c>
      <c r="D32" t="s">
        <v>331</v>
      </c>
      <c r="E32" s="22"/>
      <c r="F32" s="22"/>
      <c r="G32" s="22" t="s">
        <v>329</v>
      </c>
      <c r="H32" s="22"/>
      <c r="I32" s="22"/>
    </row>
    <row r="33" spans="4:9" ht="12.5" x14ac:dyDescent="0.25">
      <c r="D33" t="s">
        <v>59</v>
      </c>
      <c r="E33" s="22"/>
      <c r="F33" s="22"/>
      <c r="G33" s="22" t="s">
        <v>25</v>
      </c>
      <c r="H33" s="22"/>
      <c r="I33" s="22"/>
    </row>
    <row r="34" spans="4:9" ht="12.5" x14ac:dyDescent="0.25">
      <c r="F34" s="22"/>
      <c r="G34" s="22" t="s">
        <v>30</v>
      </c>
      <c r="H34" s="22"/>
      <c r="I34" s="22"/>
    </row>
    <row r="35" spans="4:9" ht="12.75" customHeight="1" x14ac:dyDescent="0.25">
      <c r="F35" s="22"/>
      <c r="G35" s="22" t="s">
        <v>33</v>
      </c>
      <c r="H35" s="22"/>
      <c r="I35" s="22"/>
    </row>
  </sheetData>
  <mergeCells count="1">
    <mergeCell ref="A28:J28"/>
  </mergeCells>
  <conditionalFormatting sqref="A2:J25">
    <cfRule type="expression" dxfId="9" priority="1">
      <formula>A2=""</formula>
    </cfRule>
    <cfRule type="expression" dxfId="8" priority="3" stopIfTrue="1">
      <formula>IF(NOT(ISERROR(SEARCH("Fechado",A2))),1,0)</formula>
    </cfRule>
    <cfRule type="expression" dxfId="7" priority="4" stopIfTrue="1">
      <formula>IF(ISERROR(SEARCH("ok",A2)),0,1)</formula>
    </cfRule>
    <cfRule type="expression" dxfId="6" priority="5" stopIfTrue="1">
      <formula>IF(ISERROR(SEARCH("Poço",A2)),0,1)</formula>
    </cfRule>
  </conditionalFormatting>
  <dataValidations count="1">
    <dataValidation type="list" allowBlank="1" showInputMessage="1" showErrorMessage="1" sqref="A30:J35" xr:uid="{2D8F4085-B867-461B-9121-82F287A1E630}">
      <formula1>list_pocos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4"/>
  <sheetViews>
    <sheetView tabSelected="1" topLeftCell="E1" zoomScaleNormal="100" workbookViewId="0">
      <selection activeCell="I5" sqref="I5"/>
    </sheetView>
  </sheetViews>
  <sheetFormatPr defaultColWidth="18.7265625" defaultRowHeight="12.75" customHeight="1" x14ac:dyDescent="0.25"/>
  <cols>
    <col min="1" max="3" width="26.81640625" bestFit="1" customWidth="1"/>
    <col min="4" max="4" width="27.26953125" customWidth="1"/>
    <col min="5" max="5" width="23" bestFit="1" customWidth="1"/>
    <col min="6" max="6" width="24.453125" bestFit="1" customWidth="1"/>
    <col min="7" max="7" width="24.453125" customWidth="1"/>
    <col min="8" max="8" width="29.453125" bestFit="1" customWidth="1"/>
    <col min="9" max="9" width="34.1796875" bestFit="1" customWidth="1"/>
    <col min="10" max="10" width="30.1796875" bestFit="1" customWidth="1"/>
  </cols>
  <sheetData>
    <row r="1" spans="1:10" ht="12.75" customHeight="1" x14ac:dyDescent="0.25">
      <c r="A1" s="22" t="s">
        <v>34</v>
      </c>
      <c r="B1" s="22" t="s">
        <v>46</v>
      </c>
      <c r="C1" s="22" t="s">
        <v>31</v>
      </c>
      <c r="D1" s="22" t="s">
        <v>38</v>
      </c>
      <c r="E1" s="22" t="s">
        <v>317</v>
      </c>
      <c r="F1" s="22" t="s">
        <v>318</v>
      </c>
      <c r="G1" s="22" t="s">
        <v>24</v>
      </c>
      <c r="H1" s="22" t="s">
        <v>192</v>
      </c>
      <c r="I1" s="22" t="s">
        <v>145</v>
      </c>
      <c r="J1" s="22" t="s">
        <v>52</v>
      </c>
    </row>
    <row r="2" spans="1:10" ht="12.75" customHeight="1" x14ac:dyDescent="0.25">
      <c r="A2" t="s">
        <v>71</v>
      </c>
      <c r="B2" t="s">
        <v>74</v>
      </c>
      <c r="C2" t="s">
        <v>74</v>
      </c>
      <c r="D2" s="22" t="s">
        <v>74</v>
      </c>
      <c r="E2" t="s">
        <v>332</v>
      </c>
      <c r="F2" t="s">
        <v>78</v>
      </c>
      <c r="G2" s="22" t="s">
        <v>78</v>
      </c>
      <c r="H2" s="22" t="s">
        <v>112</v>
      </c>
      <c r="I2" s="22" t="s">
        <v>148</v>
      </c>
      <c r="J2" s="22" t="s">
        <v>112</v>
      </c>
    </row>
    <row r="3" spans="1:10" ht="12.75" customHeight="1" x14ac:dyDescent="0.25">
      <c r="A3" t="s">
        <v>74</v>
      </c>
      <c r="B3" t="s">
        <v>75</v>
      </c>
      <c r="C3" t="s">
        <v>75</v>
      </c>
      <c r="D3" s="22" t="s">
        <v>75</v>
      </c>
      <c r="E3" t="s">
        <v>333</v>
      </c>
      <c r="F3" t="s">
        <v>334</v>
      </c>
      <c r="G3" s="22" t="s">
        <v>335</v>
      </c>
      <c r="H3" s="22" t="s">
        <v>193</v>
      </c>
      <c r="I3" s="22" t="s">
        <v>149</v>
      </c>
      <c r="J3" s="22" t="s">
        <v>113</v>
      </c>
    </row>
    <row r="4" spans="1:10" ht="12.75" customHeight="1" x14ac:dyDescent="0.25">
      <c r="A4" t="s">
        <v>75</v>
      </c>
      <c r="B4" t="s">
        <v>71</v>
      </c>
      <c r="C4" t="s">
        <v>122</v>
      </c>
      <c r="D4" s="22" t="s">
        <v>71</v>
      </c>
      <c r="E4" t="s">
        <v>336</v>
      </c>
      <c r="F4" t="s">
        <v>337</v>
      </c>
      <c r="G4" s="22" t="s">
        <v>338</v>
      </c>
      <c r="H4" s="22" t="s">
        <v>194</v>
      </c>
      <c r="I4" s="22" t="s">
        <v>147</v>
      </c>
      <c r="J4" s="22" t="s">
        <v>114</v>
      </c>
    </row>
    <row r="5" spans="1:10" ht="12.75" customHeight="1" x14ac:dyDescent="0.25">
      <c r="A5" t="s">
        <v>73</v>
      </c>
      <c r="B5" t="s">
        <v>125</v>
      </c>
      <c r="C5" s="22" t="s">
        <v>339</v>
      </c>
      <c r="D5" s="22" t="s">
        <v>98</v>
      </c>
      <c r="E5" t="s">
        <v>340</v>
      </c>
      <c r="F5" t="s">
        <v>341</v>
      </c>
      <c r="G5" s="22" t="s">
        <v>76</v>
      </c>
      <c r="H5" s="22" t="s">
        <v>195</v>
      </c>
      <c r="I5" s="22" t="s">
        <v>151</v>
      </c>
      <c r="J5" s="22" t="s">
        <v>115</v>
      </c>
    </row>
    <row r="6" spans="1:10" ht="12.75" customHeight="1" x14ac:dyDescent="0.25">
      <c r="A6" s="22" t="s">
        <v>342</v>
      </c>
      <c r="B6" t="s">
        <v>343</v>
      </c>
      <c r="C6" t="s">
        <v>71</v>
      </c>
      <c r="D6" s="22" t="s">
        <v>344</v>
      </c>
      <c r="E6" s="22" t="s">
        <v>345</v>
      </c>
      <c r="F6" s="22" t="s">
        <v>346</v>
      </c>
      <c r="G6" s="22" t="s">
        <v>276</v>
      </c>
      <c r="H6" s="22" t="s">
        <v>220</v>
      </c>
      <c r="I6" s="22" t="s">
        <v>146</v>
      </c>
      <c r="J6" s="22" t="s">
        <v>121</v>
      </c>
    </row>
    <row r="7" spans="1:10" ht="12.75" customHeight="1" x14ac:dyDescent="0.25">
      <c r="A7" s="22" t="s">
        <v>69</v>
      </c>
      <c r="B7" s="22" t="s">
        <v>69</v>
      </c>
      <c r="C7" s="22" t="s">
        <v>69</v>
      </c>
      <c r="D7" s="22" t="s">
        <v>99</v>
      </c>
      <c r="E7" s="22"/>
      <c r="F7" t="s">
        <v>347</v>
      </c>
      <c r="G7" t="s">
        <v>277</v>
      </c>
      <c r="H7" t="s">
        <v>268</v>
      </c>
      <c r="I7" s="22" t="s">
        <v>220</v>
      </c>
      <c r="J7" s="22" t="s">
        <v>266</v>
      </c>
    </row>
    <row r="8" spans="1:10" ht="12.75" customHeight="1" x14ac:dyDescent="0.25">
      <c r="A8" s="22" t="s">
        <v>285</v>
      </c>
      <c r="B8" s="22" t="s">
        <v>285</v>
      </c>
      <c r="C8" s="22" t="s">
        <v>285</v>
      </c>
      <c r="D8" s="22" t="s">
        <v>272</v>
      </c>
      <c r="E8" s="22"/>
      <c r="F8" t="s">
        <v>348</v>
      </c>
      <c r="G8" t="s">
        <v>278</v>
      </c>
      <c r="H8" t="s">
        <v>269</v>
      </c>
      <c r="I8" s="22" t="s">
        <v>308</v>
      </c>
      <c r="J8" s="22" t="s">
        <v>268</v>
      </c>
    </row>
    <row r="9" spans="1:10" ht="12.75" customHeight="1" x14ac:dyDescent="0.25">
      <c r="A9" s="22" t="s">
        <v>286</v>
      </c>
      <c r="B9" s="22" t="s">
        <v>286</v>
      </c>
      <c r="C9" s="22" t="s">
        <v>286</v>
      </c>
      <c r="D9" s="22" t="s">
        <v>273</v>
      </c>
      <c r="E9" s="22"/>
      <c r="F9" t="s">
        <v>349</v>
      </c>
      <c r="G9" t="s">
        <v>279</v>
      </c>
      <c r="H9" t="s">
        <v>270</v>
      </c>
      <c r="I9" s="22" t="s">
        <v>310</v>
      </c>
      <c r="J9" s="22" t="s">
        <v>269</v>
      </c>
    </row>
    <row r="10" spans="1:10" ht="12.75" customHeight="1" x14ac:dyDescent="0.25">
      <c r="A10" s="22" t="s">
        <v>290</v>
      </c>
      <c r="B10" s="22" t="s">
        <v>287</v>
      </c>
      <c r="C10" s="22" t="s">
        <v>290</v>
      </c>
      <c r="D10" s="22" t="s">
        <v>271</v>
      </c>
      <c r="E10" s="22"/>
      <c r="F10" s="22" t="s">
        <v>350</v>
      </c>
      <c r="G10" t="s">
        <v>280</v>
      </c>
      <c r="H10" t="s">
        <v>266</v>
      </c>
      <c r="I10" s="22" t="s">
        <v>305</v>
      </c>
      <c r="J10" s="22" t="s">
        <v>270</v>
      </c>
    </row>
    <row r="11" spans="1:10" ht="12.75" customHeight="1" x14ac:dyDescent="0.25">
      <c r="A11" t="s">
        <v>284</v>
      </c>
      <c r="B11" t="s">
        <v>284</v>
      </c>
      <c r="C11" t="s">
        <v>291</v>
      </c>
      <c r="D11" s="22" t="s">
        <v>275</v>
      </c>
      <c r="E11" t="s">
        <v>351</v>
      </c>
      <c r="F11" s="22" t="s">
        <v>352</v>
      </c>
      <c r="G11" t="s">
        <v>282</v>
      </c>
      <c r="H11" t="s">
        <v>309</v>
      </c>
      <c r="I11" s="22" t="s">
        <v>311</v>
      </c>
      <c r="J11" s="22" t="s">
        <v>288</v>
      </c>
    </row>
    <row r="12" spans="1:10" ht="12.75" customHeight="1" x14ac:dyDescent="0.25">
      <c r="A12" t="s">
        <v>89</v>
      </c>
      <c r="B12" t="s">
        <v>63</v>
      </c>
      <c r="C12" t="s">
        <v>32</v>
      </c>
      <c r="D12" s="22" t="s">
        <v>274</v>
      </c>
      <c r="E12" t="s">
        <v>351</v>
      </c>
      <c r="F12" t="s">
        <v>324</v>
      </c>
      <c r="G12" s="22" t="s">
        <v>33</v>
      </c>
      <c r="H12" s="22" t="s">
        <v>289</v>
      </c>
      <c r="I12" s="22" t="s">
        <v>306</v>
      </c>
      <c r="J12" s="22" t="s">
        <v>289</v>
      </c>
    </row>
    <row r="13" spans="1:10" ht="12.75" customHeight="1" x14ac:dyDescent="0.25">
      <c r="A13" t="s">
        <v>61</v>
      </c>
      <c r="B13" t="s">
        <v>326</v>
      </c>
      <c r="C13" t="s">
        <v>327</v>
      </c>
      <c r="D13" t="s">
        <v>50</v>
      </c>
      <c r="E13" t="s">
        <v>351</v>
      </c>
      <c r="F13" s="22" t="s">
        <v>353</v>
      </c>
      <c r="G13" t="s">
        <v>25</v>
      </c>
      <c r="H13" t="s">
        <v>316</v>
      </c>
      <c r="I13" s="22" t="s">
        <v>312</v>
      </c>
      <c r="J13" s="22" t="s">
        <v>281</v>
      </c>
    </row>
    <row r="14" spans="1:10" ht="12.75" customHeight="1" x14ac:dyDescent="0.25">
      <c r="A14" t="s">
        <v>35</v>
      </c>
      <c r="B14" t="s">
        <v>116</v>
      </c>
      <c r="C14" t="s">
        <v>107</v>
      </c>
      <c r="D14" t="s">
        <v>331</v>
      </c>
      <c r="E14" t="s">
        <v>351</v>
      </c>
      <c r="F14" s="22" t="s">
        <v>329</v>
      </c>
      <c r="G14" s="22" t="s">
        <v>101</v>
      </c>
      <c r="H14" s="22" t="s">
        <v>315</v>
      </c>
      <c r="I14" s="22" t="s">
        <v>288</v>
      </c>
      <c r="J14" s="22" t="s">
        <v>53</v>
      </c>
    </row>
    <row r="15" spans="1:10" ht="12.75" customHeight="1" x14ac:dyDescent="0.25">
      <c r="A15" t="s">
        <v>321</v>
      </c>
      <c r="B15" t="s">
        <v>92</v>
      </c>
      <c r="C15" t="s">
        <v>87</v>
      </c>
      <c r="D15" t="s">
        <v>39</v>
      </c>
      <c r="E15" t="s">
        <v>351</v>
      </c>
      <c r="G15" s="22" t="s">
        <v>325</v>
      </c>
      <c r="H15" s="22" t="s">
        <v>196</v>
      </c>
      <c r="I15" s="22" t="s">
        <v>289</v>
      </c>
      <c r="J15" s="22" t="s">
        <v>83</v>
      </c>
    </row>
    <row r="16" spans="1:10" ht="12.75" customHeight="1" x14ac:dyDescent="0.25">
      <c r="A16" t="s">
        <v>91</v>
      </c>
      <c r="B16" t="s">
        <v>322</v>
      </c>
      <c r="C16" t="s">
        <v>95</v>
      </c>
      <c r="D16" t="s">
        <v>41</v>
      </c>
      <c r="E16" t="s">
        <v>351</v>
      </c>
      <c r="G16" s="22" t="s">
        <v>102</v>
      </c>
      <c r="H16" s="22" t="s">
        <v>262</v>
      </c>
      <c r="I16" s="22" t="s">
        <v>313</v>
      </c>
      <c r="J16" s="22" t="s">
        <v>104</v>
      </c>
    </row>
    <row r="17" spans="1:10" ht="12.75" customHeight="1" x14ac:dyDescent="0.25">
      <c r="A17" t="s">
        <v>67</v>
      </c>
      <c r="B17" t="s">
        <v>48</v>
      </c>
      <c r="C17" t="s">
        <v>79</v>
      </c>
      <c r="D17" s="22" t="s">
        <v>323</v>
      </c>
      <c r="E17" t="s">
        <v>351</v>
      </c>
      <c r="F17" t="s">
        <v>351</v>
      </c>
      <c r="G17" s="22" t="s">
        <v>329</v>
      </c>
      <c r="H17" s="22"/>
      <c r="I17" s="22" t="s">
        <v>166</v>
      </c>
      <c r="J17" s="22" t="s">
        <v>57</v>
      </c>
    </row>
    <row r="18" spans="1:10" ht="12.75" customHeight="1" x14ac:dyDescent="0.25">
      <c r="A18" t="s">
        <v>43</v>
      </c>
      <c r="B18" t="s">
        <v>47</v>
      </c>
      <c r="C18" s="22" t="s">
        <v>105</v>
      </c>
      <c r="D18" t="s">
        <v>59</v>
      </c>
      <c r="G18" t="s">
        <v>30</v>
      </c>
      <c r="I18" s="22" t="s">
        <v>299</v>
      </c>
      <c r="J18" s="22" t="s">
        <v>111</v>
      </c>
    </row>
    <row r="19" spans="1:10" ht="12.75" customHeight="1" x14ac:dyDescent="0.25">
      <c r="A19" s="22" t="s">
        <v>109</v>
      </c>
      <c r="B19" t="s">
        <v>93</v>
      </c>
      <c r="C19" s="22" t="s">
        <v>85</v>
      </c>
      <c r="D19" s="22" t="s">
        <v>328</v>
      </c>
      <c r="G19" t="s">
        <v>330</v>
      </c>
      <c r="I19" s="22" t="s">
        <v>314</v>
      </c>
      <c r="J19" s="22" t="s">
        <v>123</v>
      </c>
    </row>
    <row r="20" spans="1:10" ht="12.75" customHeight="1" x14ac:dyDescent="0.25">
      <c r="A20" s="22" t="s">
        <v>299</v>
      </c>
      <c r="B20" s="22" t="s">
        <v>55</v>
      </c>
      <c r="C20" t="s">
        <v>108</v>
      </c>
      <c r="D20" t="s">
        <v>65</v>
      </c>
      <c r="G20" t="s">
        <v>100</v>
      </c>
      <c r="I20" s="22" t="s">
        <v>189</v>
      </c>
      <c r="J20" s="22" t="s">
        <v>301</v>
      </c>
    </row>
    <row r="21" spans="1:10" ht="12.75" customHeight="1" x14ac:dyDescent="0.25">
      <c r="A21" s="22" t="s">
        <v>307</v>
      </c>
      <c r="B21" s="22" t="s">
        <v>299</v>
      </c>
      <c r="C21" s="22" t="s">
        <v>299</v>
      </c>
      <c r="D21" t="s">
        <v>96</v>
      </c>
      <c r="G21" s="22" t="s">
        <v>296</v>
      </c>
      <c r="H21" s="22"/>
      <c r="I21" s="22" t="s">
        <v>202</v>
      </c>
      <c r="J21" s="22" t="s">
        <v>302</v>
      </c>
    </row>
    <row r="22" spans="1:10" ht="12.75" customHeight="1" x14ac:dyDescent="0.25">
      <c r="A22" s="22" t="s">
        <v>226</v>
      </c>
      <c r="B22" s="22" t="s">
        <v>307</v>
      </c>
      <c r="C22" s="22" t="s">
        <v>307</v>
      </c>
      <c r="D22" s="22" t="s">
        <v>298</v>
      </c>
      <c r="I22" s="22" t="s">
        <v>212</v>
      </c>
    </row>
    <row r="23" spans="1:10" ht="12.75" customHeight="1" x14ac:dyDescent="0.25">
      <c r="B23" s="22" t="s">
        <v>230</v>
      </c>
      <c r="D23" s="22" t="s">
        <v>307</v>
      </c>
      <c r="I23" s="22" t="s">
        <v>221</v>
      </c>
    </row>
    <row r="24" spans="1:10" ht="12.75" customHeight="1" x14ac:dyDescent="0.25">
      <c r="D24" t="s">
        <v>261</v>
      </c>
      <c r="I24" s="22" t="s">
        <v>249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E129"/>
  <sheetViews>
    <sheetView topLeftCell="A96" workbookViewId="0">
      <selection activeCell="F117" sqref="F117"/>
    </sheetView>
  </sheetViews>
  <sheetFormatPr defaultColWidth="18.7265625" defaultRowHeight="12.75" customHeight="1" x14ac:dyDescent="0.25"/>
  <cols>
    <col min="1" max="1" width="16.26953125" bestFit="1" customWidth="1"/>
    <col min="2" max="2" width="15" customWidth="1"/>
    <col min="3" max="5" width="9.1796875" customWidth="1"/>
  </cols>
  <sheetData>
    <row r="1" spans="1:2" ht="12.5" x14ac:dyDescent="0.25"/>
    <row r="2" spans="1:2" ht="12.5" x14ac:dyDescent="0.25"/>
    <row r="3" spans="1:2" ht="16" x14ac:dyDescent="0.25">
      <c r="A3" s="4">
        <v>42736</v>
      </c>
      <c r="B3" s="3" t="s">
        <v>354</v>
      </c>
    </row>
    <row r="4" spans="1:2" ht="16" x14ac:dyDescent="0.25">
      <c r="A4" s="4">
        <v>42761</v>
      </c>
      <c r="B4" s="3" t="s">
        <v>355</v>
      </c>
    </row>
    <row r="5" spans="1:2" ht="16" x14ac:dyDescent="0.25">
      <c r="A5" s="4">
        <v>42793</v>
      </c>
      <c r="B5" s="3" t="s">
        <v>356</v>
      </c>
    </row>
    <row r="6" spans="1:2" ht="16" x14ac:dyDescent="0.25">
      <c r="A6" s="4">
        <v>42794</v>
      </c>
      <c r="B6" s="3" t="s">
        <v>357</v>
      </c>
    </row>
    <row r="7" spans="1:2" ht="16" x14ac:dyDescent="0.25">
      <c r="A7" s="4">
        <v>42795</v>
      </c>
      <c r="B7" s="3" t="s">
        <v>358</v>
      </c>
    </row>
    <row r="8" spans="1:2" ht="16" x14ac:dyDescent="0.25">
      <c r="A8" s="4">
        <v>42839</v>
      </c>
      <c r="B8" s="3" t="s">
        <v>359</v>
      </c>
    </row>
    <row r="9" spans="1:2" ht="16" x14ac:dyDescent="0.25">
      <c r="A9" s="4">
        <v>42841</v>
      </c>
      <c r="B9" s="3" t="s">
        <v>354</v>
      </c>
    </row>
    <row r="10" spans="1:2" ht="16" x14ac:dyDescent="0.25">
      <c r="A10" s="4">
        <v>42846</v>
      </c>
      <c r="B10" s="3" t="s">
        <v>359</v>
      </c>
    </row>
    <row r="11" spans="1:2" ht="16" x14ac:dyDescent="0.25">
      <c r="A11" s="4">
        <v>42856</v>
      </c>
      <c r="B11" s="3" t="s">
        <v>356</v>
      </c>
    </row>
    <row r="12" spans="1:2" ht="16" x14ac:dyDescent="0.25">
      <c r="A12" s="4">
        <v>42869</v>
      </c>
      <c r="B12" s="3" t="s">
        <v>354</v>
      </c>
    </row>
    <row r="13" spans="1:2" ht="16" x14ac:dyDescent="0.25">
      <c r="A13" s="4">
        <v>42901</v>
      </c>
      <c r="B13" s="3" t="s">
        <v>355</v>
      </c>
    </row>
    <row r="14" spans="1:2" ht="16" x14ac:dyDescent="0.25">
      <c r="A14" s="4">
        <v>42925</v>
      </c>
      <c r="B14" s="3" t="s">
        <v>354</v>
      </c>
    </row>
    <row r="15" spans="1:2" ht="16" x14ac:dyDescent="0.25">
      <c r="A15" s="4">
        <v>42960</v>
      </c>
      <c r="B15" s="3" t="s">
        <v>354</v>
      </c>
    </row>
    <row r="16" spans="1:2" ht="16" x14ac:dyDescent="0.25">
      <c r="A16" s="4">
        <v>42985</v>
      </c>
      <c r="B16" s="3" t="s">
        <v>355</v>
      </c>
    </row>
    <row r="17" spans="1:2" ht="16" x14ac:dyDescent="0.25">
      <c r="A17" s="4">
        <v>42986</v>
      </c>
      <c r="B17" s="3" t="s">
        <v>359</v>
      </c>
    </row>
    <row r="18" spans="1:2" ht="16" x14ac:dyDescent="0.25">
      <c r="A18" s="4">
        <v>43020</v>
      </c>
      <c r="B18" s="3" t="s">
        <v>355</v>
      </c>
    </row>
    <row r="19" spans="1:2" ht="16" x14ac:dyDescent="0.25">
      <c r="A19" s="4">
        <v>43041</v>
      </c>
      <c r="B19" s="3" t="s">
        <v>355</v>
      </c>
    </row>
    <row r="20" spans="1:2" ht="16" x14ac:dyDescent="0.25">
      <c r="A20" s="4">
        <v>43054</v>
      </c>
      <c r="B20" s="3" t="s">
        <v>358</v>
      </c>
    </row>
    <row r="21" spans="1:2" ht="16" x14ac:dyDescent="0.25">
      <c r="A21" s="4">
        <v>43059</v>
      </c>
      <c r="B21" s="3" t="s">
        <v>356</v>
      </c>
    </row>
    <row r="22" spans="1:2" ht="16" x14ac:dyDescent="0.25">
      <c r="A22" s="4">
        <v>43094</v>
      </c>
      <c r="B22" s="3" t="s">
        <v>354</v>
      </c>
    </row>
    <row r="23" spans="1:2" ht="16" x14ac:dyDescent="0.25">
      <c r="A23" s="4">
        <v>43221</v>
      </c>
      <c r="B23" s="4" t="s">
        <v>356</v>
      </c>
    </row>
    <row r="24" spans="1:2" ht="16" x14ac:dyDescent="0.25">
      <c r="A24" s="4">
        <v>43251</v>
      </c>
      <c r="B24" s="4" t="s">
        <v>355</v>
      </c>
    </row>
    <row r="25" spans="1:2" ht="16" x14ac:dyDescent="0.25">
      <c r="A25" s="4">
        <v>43290</v>
      </c>
      <c r="B25" s="4" t="s">
        <v>356</v>
      </c>
    </row>
    <row r="26" spans="1:2" ht="16" x14ac:dyDescent="0.25">
      <c r="A26" s="4">
        <v>43350</v>
      </c>
      <c r="B26" s="4" t="s">
        <v>359</v>
      </c>
    </row>
    <row r="27" spans="1:2" ht="16" x14ac:dyDescent="0.25">
      <c r="A27" s="4">
        <v>43351</v>
      </c>
      <c r="B27" s="4" t="s">
        <v>360</v>
      </c>
    </row>
    <row r="28" spans="1:2" ht="16" x14ac:dyDescent="0.25">
      <c r="A28" s="4">
        <v>43385</v>
      </c>
      <c r="B28" s="4" t="s">
        <v>359</v>
      </c>
    </row>
    <row r="29" spans="1:2" ht="16" x14ac:dyDescent="0.25">
      <c r="A29" s="4">
        <v>43406</v>
      </c>
      <c r="B29" s="4" t="s">
        <v>359</v>
      </c>
    </row>
    <row r="30" spans="1:2" ht="16" x14ac:dyDescent="0.25">
      <c r="A30" s="4">
        <v>43419</v>
      </c>
      <c r="B30" s="4" t="s">
        <v>355</v>
      </c>
    </row>
    <row r="31" spans="1:2" ht="16" x14ac:dyDescent="0.25">
      <c r="A31" s="4">
        <v>43424</v>
      </c>
      <c r="B31" s="4" t="s">
        <v>357</v>
      </c>
    </row>
    <row r="32" spans="1:2" ht="16" x14ac:dyDescent="0.25">
      <c r="A32" s="4">
        <v>43459</v>
      </c>
      <c r="B32" s="4" t="s">
        <v>357</v>
      </c>
    </row>
    <row r="33" spans="1:2" ht="16" x14ac:dyDescent="0.25">
      <c r="A33" s="4">
        <v>43466</v>
      </c>
      <c r="B33" s="3" t="s">
        <v>357</v>
      </c>
    </row>
    <row r="34" spans="1:2" ht="16" x14ac:dyDescent="0.25">
      <c r="A34" s="4">
        <v>43528</v>
      </c>
      <c r="B34" s="3" t="s">
        <v>356</v>
      </c>
    </row>
    <row r="35" spans="1:2" ht="16" x14ac:dyDescent="0.25">
      <c r="A35" s="4">
        <v>43574</v>
      </c>
      <c r="B35" s="3" t="s">
        <v>359</v>
      </c>
    </row>
    <row r="36" spans="1:2" ht="16" x14ac:dyDescent="0.25">
      <c r="A36" s="4">
        <v>43576</v>
      </c>
      <c r="B36" s="3" t="s">
        <v>354</v>
      </c>
    </row>
    <row r="37" spans="1:2" ht="16" x14ac:dyDescent="0.25">
      <c r="A37" s="4">
        <v>43586</v>
      </c>
      <c r="B37" s="3" t="s">
        <v>355</v>
      </c>
    </row>
    <row r="38" spans="1:2" ht="16" x14ac:dyDescent="0.25">
      <c r="A38" s="4">
        <v>43636</v>
      </c>
      <c r="B38" s="3" t="s">
        <v>355</v>
      </c>
    </row>
    <row r="39" spans="1:2" ht="16" x14ac:dyDescent="0.25">
      <c r="A39" s="4">
        <v>43715</v>
      </c>
      <c r="B39" s="3" t="s">
        <v>360</v>
      </c>
    </row>
    <row r="40" spans="1:2" ht="16" x14ac:dyDescent="0.25">
      <c r="A40" s="4">
        <v>43750</v>
      </c>
      <c r="B40" s="3" t="s">
        <v>360</v>
      </c>
    </row>
    <row r="41" spans="1:2" ht="16" x14ac:dyDescent="0.25">
      <c r="A41" s="4">
        <v>43771</v>
      </c>
      <c r="B41" s="3" t="s">
        <v>360</v>
      </c>
    </row>
    <row r="42" spans="1:2" ht="16" x14ac:dyDescent="0.25">
      <c r="A42" s="4">
        <v>43784</v>
      </c>
      <c r="B42" s="3" t="s">
        <v>359</v>
      </c>
    </row>
    <row r="43" spans="1:2" ht="16" x14ac:dyDescent="0.25">
      <c r="A43" s="4">
        <v>43824</v>
      </c>
      <c r="B43" s="3" t="s">
        <v>358</v>
      </c>
    </row>
    <row r="44" spans="1:2" ht="16" x14ac:dyDescent="0.25">
      <c r="A44" s="4">
        <v>43831</v>
      </c>
      <c r="B44" s="3" t="s">
        <v>358</v>
      </c>
    </row>
    <row r="45" spans="1:2" ht="16" x14ac:dyDescent="0.25">
      <c r="A45" s="4">
        <v>43885</v>
      </c>
      <c r="B45" s="3" t="s">
        <v>356</v>
      </c>
    </row>
    <row r="46" spans="1:2" ht="16" x14ac:dyDescent="0.25">
      <c r="A46" s="4">
        <v>43886</v>
      </c>
      <c r="B46" s="3" t="s">
        <v>357</v>
      </c>
    </row>
    <row r="47" spans="1:2" ht="16" x14ac:dyDescent="0.25">
      <c r="A47" s="4">
        <v>43931</v>
      </c>
      <c r="B47" s="3" t="s">
        <v>359</v>
      </c>
    </row>
    <row r="48" spans="1:2" ht="16" x14ac:dyDescent="0.25">
      <c r="A48" s="4">
        <v>43942</v>
      </c>
      <c r="B48" s="4" t="s">
        <v>357</v>
      </c>
    </row>
    <row r="49" spans="1:2" ht="16" x14ac:dyDescent="0.25">
      <c r="A49" s="4">
        <v>43952</v>
      </c>
      <c r="B49" s="3" t="s">
        <v>354</v>
      </c>
    </row>
    <row r="50" spans="1:2" ht="16" x14ac:dyDescent="0.25">
      <c r="A50" s="4">
        <v>44021</v>
      </c>
      <c r="B50" s="3" t="s">
        <v>355</v>
      </c>
    </row>
    <row r="51" spans="1:2" ht="16" x14ac:dyDescent="0.25">
      <c r="A51" s="4">
        <v>44081</v>
      </c>
      <c r="B51" s="3" t="s">
        <v>356</v>
      </c>
    </row>
    <row r="52" spans="1:2" ht="16" x14ac:dyDescent="0.25">
      <c r="A52" s="4">
        <v>44082</v>
      </c>
      <c r="B52" s="4" t="s">
        <v>357</v>
      </c>
    </row>
    <row r="53" spans="1:2" ht="16" x14ac:dyDescent="0.25">
      <c r="A53" s="4">
        <v>44116</v>
      </c>
      <c r="B53" s="3" t="s">
        <v>356</v>
      </c>
    </row>
    <row r="54" spans="1:2" ht="16" x14ac:dyDescent="0.25">
      <c r="A54" s="4">
        <v>44137</v>
      </c>
      <c r="B54" s="3" t="s">
        <v>356</v>
      </c>
    </row>
    <row r="55" spans="1:2" ht="16" x14ac:dyDescent="0.25">
      <c r="A55" s="4">
        <v>44150</v>
      </c>
      <c r="B55" s="3" t="s">
        <v>354</v>
      </c>
    </row>
    <row r="56" spans="1:2" ht="16" x14ac:dyDescent="0.25">
      <c r="A56" s="4">
        <v>44190</v>
      </c>
      <c r="B56" s="3" t="s">
        <v>359</v>
      </c>
    </row>
    <row r="57" spans="1:2" ht="16" x14ac:dyDescent="0.25">
      <c r="A57" s="4">
        <v>44197</v>
      </c>
      <c r="B57" s="3" t="s">
        <v>359</v>
      </c>
    </row>
    <row r="58" spans="1:2" ht="16" x14ac:dyDescent="0.25">
      <c r="A58" s="4">
        <v>44242</v>
      </c>
      <c r="B58" s="3" t="s">
        <v>356</v>
      </c>
    </row>
    <row r="59" spans="1:2" ht="16" x14ac:dyDescent="0.25">
      <c r="A59" s="4">
        <v>44243</v>
      </c>
      <c r="B59" s="3" t="s">
        <v>357</v>
      </c>
    </row>
    <row r="60" spans="1:2" ht="16" x14ac:dyDescent="0.25">
      <c r="A60" s="4">
        <v>44244</v>
      </c>
      <c r="B60" s="3" t="s">
        <v>358</v>
      </c>
    </row>
    <row r="61" spans="1:2" ht="16" x14ac:dyDescent="0.25">
      <c r="A61" s="4">
        <v>44288</v>
      </c>
      <c r="B61" s="3" t="s">
        <v>359</v>
      </c>
    </row>
    <row r="62" spans="1:2" ht="16" x14ac:dyDescent="0.25">
      <c r="A62" s="4">
        <v>44307</v>
      </c>
      <c r="B62" s="3" t="s">
        <v>358</v>
      </c>
    </row>
    <row r="63" spans="1:2" ht="16" x14ac:dyDescent="0.25">
      <c r="A63" s="4">
        <v>44317</v>
      </c>
      <c r="B63" s="3" t="s">
        <v>360</v>
      </c>
    </row>
    <row r="64" spans="1:2" ht="16" x14ac:dyDescent="0.25">
      <c r="A64" s="4">
        <v>44350</v>
      </c>
      <c r="B64" s="3" t="s">
        <v>355</v>
      </c>
    </row>
    <row r="65" spans="1:2" ht="16" x14ac:dyDescent="0.25">
      <c r="A65" s="4">
        <v>44446</v>
      </c>
      <c r="B65" s="3" t="s">
        <v>357</v>
      </c>
    </row>
    <row r="66" spans="1:2" ht="16" x14ac:dyDescent="0.25">
      <c r="A66" s="4">
        <v>44481</v>
      </c>
      <c r="B66" s="3" t="s">
        <v>357</v>
      </c>
    </row>
    <row r="67" spans="1:2" ht="16" x14ac:dyDescent="0.25">
      <c r="A67" s="4">
        <v>44502</v>
      </c>
      <c r="B67" s="3" t="s">
        <v>357</v>
      </c>
    </row>
    <row r="68" spans="1:2" ht="16" x14ac:dyDescent="0.25">
      <c r="A68" s="4">
        <v>44515</v>
      </c>
      <c r="B68" s="3" t="s">
        <v>356</v>
      </c>
    </row>
    <row r="69" spans="1:2" ht="16" x14ac:dyDescent="0.25">
      <c r="A69" s="4">
        <v>44555</v>
      </c>
      <c r="B69" s="3" t="s">
        <v>360</v>
      </c>
    </row>
    <row r="70" spans="1:2" ht="16" x14ac:dyDescent="0.25">
      <c r="A70" s="4">
        <v>44562</v>
      </c>
      <c r="B70" s="3" t="s">
        <v>360</v>
      </c>
    </row>
    <row r="71" spans="1:2" ht="16" x14ac:dyDescent="0.25">
      <c r="A71" s="4">
        <v>44620</v>
      </c>
      <c r="B71" s="3" t="s">
        <v>356</v>
      </c>
    </row>
    <row r="72" spans="1:2" ht="16" x14ac:dyDescent="0.25">
      <c r="A72" s="4">
        <v>44621</v>
      </c>
      <c r="B72" s="3" t="s">
        <v>357</v>
      </c>
    </row>
    <row r="73" spans="1:2" ht="16" x14ac:dyDescent="0.25">
      <c r="A73" s="4">
        <v>44666</v>
      </c>
      <c r="B73" s="3" t="s">
        <v>359</v>
      </c>
    </row>
    <row r="74" spans="1:2" ht="16" x14ac:dyDescent="0.25">
      <c r="A74" s="4">
        <v>44672</v>
      </c>
      <c r="B74" s="3" t="s">
        <v>355</v>
      </c>
    </row>
    <row r="75" spans="1:2" ht="16" x14ac:dyDescent="0.25">
      <c r="A75" s="4">
        <v>44682</v>
      </c>
      <c r="B75" s="3" t="s">
        <v>354</v>
      </c>
    </row>
    <row r="76" spans="1:2" ht="16" x14ac:dyDescent="0.25">
      <c r="A76" s="4">
        <v>44728</v>
      </c>
      <c r="B76" s="3" t="s">
        <v>355</v>
      </c>
    </row>
    <row r="77" spans="1:2" ht="16" x14ac:dyDescent="0.25">
      <c r="A77" s="4">
        <v>44811</v>
      </c>
      <c r="B77" s="3" t="s">
        <v>358</v>
      </c>
    </row>
    <row r="78" spans="1:2" ht="16" x14ac:dyDescent="0.25">
      <c r="A78" s="4">
        <v>44846</v>
      </c>
      <c r="B78" s="3" t="s">
        <v>358</v>
      </c>
    </row>
    <row r="79" spans="1:2" ht="16" x14ac:dyDescent="0.25">
      <c r="A79" s="4">
        <v>44867</v>
      </c>
      <c r="B79" s="3" t="s">
        <v>358</v>
      </c>
    </row>
    <row r="80" spans="1:2" ht="16" x14ac:dyDescent="0.25">
      <c r="A80" s="4">
        <v>44880</v>
      </c>
      <c r="B80" s="3" t="s">
        <v>357</v>
      </c>
    </row>
    <row r="81" spans="1:2" ht="16" x14ac:dyDescent="0.25">
      <c r="A81" s="4">
        <v>44920</v>
      </c>
      <c r="B81" s="3" t="s">
        <v>354</v>
      </c>
    </row>
    <row r="82" spans="1:2" ht="16" x14ac:dyDescent="0.25">
      <c r="A82" s="4">
        <v>45176</v>
      </c>
      <c r="B82" s="3" t="s">
        <v>355</v>
      </c>
    </row>
    <row r="83" spans="1:2" ht="16" x14ac:dyDescent="0.25">
      <c r="A83" s="4">
        <v>45211</v>
      </c>
      <c r="B83" s="3" t="s">
        <v>355</v>
      </c>
    </row>
    <row r="84" spans="1:2" ht="16" x14ac:dyDescent="0.25">
      <c r="A84" s="4">
        <v>45232</v>
      </c>
      <c r="B84" s="3" t="s">
        <v>355</v>
      </c>
    </row>
    <row r="85" spans="1:2" ht="16" x14ac:dyDescent="0.25">
      <c r="A85" s="4">
        <v>45245</v>
      </c>
      <c r="B85" s="3" t="s">
        <v>358</v>
      </c>
    </row>
    <row r="86" spans="1:2" ht="16" x14ac:dyDescent="0.25">
      <c r="A86" s="4">
        <v>45285</v>
      </c>
      <c r="B86" s="3" t="s">
        <v>356</v>
      </c>
    </row>
    <row r="87" spans="1:2" ht="16" x14ac:dyDescent="0.25">
      <c r="A87" s="4">
        <v>45292</v>
      </c>
      <c r="B87" s="3" t="s">
        <v>356</v>
      </c>
    </row>
    <row r="88" spans="1:2" ht="16" x14ac:dyDescent="0.25">
      <c r="A88" s="4">
        <v>45334</v>
      </c>
      <c r="B88" s="3" t="s">
        <v>356</v>
      </c>
    </row>
    <row r="89" spans="1:2" ht="16" x14ac:dyDescent="0.25">
      <c r="A89" s="4">
        <v>45335</v>
      </c>
      <c r="B89" s="3" t="s">
        <v>357</v>
      </c>
    </row>
    <row r="90" spans="1:2" ht="16" x14ac:dyDescent="0.25">
      <c r="A90" s="4">
        <v>45336</v>
      </c>
      <c r="B90" s="3" t="s">
        <v>358</v>
      </c>
    </row>
    <row r="91" spans="1:2" ht="16" x14ac:dyDescent="0.25">
      <c r="A91" s="4">
        <v>45380</v>
      </c>
      <c r="B91" s="3" t="s">
        <v>359</v>
      </c>
    </row>
    <row r="92" spans="1:2" ht="16" x14ac:dyDescent="0.25">
      <c r="A92" s="4">
        <v>45403</v>
      </c>
      <c r="B92" s="3" t="s">
        <v>354</v>
      </c>
    </row>
    <row r="93" spans="1:2" ht="16" x14ac:dyDescent="0.25">
      <c r="A93" s="4">
        <v>45413</v>
      </c>
      <c r="B93" s="3" t="s">
        <v>358</v>
      </c>
    </row>
    <row r="94" spans="1:2" ht="16" x14ac:dyDescent="0.25">
      <c r="A94" s="4">
        <v>45442</v>
      </c>
      <c r="B94" s="3" t="s">
        <v>355</v>
      </c>
    </row>
    <row r="95" spans="1:2" ht="16" x14ac:dyDescent="0.25">
      <c r="A95" s="4">
        <v>45542</v>
      </c>
      <c r="B95" s="3" t="s">
        <v>360</v>
      </c>
    </row>
    <row r="96" spans="1:2" ht="16" x14ac:dyDescent="0.25">
      <c r="A96" s="4">
        <v>45577</v>
      </c>
      <c r="B96" s="3" t="s">
        <v>360</v>
      </c>
    </row>
    <row r="97" spans="1:2" ht="16" x14ac:dyDescent="0.25">
      <c r="A97" s="4">
        <v>45598</v>
      </c>
      <c r="B97" s="3" t="s">
        <v>360</v>
      </c>
    </row>
    <row r="98" spans="1:2" ht="16" x14ac:dyDescent="0.25">
      <c r="A98" s="4">
        <v>45611</v>
      </c>
      <c r="B98" s="3" t="s">
        <v>359</v>
      </c>
    </row>
    <row r="99" spans="1:2" ht="16" x14ac:dyDescent="0.25">
      <c r="A99" s="4">
        <v>45616</v>
      </c>
      <c r="B99" s="3" t="s">
        <v>358</v>
      </c>
    </row>
    <row r="100" spans="1:2" ht="16" x14ac:dyDescent="0.25">
      <c r="A100" s="4">
        <v>45651</v>
      </c>
      <c r="B100" s="3" t="s">
        <v>358</v>
      </c>
    </row>
    <row r="101" spans="1:2" ht="16" x14ac:dyDescent="0.25">
      <c r="A101" s="4">
        <v>45658</v>
      </c>
      <c r="B101" s="3" t="s">
        <v>358</v>
      </c>
    </row>
    <row r="102" spans="1:2" ht="16" x14ac:dyDescent="0.25">
      <c r="A102" s="4">
        <v>45720</v>
      </c>
      <c r="B102" s="3" t="s">
        <v>357</v>
      </c>
    </row>
    <row r="103" spans="1:2" ht="16" x14ac:dyDescent="0.25">
      <c r="A103" s="4">
        <v>45765</v>
      </c>
      <c r="B103" s="3" t="s">
        <v>359</v>
      </c>
    </row>
    <row r="104" spans="1:2" ht="16" x14ac:dyDescent="0.25">
      <c r="A104" s="4">
        <v>45768</v>
      </c>
      <c r="B104" s="3" t="s">
        <v>356</v>
      </c>
    </row>
    <row r="105" spans="1:2" ht="16" x14ac:dyDescent="0.25">
      <c r="A105" s="4">
        <v>45778</v>
      </c>
      <c r="B105" s="3" t="s">
        <v>355</v>
      </c>
    </row>
    <row r="106" spans="1:2" ht="16" x14ac:dyDescent="0.25">
      <c r="A106" s="4">
        <v>45827</v>
      </c>
      <c r="B106" s="3" t="s">
        <v>355</v>
      </c>
    </row>
    <row r="107" spans="1:2" ht="16" x14ac:dyDescent="0.25">
      <c r="A107" s="4">
        <v>45981</v>
      </c>
      <c r="B107" s="3" t="s">
        <v>355</v>
      </c>
    </row>
    <row r="108" spans="1:2" ht="16" x14ac:dyDescent="0.25">
      <c r="A108" s="4">
        <v>46016</v>
      </c>
      <c r="B108" s="3" t="s">
        <v>355</v>
      </c>
    </row>
    <row r="109" spans="1:2" ht="16" x14ac:dyDescent="0.25">
      <c r="A109" s="4">
        <v>46023</v>
      </c>
      <c r="B109" s="3" t="s">
        <v>355</v>
      </c>
    </row>
    <row r="110" spans="1:2" ht="16" x14ac:dyDescent="0.25">
      <c r="A110" s="4">
        <v>46115</v>
      </c>
      <c r="B110" s="3" t="s">
        <v>359</v>
      </c>
    </row>
    <row r="111" spans="1:2" ht="16" x14ac:dyDescent="0.25">
      <c r="A111" s="4">
        <v>46133</v>
      </c>
      <c r="B111" s="3" t="s">
        <v>357</v>
      </c>
    </row>
    <row r="112" spans="1:2" ht="16" x14ac:dyDescent="0.25">
      <c r="A112" s="4">
        <v>46143</v>
      </c>
      <c r="B112" s="3" t="s">
        <v>359</v>
      </c>
    </row>
    <row r="113" spans="1:2" ht="16" x14ac:dyDescent="0.25">
      <c r="A113" s="4">
        <v>46272</v>
      </c>
      <c r="B113" s="3" t="s">
        <v>356</v>
      </c>
    </row>
    <row r="114" spans="1:2" ht="16" x14ac:dyDescent="0.25">
      <c r="A114" s="4">
        <v>46307</v>
      </c>
      <c r="B114" s="3" t="s">
        <v>356</v>
      </c>
    </row>
    <row r="115" spans="1:2" ht="16" x14ac:dyDescent="0.25">
      <c r="A115" s="4">
        <v>46328</v>
      </c>
      <c r="B115" s="3" t="s">
        <v>356</v>
      </c>
    </row>
    <row r="116" spans="1:2" ht="16" x14ac:dyDescent="0.25">
      <c r="A116" s="4">
        <v>46341</v>
      </c>
      <c r="B116" s="3" t="s">
        <v>354</v>
      </c>
    </row>
    <row r="117" spans="1:2" ht="16" x14ac:dyDescent="0.25">
      <c r="A117" s="4">
        <v>46346</v>
      </c>
      <c r="B117" s="3" t="s">
        <v>359</v>
      </c>
    </row>
    <row r="118" spans="1:2" ht="16" x14ac:dyDescent="0.25">
      <c r="A118" s="4">
        <v>46381</v>
      </c>
      <c r="B118" s="3" t="s">
        <v>359</v>
      </c>
    </row>
    <row r="119" spans="1:2" ht="16" x14ac:dyDescent="0.25">
      <c r="A119" s="4"/>
      <c r="B119" s="3"/>
    </row>
    <row r="120" spans="1:2" ht="16" x14ac:dyDescent="0.25">
      <c r="A120" s="22" t="s">
        <v>361</v>
      </c>
      <c r="B120" s="4"/>
    </row>
    <row r="121" spans="1:2" ht="32" x14ac:dyDescent="0.25">
      <c r="A121" s="24" t="s">
        <v>362</v>
      </c>
      <c r="B121" s="4"/>
    </row>
    <row r="122" spans="1:2" ht="16" x14ac:dyDescent="0.25">
      <c r="A122" s="4"/>
      <c r="B122" s="4"/>
    </row>
    <row r="123" spans="1:2" ht="16" x14ac:dyDescent="0.25">
      <c r="A123" s="4"/>
      <c r="B123" s="4"/>
    </row>
    <row r="124" spans="1:2" ht="16" x14ac:dyDescent="0.25">
      <c r="A124" s="4"/>
      <c r="B124" s="4"/>
    </row>
    <row r="125" spans="1:2" ht="16" x14ac:dyDescent="0.25">
      <c r="A125" s="4"/>
      <c r="B125" s="4"/>
    </row>
    <row r="126" spans="1:2" ht="16" x14ac:dyDescent="0.25">
      <c r="A126" s="4"/>
      <c r="B126" s="4"/>
    </row>
    <row r="127" spans="1:2" ht="16" x14ac:dyDescent="0.25">
      <c r="A127" s="4"/>
      <c r="B127" s="4"/>
    </row>
    <row r="128" spans="1:2" ht="16" x14ac:dyDescent="0.25">
      <c r="A128" s="4"/>
      <c r="B128" s="4"/>
    </row>
    <row r="129" spans="5:5" ht="12.5" x14ac:dyDescent="0.25">
      <c r="E129" s="22" t="s">
        <v>363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c2301d-a4db-4e04-a706-61e78a715048" xsi:nil="true"/>
    <lcf76f155ced4ddcb4097134ff3c332f xmlns="6a17f846-271d-490e-9cd4-38f0c4c155f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47D6DE497CCB49BB021D8C308178C7" ma:contentTypeVersion="15" ma:contentTypeDescription="Create a new document." ma:contentTypeScope="" ma:versionID="12c55f19e869f1e2f51c43478125ca07">
  <xsd:schema xmlns:xsd="http://www.w3.org/2001/XMLSchema" xmlns:xs="http://www.w3.org/2001/XMLSchema" xmlns:p="http://schemas.microsoft.com/office/2006/metadata/properties" xmlns:ns2="6a17f846-271d-490e-9cd4-38f0c4c155fb" xmlns:ns3="42c2301d-a4db-4e04-a706-61e78a715048" targetNamespace="http://schemas.microsoft.com/office/2006/metadata/properties" ma:root="true" ma:fieldsID="962484fb900b733f01084bfb46f1e083" ns2:_="" ns3:_="">
    <xsd:import namespace="6a17f846-271d-490e-9cd4-38f0c4c155fb"/>
    <xsd:import namespace="42c2301d-a4db-4e04-a706-61e78a7150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7f846-271d-490e-9cd4-38f0c4c15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61a7caf-3f3e-4730-ba1b-b9f44c3f09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c2301d-a4db-4e04-a706-61e78a7150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cebb8aa-1e2d-4662-85eb-d9f0066749aa}" ma:internalName="TaxCatchAll" ma:showField="CatchAllData" ma:web="42c2301d-a4db-4e04-a706-61e78a7150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F834B5-C5D7-4CCD-856F-851F9F756E76}">
  <ds:schemaRefs>
    <ds:schemaRef ds:uri="http://schemas.microsoft.com/office/2006/metadata/properties"/>
    <ds:schemaRef ds:uri="http://purl.org/dc/terms/"/>
    <ds:schemaRef ds:uri="42c2301d-a4db-4e04-a706-61e78a715048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6a17f846-271d-490e-9cd4-38f0c4c155f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46B211-2FF5-42CA-8A62-51BE6E144E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C173B2-2C0D-4EFE-9C90-8181CC79F9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17f846-271d-490e-9cd4-38f0c4c155fb"/>
    <ds:schemaRef ds:uri="42c2301d-a4db-4e04-a706-61e78a7150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Coletas</vt:lpstr>
      <vt:lpstr>Operacionais</vt:lpstr>
      <vt:lpstr>Sem Controle</vt:lpstr>
      <vt:lpstr>Pontos de Coleta</vt:lpstr>
      <vt:lpstr>FERIADOS</vt:lpstr>
    </vt:vector>
  </TitlesOfParts>
  <Manager/>
  <Company>Petrobras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IAPG ALL FLEET</dc:title>
  <dc:subject/>
  <dc:creator>Serpa Pedro</dc:creator>
  <cp:keywords/>
  <dc:description/>
  <cp:lastModifiedBy>Marcos Vinicios Lima dos Santos</cp:lastModifiedBy>
  <cp:revision/>
  <dcterms:created xsi:type="dcterms:W3CDTF">2011-08-22T13:45:53Z</dcterms:created>
  <dcterms:modified xsi:type="dcterms:W3CDTF">2026-02-13T18:17:17Z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0x0101007447D6DE497CCB49BB021D8C308178C7</vt:lpwstr>
  </property>
  <property fmtid="{D5CDD505-2E9C-101B-9397-08002B2CF9AE}" pid="4" name="MediaServiceImageTags">
    <vt:lpwstr/>
  </property>
  <property fmtid="{D5CDD505-2E9C-101B-9397-08002B2CF9AE}" pid="5" name="MSIP_Label_4ad5dd88-ca96-4db6-ba44-86d3e8c604bd_Enabled">
    <vt:lpwstr>true</vt:lpwstr>
  </property>
  <property fmtid="{D5CDD505-2E9C-101B-9397-08002B2CF9AE}" pid="6" name="MSIP_Label_4ad5dd88-ca96-4db6-ba44-86d3e8c604bd_SetDate">
    <vt:lpwstr>2026-02-13T18:17:05Z</vt:lpwstr>
  </property>
  <property fmtid="{D5CDD505-2E9C-101B-9397-08002B2CF9AE}" pid="7" name="MSIP_Label_4ad5dd88-ca96-4db6-ba44-86d3e8c604bd_Method">
    <vt:lpwstr>Privileged</vt:lpwstr>
  </property>
  <property fmtid="{D5CDD505-2E9C-101B-9397-08002B2CF9AE}" pid="8" name="MSIP_Label_4ad5dd88-ca96-4db6-ba44-86d3e8c604bd_Name">
    <vt:lpwstr>USO INTERNO</vt:lpwstr>
  </property>
  <property fmtid="{D5CDD505-2E9C-101B-9397-08002B2CF9AE}" pid="9" name="MSIP_Label_4ad5dd88-ca96-4db6-ba44-86d3e8c604bd_SiteId">
    <vt:lpwstr>9339fb1c-0944-4fb9-808d-a278e53590e5</vt:lpwstr>
  </property>
  <property fmtid="{D5CDD505-2E9C-101B-9397-08002B2CF9AE}" pid="10" name="MSIP_Label_4ad5dd88-ca96-4db6-ba44-86d3e8c604bd_ActionId">
    <vt:lpwstr>aedd4a50-f226-4b4b-a930-a47c332a8aaa</vt:lpwstr>
  </property>
  <property fmtid="{D5CDD505-2E9C-101B-9397-08002B2CF9AE}" pid="11" name="MSIP_Label_4ad5dd88-ca96-4db6-ba44-86d3e8c604bd_ContentBits">
    <vt:lpwstr>0</vt:lpwstr>
  </property>
  <property fmtid="{D5CDD505-2E9C-101B-9397-08002B2CF9AE}" pid="12" name="MSIP_Label_4ad5dd88-ca96-4db6-ba44-86d3e8c604bd_Tag">
    <vt:lpwstr>10, 0, 1, 1</vt:lpwstr>
  </property>
</Properties>
</file>